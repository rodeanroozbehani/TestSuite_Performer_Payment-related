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odean\Desktop\"/>
    </mc:Choice>
  </mc:AlternateContent>
  <xr:revisionPtr revIDLastSave="0" documentId="8_{85289FE8-C059-41DC-BF59-92EF59C971C2}" xr6:coauthVersionLast="47" xr6:coauthVersionMax="47" xr10:uidLastSave="{00000000-0000-0000-0000-000000000000}"/>
  <bookViews>
    <workbookView xWindow="2630" yWindow="1630" windowWidth="27210" windowHeight="10710" tabRatio="857" firstSheet="1" activeTab="1" xr2:uid="{00000000-000D-0000-FFFF-FFFF00000000}"/>
  </bookViews>
  <sheets>
    <sheet name="PT - RR Dashboard" sheetId="55" state="hidden" r:id="rId1"/>
    <sheet name="Sheet1" sheetId="56" r:id="rId2"/>
    <sheet name="Credit Card" sheetId="51" state="hidden" r:id="rId3"/>
    <sheet name="Crypto Dataset" sheetId="45" state="hidden" r:id="rId4"/>
  </sheets>
  <externalReferences>
    <externalReference r:id="rId5"/>
  </externalReferences>
  <definedNames>
    <definedName name="Crypto">Crypto_Dataset[]</definedName>
    <definedName name="HouseChartAxis">#REF!                                                                                                   : INDEX(#REF!,,COUNTA(#REF!))</definedName>
    <definedName name="HouseEffectiveLoanBalance">#REF!                                                                                                     : INDEX(#REF!,,COUNTA(#REF!))</definedName>
    <definedName name="HouseOffsetAmt">#REF!                                                                                                       : INDEX(#REF!,,COUNTA(#REF!))</definedName>
    <definedName name="HouseTotalPrinciple">#REF!                                                                                                       : INDEX(#REF!,,COUNTA(#REF!))</definedName>
    <definedName name="LoanRate">#REF!</definedName>
    <definedName name="payment_due">'[1]Named Ranges'!$A$2:$A$9</definedName>
    <definedName name="payment_frequency">'[1]Payoff Calc. (Extra Payment)'!$E$12</definedName>
    <definedName name="payment_types">'[1]Named Ranges'!$G$1:$G$2</definedName>
    <definedName name="periodic_table">'[1]Named Ranges'!$A$1:$E$9</definedName>
    <definedName name="register">#REF!</definedName>
    <definedName name="register2">#REF!</definedName>
    <definedName name="Wallets">#REF!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M150" i="45" l="1"/>
  <c r="L150" i="45"/>
  <c r="M149" i="45"/>
  <c r="L149" i="45"/>
  <c r="M148" i="45"/>
  <c r="L148" i="45"/>
  <c r="M147" i="45"/>
  <c r="L147" i="45"/>
  <c r="M146" i="45"/>
  <c r="L146" i="45"/>
  <c r="M145" i="45"/>
  <c r="L145" i="45"/>
  <c r="M144" i="45"/>
  <c r="L144" i="45"/>
  <c r="M143" i="45"/>
  <c r="L143" i="45"/>
  <c r="M142" i="45"/>
  <c r="L142" i="45"/>
  <c r="M141" i="45"/>
  <c r="L141" i="45"/>
  <c r="M140" i="45"/>
  <c r="L140" i="45"/>
  <c r="M139" i="45"/>
  <c r="L139" i="45"/>
  <c r="M138" i="45"/>
  <c r="L138" i="45"/>
  <c r="M137" i="45"/>
  <c r="L137" i="45"/>
  <c r="M136" i="45"/>
  <c r="L136" i="45"/>
  <c r="M135" i="45"/>
  <c r="L135" i="45"/>
  <c r="M134" i="45"/>
  <c r="L134" i="45"/>
  <c r="M133" i="45"/>
  <c r="L133" i="45"/>
  <c r="M132" i="45"/>
  <c r="L132" i="45"/>
  <c r="M131" i="45"/>
  <c r="L131" i="45"/>
  <c r="M130" i="45"/>
  <c r="L130" i="45"/>
  <c r="M129" i="45"/>
  <c r="L129" i="45"/>
  <c r="M128" i="45"/>
  <c r="L128" i="45"/>
  <c r="M127" i="45"/>
  <c r="L127" i="45"/>
  <c r="M126" i="45"/>
  <c r="L126" i="45"/>
  <c r="M125" i="45"/>
  <c r="L125" i="45"/>
  <c r="M124" i="45"/>
  <c r="L124" i="45"/>
  <c r="M123" i="45"/>
  <c r="L123" i="45"/>
  <c r="M122" i="45"/>
  <c r="L122" i="45"/>
  <c r="M121" i="45"/>
  <c r="L121" i="45"/>
  <c r="M120" i="45"/>
  <c r="L120" i="45"/>
  <c r="M119" i="45"/>
  <c r="L119" i="45"/>
  <c r="M118" i="45"/>
  <c r="L118" i="45"/>
  <c r="M117" i="45"/>
  <c r="L117" i="45"/>
  <c r="M116" i="45"/>
  <c r="L116" i="45"/>
  <c r="M115" i="45"/>
  <c r="L115" i="45"/>
  <c r="M114" i="45"/>
  <c r="L114" i="45"/>
  <c r="M113" i="45"/>
  <c r="L113" i="45"/>
  <c r="M112" i="45"/>
  <c r="L112" i="45"/>
  <c r="M111" i="45"/>
  <c r="L111" i="45"/>
  <c r="M110" i="45"/>
  <c r="L110" i="45"/>
  <c r="M109" i="45"/>
  <c r="L109" i="45"/>
  <c r="M108" i="45"/>
  <c r="L108" i="45"/>
  <c r="M107" i="45"/>
  <c r="L107" i="45"/>
  <c r="M106" i="45"/>
  <c r="L106" i="45"/>
  <c r="M105" i="45"/>
  <c r="L105" i="45"/>
  <c r="M104" i="45"/>
  <c r="L104" i="45"/>
  <c r="M103" i="45"/>
  <c r="L103" i="45"/>
  <c r="M102" i="45"/>
  <c r="L102" i="45"/>
  <c r="M101" i="45"/>
  <c r="L101" i="45"/>
  <c r="M100" i="45"/>
  <c r="L100" i="45"/>
  <c r="M99" i="45"/>
  <c r="L99" i="45"/>
  <c r="M98" i="45"/>
  <c r="L98" i="45"/>
  <c r="M97" i="45"/>
  <c r="L97" i="45"/>
  <c r="M96" i="45"/>
  <c r="L96" i="45"/>
  <c r="M95" i="45"/>
  <c r="L95" i="45"/>
  <c r="M94" i="45"/>
  <c r="L94" i="45"/>
  <c r="M93" i="45"/>
  <c r="L93" i="45"/>
  <c r="M92" i="45"/>
  <c r="L92" i="45"/>
  <c r="M91" i="45"/>
  <c r="L91" i="45"/>
  <c r="M90" i="45"/>
  <c r="L90" i="45"/>
  <c r="M89" i="45"/>
  <c r="L89" i="45"/>
  <c r="M88" i="45"/>
  <c r="L88" i="45"/>
  <c r="M87" i="45"/>
  <c r="L87" i="45"/>
  <c r="M86" i="45"/>
  <c r="L86" i="45"/>
  <c r="M85" i="45"/>
  <c r="L85" i="45"/>
  <c r="M84" i="45"/>
  <c r="L84" i="45"/>
  <c r="M83" i="45"/>
  <c r="L83" i="45"/>
  <c r="M82" i="45"/>
  <c r="L82" i="45"/>
  <c r="M81" i="45"/>
  <c r="L81" i="45"/>
  <c r="M80" i="45"/>
  <c r="L80" i="45"/>
  <c r="M79" i="45"/>
  <c r="L79" i="45"/>
  <c r="M78" i="45"/>
  <c r="L78" i="45"/>
  <c r="M77" i="45"/>
  <c r="L77" i="45"/>
  <c r="M76" i="45"/>
  <c r="L76" i="45"/>
  <c r="M75" i="45"/>
  <c r="L75" i="45"/>
  <c r="M74" i="45"/>
  <c r="L74" i="45"/>
  <c r="M73" i="45"/>
  <c r="L73" i="45"/>
  <c r="M72" i="45"/>
  <c r="L72" i="45"/>
  <c r="M71" i="45"/>
  <c r="L71" i="45"/>
  <c r="M70" i="45"/>
  <c r="L70" i="45"/>
  <c r="M69" i="45"/>
  <c r="L69" i="45"/>
  <c r="M68" i="45"/>
  <c r="L68" i="45"/>
  <c r="M67" i="45"/>
  <c r="L67" i="45"/>
  <c r="M66" i="45"/>
  <c r="L66" i="45"/>
  <c r="M65" i="45"/>
  <c r="L65" i="45"/>
  <c r="M64" i="45"/>
  <c r="L64" i="45"/>
  <c r="M63" i="45"/>
  <c r="L63" i="45"/>
  <c r="M62" i="45"/>
  <c r="L62" i="45"/>
  <c r="M61" i="45"/>
  <c r="L61" i="45"/>
  <c r="M60" i="45"/>
  <c r="L60" i="45"/>
  <c r="M59" i="45"/>
  <c r="L59" i="45"/>
  <c r="M58" i="45"/>
  <c r="L58" i="45"/>
  <c r="M57" i="45"/>
  <c r="L57" i="45"/>
  <c r="M56" i="45"/>
  <c r="L56" i="45"/>
  <c r="M55" i="45"/>
  <c r="L55" i="45"/>
  <c r="M54" i="45"/>
  <c r="L54" i="45"/>
  <c r="M53" i="45"/>
  <c r="L53" i="45"/>
  <c r="M52" i="45"/>
  <c r="L52" i="45"/>
  <c r="M51" i="45"/>
  <c r="L51" i="45"/>
  <c r="M50" i="45"/>
  <c r="L50" i="45"/>
  <c r="M49" i="45"/>
  <c r="L49" i="45"/>
  <c r="M48" i="45"/>
  <c r="L48" i="45"/>
  <c r="M47" i="45"/>
  <c r="L47" i="45"/>
  <c r="M46" i="45"/>
  <c r="L46" i="45"/>
  <c r="M45" i="45"/>
  <c r="L45" i="45"/>
  <c r="M44" i="45"/>
  <c r="L44" i="45"/>
  <c r="M43" i="45"/>
  <c r="L43" i="45"/>
  <c r="M42" i="45"/>
  <c r="L42" i="45"/>
  <c r="M41" i="45"/>
  <c r="L41" i="45"/>
  <c r="M40" i="45"/>
  <c r="L40" i="45"/>
  <c r="M39" i="45"/>
  <c r="L39" i="45"/>
  <c r="M38" i="45"/>
  <c r="L38" i="45"/>
  <c r="M37" i="45"/>
  <c r="L37" i="45"/>
  <c r="M36" i="45"/>
  <c r="L36" i="45"/>
  <c r="M35" i="45"/>
  <c r="L35" i="45"/>
  <c r="M34" i="45"/>
  <c r="L34" i="45"/>
  <c r="M33" i="45"/>
  <c r="L33" i="45"/>
  <c r="M32" i="45"/>
  <c r="L32" i="45"/>
  <c r="M31" i="45"/>
  <c r="L31" i="45"/>
  <c r="M30" i="45"/>
  <c r="L30" i="45"/>
  <c r="M29" i="45"/>
  <c r="L29" i="45"/>
  <c r="M28" i="45"/>
  <c r="L28" i="45"/>
  <c r="M27" i="45"/>
  <c r="L27" i="45"/>
  <c r="M26" i="45"/>
  <c r="L26" i="45"/>
  <c r="M25" i="45"/>
  <c r="L25" i="45"/>
  <c r="M24" i="45"/>
  <c r="L24" i="45"/>
  <c r="M23" i="45"/>
  <c r="L23" i="45"/>
  <c r="M22" i="45"/>
  <c r="L22" i="45"/>
  <c r="M21" i="45"/>
  <c r="L21" i="45"/>
  <c r="M20" i="45"/>
  <c r="L20" i="45"/>
  <c r="M19" i="45"/>
  <c r="L19" i="45"/>
  <c r="M18" i="45"/>
  <c r="L18" i="45"/>
  <c r="M17" i="45"/>
  <c r="L17" i="45"/>
  <c r="M16" i="45"/>
  <c r="L16" i="45"/>
  <c r="M15" i="45"/>
  <c r="L15" i="45"/>
  <c r="M14" i="45"/>
  <c r="L14" i="45"/>
  <c r="M13" i="45"/>
  <c r="L13" i="45"/>
  <c r="M12" i="45"/>
  <c r="L12" i="45"/>
  <c r="M11" i="45"/>
  <c r="L11" i="45"/>
  <c r="M10" i="45"/>
  <c r="L10" i="45"/>
  <c r="M9" i="45"/>
  <c r="L9" i="45"/>
  <c r="M8" i="45"/>
  <c r="L8" i="45"/>
  <c r="M7" i="45"/>
  <c r="L7" i="45"/>
  <c r="M6" i="45"/>
  <c r="L6" i="45"/>
  <c r="M5" i="45"/>
  <c r="L5" i="45"/>
  <c r="M4" i="45"/>
  <c r="L4" i="45"/>
  <c r="M3" i="45"/>
  <c r="L3" i="45"/>
  <c r="M2" i="45"/>
  <c r="L2" i="45"/>
  <c r="F17" i="51"/>
  <c r="E17" i="51"/>
  <c r="D17" i="51"/>
  <c r="C17" i="51"/>
  <c r="F16" i="51"/>
  <c r="E16" i="51"/>
  <c r="D16" i="51"/>
</calcChain>
</file>

<file path=xl/sharedStrings.xml><?xml version="1.0" encoding="utf-8"?>
<sst xmlns="http://schemas.openxmlformats.org/spreadsheetml/2006/main" count="844" uniqueCount="331">
  <si>
    <t>Date</t>
  </si>
  <si>
    <t>Amount</t>
  </si>
  <si>
    <t>Pay</t>
  </si>
  <si>
    <t>?</t>
  </si>
  <si>
    <t>Row Labels</t>
  </si>
  <si>
    <t>Grand Total</t>
  </si>
  <si>
    <t>Column Labels</t>
  </si>
  <si>
    <t>Sum of Amount</t>
  </si>
  <si>
    <t>Travel</t>
  </si>
  <si>
    <t>Transaction Date</t>
  </si>
  <si>
    <t>Type</t>
  </si>
  <si>
    <t>Market</t>
  </si>
  <si>
    <t>Rate inc. fee</t>
  </si>
  <si>
    <t>Rate ex. fee</t>
  </si>
  <si>
    <t>Fee</t>
  </si>
  <si>
    <t>Fee AUD (inc GST)</t>
  </si>
  <si>
    <t>GST AUD</t>
  </si>
  <si>
    <t>Total AUD</t>
  </si>
  <si>
    <t>Total (inc GST)</t>
  </si>
  <si>
    <t>Buy</t>
  </si>
  <si>
    <t>ETH/AUD</t>
  </si>
  <si>
    <t>150.00 AUD</t>
  </si>
  <si>
    <t>XRP/AUD</t>
  </si>
  <si>
    <t>POWR/AUD</t>
  </si>
  <si>
    <t>ADA/AUD</t>
  </si>
  <si>
    <t>DOT/AUD</t>
  </si>
  <si>
    <t>ZIL/AUD</t>
  </si>
  <si>
    <t>BTC/AUD</t>
  </si>
  <si>
    <t>NEO/AUD</t>
  </si>
  <si>
    <t>500.00 AUD</t>
  </si>
  <si>
    <t>300.00 AUD</t>
  </si>
  <si>
    <t>0.01 AUD</t>
  </si>
  <si>
    <t>149.99 AUD</t>
  </si>
  <si>
    <t>250.00 AUD</t>
  </si>
  <si>
    <t>HOT/AUD</t>
  </si>
  <si>
    <t>5.00 AUD</t>
  </si>
  <si>
    <t>1009.38 AUD</t>
  </si>
  <si>
    <t>11.97 AUD</t>
  </si>
  <si>
    <t>47.66 AUD</t>
  </si>
  <si>
    <t>95.45 AUD</t>
  </si>
  <si>
    <t>0.00 AUD</t>
  </si>
  <si>
    <t>190.62 AUD</t>
  </si>
  <si>
    <t>381.77 AUD</t>
  </si>
  <si>
    <t>763.15 AUD</t>
  </si>
  <si>
    <t>20.00 AUD</t>
  </si>
  <si>
    <t>180.00 AUD</t>
  </si>
  <si>
    <t>100.00 AUD</t>
  </si>
  <si>
    <t>2271.36 AUD</t>
  </si>
  <si>
    <t>728.64 AUD</t>
  </si>
  <si>
    <t>2646.74 AUD</t>
  </si>
  <si>
    <t>353.26 AUD</t>
  </si>
  <si>
    <t>2000.00 AUD</t>
  </si>
  <si>
    <t>191.43 AUD</t>
  </si>
  <si>
    <t>8.57 AUD</t>
  </si>
  <si>
    <t>200.00 AUD</t>
  </si>
  <si>
    <t>Sell</t>
  </si>
  <si>
    <t>491.05 AUD</t>
  </si>
  <si>
    <t>1508.95 AUD</t>
  </si>
  <si>
    <t>4000.00 AUD</t>
  </si>
  <si>
    <t>3000.00 AUD</t>
  </si>
  <si>
    <t>5000.00 AUD</t>
  </si>
  <si>
    <t>2500.00 AUD</t>
  </si>
  <si>
    <t>3529.22 AUD</t>
  </si>
  <si>
    <t>442.87 AUD</t>
  </si>
  <si>
    <t>7000.00 AUD</t>
  </si>
  <si>
    <t>1050.16 AUD</t>
  </si>
  <si>
    <t>43.70 AUD</t>
  </si>
  <si>
    <t>540.25 AUD</t>
  </si>
  <si>
    <t>356.26 AUD</t>
  </si>
  <si>
    <t>9.64 AUD</t>
  </si>
  <si>
    <t>1000.00 AUD</t>
  </si>
  <si>
    <t>1500.00 AUD</t>
  </si>
  <si>
    <t>2848.71 AUD</t>
  </si>
  <si>
    <t>TRX/AUD</t>
  </si>
  <si>
    <t>LTC/AUD</t>
  </si>
  <si>
    <t>600.00 AUD</t>
  </si>
  <si>
    <t>1638.05 AUD</t>
  </si>
  <si>
    <t>2279.30 AUD</t>
  </si>
  <si>
    <t>QTUM/AUD</t>
  </si>
  <si>
    <t>2147.94 AUD</t>
  </si>
  <si>
    <t>OMG/AUD</t>
  </si>
  <si>
    <t>WTC/AUD</t>
  </si>
  <si>
    <t>973.11 AUD</t>
  </si>
  <si>
    <t>400.00 AUD</t>
  </si>
  <si>
    <t>350.00 AUD</t>
  </si>
  <si>
    <t>RDN/AUD</t>
  </si>
  <si>
    <t>TFUEL/AUD</t>
  </si>
  <si>
    <t>FIL/AUD</t>
  </si>
  <si>
    <t>47.00 AUD</t>
  </si>
  <si>
    <t>46.00 AUD</t>
  </si>
  <si>
    <t>Total AUD Final</t>
  </si>
  <si>
    <t>Total Amount Final</t>
  </si>
  <si>
    <t>34.65346534653463 AUD</t>
  </si>
  <si>
    <t>3500.00 AUD</t>
  </si>
  <si>
    <t>0.23762376237623783 AUD</t>
  </si>
  <si>
    <t>24.00 AUD</t>
  </si>
  <si>
    <t>49.50495049504934 AUD</t>
  </si>
  <si>
    <t>24.75247524752467 AUD</t>
  </si>
  <si>
    <t>6.435643564356496 AUD</t>
  </si>
  <si>
    <t>650.00 AUD</t>
  </si>
  <si>
    <t>5.940594059405953 AUD</t>
  </si>
  <si>
    <t>2.47524752475249 AUD</t>
  </si>
  <si>
    <t>4.95049504950498 AUD</t>
  </si>
  <si>
    <t>3.9603960396039497 AUD</t>
  </si>
  <si>
    <t>11.881188118811906 AUD</t>
  </si>
  <si>
    <t>1200.00 AUD</t>
  </si>
  <si>
    <t>9.90099009900996 AUD</t>
  </si>
  <si>
    <t>16.21831683168307 AUD</t>
  </si>
  <si>
    <t>16.54596494506677 AUD</t>
  </si>
  <si>
    <t>1638.0505295616001 AUD</t>
  </si>
  <si>
    <t>22.567326732673337 AUD</t>
  </si>
  <si>
    <t>9.48796342397975 AUD</t>
  </si>
  <si>
    <t>939.308378974 AUD</t>
  </si>
  <si>
    <t>13.535282220142335 AUD</t>
  </si>
  <si>
    <t>1339.992939794082 AUD</t>
  </si>
  <si>
    <t>21.266732673267143 AUD</t>
  </si>
  <si>
    <t>5.119008426533696 AUD</t>
  </si>
  <si>
    <t>506.78183422683304 AUD</t>
  </si>
  <si>
    <t>5.38787384201612 AUD</t>
  </si>
  <si>
    <t>533.3995103596001 AUD</t>
  </si>
  <si>
    <t>6.616816482685522 AUD</t>
  </si>
  <si>
    <t>655.0648317858614 AUD</t>
  </si>
  <si>
    <t>4.300451060227431 AUD</t>
  </si>
  <si>
    <t>425.744654962515 AUD</t>
  </si>
  <si>
    <t>9.634752475247524 AUD</t>
  </si>
  <si>
    <t>3.465346534653463 AUD</t>
  </si>
  <si>
    <t>BTTC/AUD</t>
  </si>
  <si>
    <t>10.10101010101016 AUD</t>
  </si>
  <si>
    <t>1000 AUD</t>
  </si>
  <si>
    <t>0.4653465346534631 AUD</t>
  </si>
  <si>
    <t>0.4554455445544576 AUD</t>
  </si>
  <si>
    <t>1.4851485148514882 AUD</t>
  </si>
  <si>
    <t>XNO/AUD</t>
  </si>
  <si>
    <t>2.9702970297029765 AUD</t>
  </si>
  <si>
    <t>0.000009561599999999499 AUD</t>
  </si>
  <si>
    <t>0.14999039999999653 AUD</t>
  </si>
  <si>
    <t>0.2499998482800047 AUD</t>
  </si>
  <si>
    <t>0.24999999999770295 AUD</t>
  </si>
  <si>
    <t>0.04950495049504955 AUD</t>
  </si>
  <si>
    <t>1.0093789606871157 AUD</t>
  </si>
  <si>
    <t>0.5000000071718472 AUD</t>
  </si>
  <si>
    <t>0.011971827080849193 AUD</t>
  </si>
  <si>
    <t>0.04766335074839746 AUD</t>
  </si>
  <si>
    <t>0.09544681878444365 AUD</t>
  </si>
  <si>
    <t>6.500010100000158e-8 AUD</t>
  </si>
  <si>
    <t>0.19062342860652767 AUD</t>
  </si>
  <si>
    <t>0.3817668889025925 AUD</t>
  </si>
  <si>
    <t>0.7631486991693285 AUD</t>
  </si>
  <si>
    <t>0.020000000711885787 AUD</t>
  </si>
  <si>
    <t>0.18000000642935815 AUD</t>
  </si>
  <si>
    <t>0.09999950999999366 AUD</t>
  </si>
  <si>
    <t>0.24999974999999297 AUD</t>
  </si>
  <si>
    <t>2.2713571127960197 AUD</t>
  </si>
  <si>
    <t>0.7286428872025363 AUD</t>
  </si>
  <si>
    <t>2.6467354469945623 AUD</t>
  </si>
  <si>
    <t>0.35326455300414694 AUD</t>
  </si>
  <si>
    <t>1.999999999822771 AUD</t>
  </si>
  <si>
    <t>0.1914287744999883 AUD</t>
  </si>
  <si>
    <t>0.008571225000000016 AUD</t>
  </si>
  <si>
    <t>1.9801980198019749 AUD</t>
  </si>
  <si>
    <t>0.9900990099009874 AUD</t>
  </si>
  <si>
    <t>9.544709715100907 AUD</t>
  </si>
  <si>
    <t>9535.165005384899 AUD</t>
  </si>
  <si>
    <t>0.3990010439999878 AUD</t>
  </si>
  <si>
    <t>398.602042956 AUD</t>
  </si>
  <si>
    <t>0.49104753583861566 AUD</t>
  </si>
  <si>
    <t>1.5089524641609704 AUD</t>
  </si>
  <si>
    <t>39.60396039603984 AUD</t>
  </si>
  <si>
    <t>29.70297029702988 AUD</t>
  </si>
  <si>
    <t>196.60917663179862 AUD</t>
  </si>
  <si>
    <t>19464.308486548034 AUD</t>
  </si>
  <si>
    <t>19.80198019801992 AUD</t>
  </si>
  <si>
    <t>101.0101010101007 AUD</t>
  </si>
  <si>
    <t>10000 AUD</t>
  </si>
  <si>
    <t>50.50505050505035 AUD</t>
  </si>
  <si>
    <t>5000 AUD</t>
  </si>
  <si>
    <t>34.94277227722796 AUD</t>
  </si>
  <si>
    <t>96.25475319264842 AUD</t>
  </si>
  <si>
    <t>9529.220566072101 AUD</t>
  </si>
  <si>
    <t>4.384851485148545 AUD</t>
  </si>
  <si>
    <t>69.30693069306926 AUD</t>
  </si>
  <si>
    <t>115.58459307572957 AUD</t>
  </si>
  <si>
    <t>11442.874714497191 AUD</t>
  </si>
  <si>
    <t>10.39762376237627 AUD</t>
  </si>
  <si>
    <t>0.04369539999999802 AUD</t>
  </si>
  <si>
    <t>0.5402495860556156 AUD</t>
  </si>
  <si>
    <t>0.35625635237958936 AUD</t>
  </si>
  <si>
    <t>0.009640000119999428 AUD</t>
  </si>
  <si>
    <t>14.85148514851494 AUD</t>
  </si>
  <si>
    <t>28.205049504950694 AUD</t>
  </si>
  <si>
    <t>1.0987941191568638 AUD</t>
  </si>
  <si>
    <t>108.78061779652963 AUD</t>
  </si>
  <si>
    <t>1.8707084962525187 AUD</t>
  </si>
  <si>
    <t>185.200141129 AUD</t>
  </si>
  <si>
    <t>0.7313768278863648 AUD</t>
  </si>
  <si>
    <t>72.40630596075023 AUD</t>
  </si>
  <si>
    <t>1.0137420325454514 AUD</t>
  </si>
  <si>
    <t>100.360461222 AUD</t>
  </si>
  <si>
    <t>24.06020896513928 AUD</t>
  </si>
  <si>
    <t>2381.9606875488 AUD</t>
  </si>
  <si>
    <t>7.281553398058264 AUD</t>
  </si>
  <si>
    <t>14.563106796116529 AUD</t>
  </si>
  <si>
    <t>Interest Rate</t>
  </si>
  <si>
    <t>Total</t>
  </si>
  <si>
    <t>Utilities</t>
  </si>
  <si>
    <t>Financial Services</t>
  </si>
  <si>
    <t>Occupancy</t>
  </si>
  <si>
    <t>Insurance</t>
  </si>
  <si>
    <t>ANZ Frequent Flyer Black credit card</t>
  </si>
  <si>
    <t>NAB Qantas Rewards Signature Card</t>
  </si>
  <si>
    <t>NAB Qantas Business Signature Card</t>
  </si>
  <si>
    <t>Westpac Altitude Qantas Black credit card</t>
  </si>
  <si>
    <t>Bonus Points</t>
  </si>
  <si>
    <t>Earn Rate (Per Dollar)</t>
  </si>
  <si>
    <t>Annual Fee</t>
  </si>
  <si>
    <t>International Fees</t>
  </si>
  <si>
    <t>Unauthorised Transaction Insurance~
Transport Accident Insurance~
24/7 Emergency assistance if your card is lost or stolen
Visa's Concierge Service**
Visa Offers and Perks***</t>
  </si>
  <si>
    <t>Other benefits</t>
  </si>
  <si>
    <t>Cap (per statement period)</t>
  </si>
  <si>
    <t>Bonus Eligibility</t>
  </si>
  <si>
    <t>Additional Bonus Points</t>
  </si>
  <si>
    <t>1 point up to $7,500
0.5 above $7,500</t>
  </si>
  <si>
    <t>NA</t>
  </si>
  <si>
    <t>2 Complimentary Qantas Club Lounge Invitations per year±
Discounted Qantas Club Membership#
Additional point per $1 on selected Qantas spend~
Complimentary Insurances§</t>
  </si>
  <si>
    <t>$5,000 in 90 days for 100,000 points</t>
  </si>
  <si>
    <t>5 complimentary insurances
NAB Concierge Service</t>
  </si>
  <si>
    <t>$3,000 in 60 days for 90,000 points</t>
  </si>
  <si>
    <t>Conditions</t>
  </si>
  <si>
    <t>$395 on second year</t>
  </si>
  <si>
    <t>20.49% PA on purchases + 21.99% cash advances</t>
  </si>
  <si>
    <t>$6,000 in 120 days for 90,000 points</t>
  </si>
  <si>
    <t>2 Complimentary Qantas Club Lounge Invitations per year+
Complimentary Travel Insurance^^
Complimentary cover for Interstate Flight Inconvenience and International Travel Insurance</t>
  </si>
  <si>
    <t>Points do not expire  so long as the card account is open and active</t>
  </si>
  <si>
    <t>Positive factors</t>
  </si>
  <si>
    <t>$250 discounted on first year
(credited within 3 months of meeting criteria)</t>
  </si>
  <si>
    <t>30,000 points over 12 months
(credited within 3 months of meeting criteria)</t>
  </si>
  <si>
    <t>30,000 points after first purchase in year 2
(credited within 3 months)</t>
  </si>
  <si>
    <t xml:space="preserve">30,000 after 12 months
</t>
  </si>
  <si>
    <t>$4,000 in 60 days for 150,000 points
(credited within 3 months of meeting criteria)</t>
  </si>
  <si>
    <t>Criteria</t>
  </si>
  <si>
    <t>Transactions that don't earn points</t>
  </si>
  <si>
    <t>Cash advances, bank fees, government fees (except ATO payments), balance transfers, foreign exchange, gambling, and unauthorized or fraudulent transactions​</t>
  </si>
  <si>
    <t>interest charges, bank fees, government charges, balance transfers, cash advances, and certain merchant-identified transactions​</t>
  </si>
  <si>
    <t>all fees, interest charges, cash advances, balance transfers, government-related payments, and others​</t>
  </si>
  <si>
    <t>Points gathered with $13,500</t>
  </si>
  <si>
    <t>Year 1: $295 (103,500 points)
Year 2: $690 (133,500 points)</t>
  </si>
  <si>
    <t>Year 1: $370 (100,125 points)
Year 2: $740 (130,125 points)</t>
  </si>
  <si>
    <t>Total Cost + Points Accrued based off conditions</t>
  </si>
  <si>
    <t>Year 1: $295 (158,901 points)</t>
  </si>
  <si>
    <t>Sum Total Points (after 12 months)</t>
  </si>
  <si>
    <t>Sum Total Points (Pre 12 months)</t>
  </si>
  <si>
    <t>Purchase Rate 18.50% &amp; Cash advance rate 21.74% PA</t>
  </si>
  <si>
    <t>Qantas Business Signature Account required for setup.</t>
  </si>
  <si>
    <t>Rodean Notes</t>
  </si>
  <si>
    <t>Syd to Paris</t>
  </si>
  <si>
    <t>Paris to Syd</t>
  </si>
  <si>
    <t>Year 1: $425 (110,500 points)
Year 2: $600 (140,00 points)</t>
  </si>
  <si>
    <t xml:space="preserve">Up to 55 interest-free days on purchases
Minimum credit limit $15,000
</t>
  </si>
  <si>
    <t>FLR/AUD</t>
  </si>
  <si>
    <t>1.5974190569234281 AUD</t>
  </si>
  <si>
    <t>158.14448663542035 AUD</t>
  </si>
  <si>
    <t>0.20202020202020066 AUD</t>
  </si>
  <si>
    <t>20 AUD</t>
  </si>
  <si>
    <t>0.0990099009900991 AUD</t>
  </si>
  <si>
    <t>10.00 AUD</t>
  </si>
  <si>
    <t>0.15151515151515227 AUD</t>
  </si>
  <si>
    <t>15 AUD</t>
  </si>
  <si>
    <t>2.2803030303030313e-7 AUD</t>
  </si>
  <si>
    <t>0.000022575 AUD</t>
  </si>
  <si>
    <t>SGB/AUD</t>
  </si>
  <si>
    <t>Food and Dining</t>
  </si>
  <si>
    <t>Healthcare</t>
  </si>
  <si>
    <t>Shopping and Retail</t>
  </si>
  <si>
    <t>Entertainment and Recreation</t>
  </si>
  <si>
    <t>Miscellaneous Expenses</t>
  </si>
  <si>
    <t>Accomodation</t>
  </si>
  <si>
    <t>Housing</t>
  </si>
  <si>
    <t>Business Services and Equipment</t>
  </si>
  <si>
    <t>Public Service</t>
  </si>
  <si>
    <t>Henry St Apartment</t>
  </si>
  <si>
    <t>Travel: Public</t>
  </si>
  <si>
    <t>Travel: Car</t>
  </si>
  <si>
    <t>Personal</t>
  </si>
  <si>
    <t>Telecommunications</t>
  </si>
  <si>
    <t>Sum of Total AUD Final</t>
  </si>
  <si>
    <t>reg required</t>
  </si>
  <si>
    <t>Call Id</t>
  </si>
  <si>
    <t>Agent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</si>
  <si>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</si>
  <si>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</si>
  <si>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</si>
  <si>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</si>
  <si>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</si>
  <si>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</si>
  <si>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</si>
  <si>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Diane</t>
  </si>
  <si>
    <t>Contract related</t>
  </si>
  <si>
    <t>Y</t>
  </si>
  <si>
    <t>Becky</t>
  </si>
  <si>
    <t>Technical Support</t>
  </si>
  <si>
    <t>N</t>
  </si>
  <si>
    <t>Stewart</t>
  </si>
  <si>
    <t>Greg</t>
  </si>
  <si>
    <t>Payment related</t>
  </si>
  <si>
    <t>Admin Support</t>
  </si>
  <si>
    <t>Jim</t>
  </si>
  <si>
    <t>Streaming</t>
  </si>
  <si>
    <t>Joe</t>
  </si>
  <si>
    <t>Martha</t>
  </si>
  <si>
    <t>Dan</t>
  </si>
  <si>
    <t>2021-01-02</t>
  </si>
  <si>
    <t>ID0081</t>
  </si>
  <si>
    <t>ID0082</t>
  </si>
  <si>
    <t>ID0083</t>
  </si>
  <si>
    <t>ID0084</t>
  </si>
  <si>
    <t>ID0085</t>
  </si>
  <si>
    <t>ID0086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</si>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</sst>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#,##0_);[Red]\(&quot;$&quot;#,##0\)"/>
    <numFmt numFmtId="167" formatCode="0;\-0;;@"/>
    <numFmt numFmtId="168" formatCode="&quot;$&quot;#,##0.00"/>
    <numFmt numFmtId="169" formatCode="_-[$$-C09]* #,##0.00_-;\-[$$-C09]* #,##0.00_-;_-[$$-C09]* &quot;-&quot;??_-;_-@_-"/>
    <numFmt numFmtId="170" formatCode="[$-F800]dddd\,\ mmmm\ dd\,\ yyyy"/>
    <numFmt numFmtId="171" formatCode="d/m/yy\ h:mm"/>
    <numFmt numFmtId="172" formatCode="d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9" tint="0.59996337778862885"/>
      </bottom>
      <diagonal/>
    </border>
    <border>
      <left/>
      <right/>
      <top/>
      <bottom style="thick">
        <color theme="9"/>
      </bottom>
      <diagonal/>
    </border>
    <border>
      <left/>
      <right/>
      <top style="thin">
        <color theme="9"/>
      </top>
      <bottom style="double">
        <color theme="9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 diagonalDown="1">
      <left/>
      <right/>
      <top/>
      <bottom/>
      <diagonal style="thin">
        <color rgb="FFFF0000"/>
      </diagonal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5" fontId="16" fillId="0" borderId="12" applyFill="0" applyAlignment="0" applyProtection="0"/>
    <xf numFmtId="0" fontId="4" fillId="0" borderId="10" applyFill="0" applyAlignment="0" applyProtection="0"/>
    <xf numFmtId="0" fontId="3" fillId="0" borderId="11" applyFill="0" applyAlignment="0" applyProtection="0"/>
    <xf numFmtId="169" fontId="1" fillId="30" borderId="13" applyFill="0">
      <alignment horizontal="center"/>
    </xf>
    <xf numFmtId="0" fontId="20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8" fontId="0" fillId="0" borderId="0" xfId="0" applyNumberFormat="1" applyAlignment="1">
      <alignment horizontal="center" vertical="center"/>
    </xf>
    <xf numFmtId="22" fontId="0" fillId="0" borderId="0" xfId="0" applyNumberFormat="1"/>
    <xf numFmtId="165" fontId="0" fillId="33" borderId="0" xfId="0" applyNumberFormat="1" applyFill="1" applyAlignment="1">
      <alignment horizontal="left"/>
    </xf>
    <xf numFmtId="0" fontId="0" fillId="33" borderId="0" xfId="0" applyFill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 wrapText="1"/>
    </xf>
    <xf numFmtId="168" fontId="0" fillId="0" borderId="14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166" fontId="0" fillId="0" borderId="14" xfId="0" applyNumberForma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71" fontId="0" fillId="0" borderId="0" xfId="0" applyNumberFormat="1"/>
    <xf numFmtId="16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7" xr:uid="{20470736-BAD7-457C-9304-CC8E86923491}"/>
    <cellStyle name="60% - Accent2" xfId="25" builtinId="36" customBuiltin="1"/>
    <cellStyle name="60% - Accent2 2" xfId="48" xr:uid="{B7C47791-4A2D-481A-91CE-AFD7954C635B}"/>
    <cellStyle name="60% - Accent3" xfId="29" builtinId="40" customBuiltin="1"/>
    <cellStyle name="60% - Accent3 2" xfId="49" xr:uid="{5AFA1118-6087-4387-80B8-F3DE5F35068E}"/>
    <cellStyle name="60% - Accent4" xfId="33" builtinId="44" customBuiltin="1"/>
    <cellStyle name="60% - Accent4 2" xfId="50" xr:uid="{5E7B3090-4EF6-4D9C-82D6-D8C114647CE9}"/>
    <cellStyle name="60% - Accent5" xfId="37" builtinId="48" customBuiltin="1"/>
    <cellStyle name="60% - Accent5 2" xfId="51" xr:uid="{E575EADD-FB29-4175-8AF3-CC70887759C6}"/>
    <cellStyle name="60% - Accent6" xfId="41" builtinId="52" customBuiltin="1"/>
    <cellStyle name="60% - Accent6 2" xfId="52" xr:uid="{6D32A5D8-FEC8-4CA6-882A-05D004E2631E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Pay" xfId="44" xr:uid="{55AB5A3B-AD50-0041-A497-5333EA1F60F8}"/>
    <cellStyle name="Heading 2" xfId="3" builtinId="17" customBuiltin="1"/>
    <cellStyle name="Heading 2: Pay" xfId="43" xr:uid="{33D08EC5-D55B-454F-8DBA-8CB02073C75A}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6" xr:uid="{533CA2D8-7F19-4589-845E-A3CBC409C762}"/>
    <cellStyle name="Normal" xfId="0" builtinId="0"/>
    <cellStyle name="Note" xfId="15" builtinId="10" customBuiltin="1"/>
    <cellStyle name="Output" xfId="10" builtinId="21" customBuiltin="1"/>
    <cellStyle name="Pay: Cell" xfId="45" xr:uid="{FEC9B6D0-6FE5-8B47-B482-8D3B96269969}"/>
    <cellStyle name="Title" xfId="1" builtinId="15" customBuiltin="1"/>
    <cellStyle name="Total" xfId="17" builtinId="25" customBuiltin="1"/>
    <cellStyle name="Total: Pay" xfId="42" xr:uid="{426C4598-731A-F246-A183-CE107214EB7C}"/>
    <cellStyle name="Warning Text" xfId="14" builtinId="11" customBuiltin="1"/>
  </cellStyles>
  <dxfs count="12"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71" formatCode="d/m/yy\ h:mm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1" outline="0">
        <left/>
        <right/>
        <top/>
        <bottom/>
        <diagonal style="thin">
          <color rgb="FFFF0000"/>
        </diagonal>
      </border>
    </dxf>
    <dxf>
      <font>
        <b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26" formatCode="h:mm:ss"/>
    </dxf>
    <dxf>
      <numFmt numFmtId="26" formatCode="h:mm:ss"/>
    </dxf>
  </dxfs>
  <tableStyles count="0" defaultTableStyle="TableStyleMedium2" defaultPivotStyle="PivotStyleLight16"/>
  <colors>
    <mruColors>
      <color rgb="FFFF9999"/>
      <color rgb="FFFF99FF"/>
      <color rgb="FFFF5050"/>
      <color rgb="FFFFCCCC"/>
      <color rgb="FFFF2D2D"/>
      <color rgb="FFA80000"/>
      <color rgb="FFC00000"/>
      <color rgb="FF385723"/>
      <color rgb="FFAE0000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:\Users\Rodean\Downloads\Mortgage-Repayment-Calculator-with-Offset-Account-and-Extra-Payments.xlsx" TargetMode="External"/><Relationship Id="rId1" Type="http://schemas.openxmlformats.org/officeDocument/2006/relationships/externalLinkPath" Target="/Users/Rodean/Downloads/Mortgage-Repayment-Calculator-with-Offset-Account-and-Extra-Pay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payment Checklist"/>
      <sheetName val="Home Page"/>
      <sheetName val="Payoff Calc. (Extra Payment)"/>
      <sheetName val="@"/>
      <sheetName val="Named Ranges"/>
    </sheetNames>
    <sheetDataSet>
      <sheetData sheetId="0" refreshError="1"/>
      <sheetData sheetId="1" refreshError="1"/>
      <sheetData sheetId="2">
        <row r="12">
          <cell r="E12" t="str">
            <v>Weekly</v>
          </cell>
        </row>
      </sheetData>
      <sheetData sheetId="3" refreshError="1"/>
      <sheetData sheetId="4">
        <row r="1">
          <cell r="A1" t="str">
            <v>Interest Compounded</v>
          </cell>
          <cell r="B1" t="str">
            <v>Calculated After
(Days or Months)</v>
          </cell>
          <cell r="C1" t="str">
            <v>No. of Payments/Year</v>
          </cell>
          <cell r="D1" t="str">
            <v>Name</v>
          </cell>
          <cell r="E1" t="str">
            <v>Number</v>
          </cell>
          <cell r="G1" t="str">
            <v>End of the Period</v>
          </cell>
        </row>
        <row r="2">
          <cell r="A2" t="str">
            <v>Weekly</v>
          </cell>
          <cell r="B2">
            <v>7</v>
          </cell>
          <cell r="C2">
            <v>52</v>
          </cell>
          <cell r="D2" t="str">
            <v>Weeks</v>
          </cell>
          <cell r="E2">
            <v>1</v>
          </cell>
          <cell r="G2" t="str">
            <v>Beginning of the Period</v>
          </cell>
        </row>
        <row r="3">
          <cell r="A3" t="str">
            <v>Bi-weekly</v>
          </cell>
          <cell r="B3">
            <v>14</v>
          </cell>
          <cell r="C3">
            <v>26</v>
          </cell>
          <cell r="D3" t="str">
            <v>Bi-weekly</v>
          </cell>
          <cell r="E3">
            <v>2</v>
          </cell>
        </row>
        <row r="4">
          <cell r="A4" t="str">
            <v>Semi-monthly</v>
          </cell>
          <cell r="B4">
            <v>15</v>
          </cell>
          <cell r="C4">
            <v>24</v>
          </cell>
          <cell r="D4" t="str">
            <v>Semi-monthly</v>
          </cell>
        </row>
        <row r="5">
          <cell r="A5" t="str">
            <v>Monthly</v>
          </cell>
          <cell r="B5">
            <v>1</v>
          </cell>
          <cell r="C5">
            <v>12</v>
          </cell>
          <cell r="D5" t="str">
            <v>Months</v>
          </cell>
          <cell r="E5">
            <v>1</v>
          </cell>
        </row>
        <row r="6">
          <cell r="A6" t="str">
            <v>Bi-monthly</v>
          </cell>
          <cell r="B6">
            <v>2</v>
          </cell>
          <cell r="C6">
            <v>6</v>
          </cell>
          <cell r="D6" t="str">
            <v>Bi-monthly</v>
          </cell>
          <cell r="E6">
            <v>2</v>
          </cell>
        </row>
        <row r="7">
          <cell r="A7" t="str">
            <v>Quarterly</v>
          </cell>
          <cell r="B7">
            <v>3</v>
          </cell>
          <cell r="C7">
            <v>4</v>
          </cell>
          <cell r="D7" t="str">
            <v>Quarters</v>
          </cell>
          <cell r="E7">
            <v>3</v>
          </cell>
        </row>
        <row r="8">
          <cell r="A8" t="str">
            <v>Semi-annually</v>
          </cell>
          <cell r="B8">
            <v>6</v>
          </cell>
          <cell r="C8">
            <v>2</v>
          </cell>
          <cell r="D8" t="str">
            <v>Semi-annually</v>
          </cell>
          <cell r="E8">
            <v>6</v>
          </cell>
        </row>
        <row r="9">
          <cell r="A9" t="str">
            <v>Yearly</v>
          </cell>
          <cell r="B9">
            <v>12</v>
          </cell>
          <cell r="C9">
            <v>1</v>
          </cell>
          <cell r="D9" t="str">
            <v>Years</v>
          </cell>
          <cell r="E9">
            <v>12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ean" refreshedDate="45886.717057754628" createdVersion="6" refreshedVersion="8" minRefreshableVersion="3" recordCount="6496" xr:uid="{29DDC36F-517B-4F4C-8969-FDB5205B0ED9}">
  <cacheSource type="worksheet">
    <worksheetSource name="RRDataset"/>
  </cacheSource>
  <cacheFields count="12">
    <cacheField name="Date" numFmtId="170">
      <sharedItems containsSemiMixedTypes="0" containsNonDate="0" containsDate="1" containsString="0" minDate="2010-04-29T00:00:00" maxDate="2025-02-22T00:00:00" count="1958">
        <d v="2025-02-21T00:00:00"/>
        <d v="2025-02-20T00:00:00"/>
        <d v="2025-02-18T00:00:00"/>
        <d v="2025-02-17T00:00:00"/>
        <d v="2025-02-14T00:00:00"/>
        <d v="2025-02-13T00:00:00"/>
        <d v="2025-02-12T00:00:00"/>
        <d v="2025-02-11T00:00:00"/>
        <d v="2025-02-06T00:00:00"/>
        <d v="2025-02-05T00:00:00"/>
        <d v="2025-02-04T00:00:00"/>
        <d v="2025-02-02T00:00:00"/>
        <d v="2025-02-01T00:00:00"/>
        <d v="2025-01-30T00:00:00"/>
        <d v="2025-01-29T00:00:00"/>
        <d v="2025-01-28T00:00:00"/>
        <d v="2025-01-26T00:00:00"/>
        <d v="2025-01-24T00:00:00"/>
        <d v="2025-01-23T00:00:00"/>
        <d v="2025-01-21T00:00:00"/>
        <d v="2025-01-20T00:00:00"/>
        <d v="2025-01-19T00:00:00"/>
        <d v="2025-01-18T00:00:00"/>
        <d v="2025-01-17T00:00:00"/>
        <d v="2025-01-16T00:00:00"/>
        <d v="2025-01-14T00:00:00"/>
        <d v="2025-01-11T00:00:00"/>
        <d v="2025-01-10T00:00:00"/>
        <d v="2025-01-09T00:00:00"/>
        <d v="2025-01-07T00:00:00"/>
        <d v="2025-01-04T00:00:00"/>
        <d v="2025-01-03T00:00:00"/>
        <d v="2025-01-02T00:00:00"/>
        <d v="2025-01-01T00:00:00"/>
        <d v="2024-12-31T00:00:00"/>
        <d v="2024-12-29T00:00:00"/>
        <d v="2024-12-28T00:00:00"/>
        <d v="2024-12-27T00:00:00"/>
        <d v="2024-12-26T00:00:00"/>
        <d v="2024-12-25T00:00:00"/>
        <d v="2024-12-24T00:00:00"/>
        <d v="2024-12-21T00:00:00"/>
        <d v="2024-12-20T00:00:00"/>
        <d v="2024-12-19T00:00:00"/>
        <d v="2024-12-17T00:00:00"/>
        <d v="2024-12-16T00:00:00"/>
        <d v="2024-12-15T00:00:00"/>
        <d v="2024-12-14T00:00:00"/>
        <d v="2024-12-13T00:00:00"/>
        <d v="2024-12-11T00:00:00"/>
        <d v="2024-12-10T00:00:00"/>
        <d v="2024-12-07T00:00:00"/>
        <d v="2024-12-05T00:00:00"/>
        <d v="2024-12-04T00:00:00"/>
        <d v="2024-12-03T00:00:00"/>
        <d v="2024-12-01T00:00:00"/>
        <d v="2024-11-30T00:00:00"/>
        <d v="2024-11-28T00:00:00"/>
        <d v="2024-11-27T00:00:00"/>
        <d v="2024-11-26T00:00:00"/>
        <d v="2024-11-25T00:00:00"/>
        <d v="2024-11-24T00:00:00"/>
        <d v="2024-11-23T00:00:00"/>
        <d v="2024-11-21T00:00:00"/>
        <d v="2024-11-19T00:00:00"/>
        <d v="2024-11-18T00:00:00"/>
        <d v="2024-11-17T00:00:00"/>
        <d v="2024-11-16T00:00:00"/>
        <d v="2024-11-15T00:00:00"/>
        <d v="2024-11-14T00:00:00"/>
        <d v="2024-11-13T00:00:00"/>
        <d v="2024-11-12T00:00:00"/>
        <d v="2024-11-11T00:00:00"/>
        <d v="2024-11-10T00:00:00"/>
        <d v="2024-11-09T00:00:00"/>
        <d v="2024-11-08T00:00:00"/>
        <d v="2024-11-07T00:00:00"/>
        <d v="2024-11-05T00:00:00"/>
        <d v="2024-11-02T00:00:00"/>
        <d v="2024-10-31T00:00:00"/>
        <d v="2024-10-30T00:00:00"/>
        <d v="2024-10-29T00:00:00"/>
        <d v="2024-10-28T00:00:00"/>
        <d v="2024-10-26T00:00:00"/>
        <d v="2024-10-25T00:00:00"/>
        <d v="2024-10-24T00:00:00"/>
        <d v="2024-10-23T00:00:00"/>
        <d v="2024-10-22T00:00:00"/>
        <d v="2024-10-20T00:00:00"/>
        <d v="2024-10-19T00:00:00"/>
        <d v="2024-10-15T00:00:00"/>
        <d v="2024-10-14T00:00:00"/>
        <d v="2024-10-11T00:00:00"/>
        <d v="2024-10-10T00:00:00"/>
        <d v="2024-10-09T00:00:00"/>
        <d v="2024-10-08T00:00:00"/>
        <d v="2024-10-07T00:00:00"/>
        <d v="2024-10-04T00:00:00"/>
        <d v="2024-10-03T00:00:00"/>
        <d v="2024-10-01T00:00:00"/>
        <d v="2024-09-30T00:00:00"/>
        <d v="2024-09-29T00:00:00"/>
        <d v="2024-09-28T00:00:00"/>
        <d v="2024-09-26T00:00:00"/>
        <d v="2024-09-25T00:00:00"/>
        <d v="2024-09-24T00:00:00"/>
        <d v="2024-09-21T00:00:00"/>
        <d v="2024-09-20T00:00:00"/>
        <d v="2024-09-18T00:00:00"/>
        <d v="2024-09-17T00:00:00"/>
        <d v="2024-09-16T00:00:00"/>
        <d v="2024-09-15T00:00:00"/>
        <d v="2024-09-14T00:00:00"/>
        <d v="2024-09-13T00:00:00"/>
        <d v="2024-09-12T00:00:00"/>
        <d v="2024-09-10T00:00:00"/>
        <d v="2024-09-08T00:00:00"/>
        <d v="2024-09-07T00:00:00"/>
        <d v="2024-09-05T00:00:00"/>
        <d v="2024-09-04T00:00:00"/>
        <d v="2024-09-03T00:00:00"/>
        <d v="2024-09-02T00:00:00"/>
        <d v="2024-09-01T00:00:00"/>
        <d v="2024-08-31T00:00:00"/>
        <d v="2024-08-30T00:00:00"/>
        <d v="2024-08-29T00:00:00"/>
        <d v="2024-08-28T00:00:00"/>
        <d v="2024-08-27T00:00:00"/>
        <d v="2024-08-25T00:00:00"/>
        <d v="2024-08-24T00:00:00"/>
        <d v="2024-08-23T00:00:00"/>
        <d v="2024-08-22T00:00:00"/>
        <d v="2024-08-21T00:00:00"/>
        <d v="2024-08-20T00:00:00"/>
        <d v="2024-08-17T00:00:00"/>
        <d v="2024-08-16T00:00:00"/>
        <d v="2024-08-15T00:00:00"/>
        <d v="2024-08-13T00:00:00"/>
        <d v="2024-08-10T00:00:00"/>
        <d v="2024-08-09T00:00:00"/>
        <d v="2024-08-08T00:00:00"/>
        <d v="2024-08-06T00:00:00"/>
        <d v="2024-08-03T00:00:00"/>
        <d v="2024-08-01T00:00:00"/>
        <d v="2024-07-31T00:00:00"/>
        <d v="2024-07-30T00:00:00"/>
        <d v="2024-07-28T00:00:00"/>
        <d v="2024-07-26T00:00:00"/>
        <d v="2024-07-25T00:00:00"/>
        <d v="2024-07-24T00:00:00"/>
        <d v="2024-07-23T00:00:00"/>
        <d v="2024-07-20T00:00:00"/>
        <d v="2024-07-19T00:00:00"/>
        <d v="2024-07-18T00:00:00"/>
        <d v="2024-07-17T00:00:00"/>
        <d v="2024-07-16T00:00:00"/>
        <d v="2024-07-15T00:00:00"/>
        <d v="2024-07-14T00:00:00"/>
        <d v="2024-07-13T00:00:00"/>
        <d v="2024-07-12T00:00:00"/>
        <d v="2024-07-10T00:00:00"/>
        <d v="2024-07-09T00:00:00"/>
        <d v="2024-07-07T00:00:00"/>
        <d v="2024-07-05T00:00:00"/>
        <d v="2024-07-04T00:00:00"/>
        <d v="2024-07-02T00:00:00"/>
        <d v="2024-07-01T00:00:00"/>
        <d v="2024-06-30T00:00:00"/>
        <d v="2024-06-29T00:00:00"/>
        <d v="2024-06-28T00:00:00"/>
        <d v="2024-06-26T00:00:00"/>
        <d v="2024-06-25T00:00:00"/>
        <d v="2024-06-21T00:00:00"/>
        <d v="2024-06-20T00:00:00"/>
        <d v="2024-06-18T00:00:00"/>
        <d v="2024-06-15T00:00:00"/>
        <d v="2024-06-14T00:00:00"/>
        <d v="2024-06-13T00:00:00"/>
        <d v="2024-06-11T00:00:00"/>
        <d v="2024-06-10T00:00:00"/>
        <d v="2024-06-07T00:00:00"/>
        <d v="2024-06-06T00:00:00"/>
        <d v="2024-06-05T00:00:00"/>
        <d v="2024-06-04T00:00:00"/>
        <d v="2024-06-03T00:00:00"/>
        <d v="2024-06-02T00:00:00"/>
        <d v="2024-06-01T00:00:00"/>
        <d v="2024-05-30T00:00:00"/>
        <d v="2024-05-29T00:00:00"/>
        <d v="2024-05-27T00:00:00"/>
        <d v="2024-05-26T00:00:00"/>
        <d v="2024-05-25T00:00:00"/>
        <d v="2024-05-24T00:00:00"/>
        <d v="2024-05-23T00:00:00"/>
        <d v="2024-05-22T00:00:00"/>
        <d v="2024-05-21T00:00:00"/>
        <d v="2024-05-18T00:00:00"/>
        <d v="2024-05-17T00:00:00"/>
        <d v="2024-05-16T00:00:00"/>
        <d v="2024-05-14T00:00:00"/>
        <d v="2024-05-12T00:00:00"/>
        <d v="2024-05-11T00:00:00"/>
        <d v="2024-05-10T00:00:00"/>
        <d v="2024-05-09T00:00:00"/>
        <d v="2024-05-08T00:00:00"/>
        <d v="2024-05-06T00:00:00"/>
        <d v="2024-05-05T00:00:00"/>
        <d v="2024-05-03T00:00:00"/>
        <d v="2024-05-01T00:00:00"/>
        <d v="2024-04-30T00:00:00"/>
        <d v="2024-04-27T00:00:00"/>
        <d v="2024-04-26T00:00:00"/>
        <d v="2024-04-25T00:00:00"/>
        <d v="2024-04-24T00:00:00"/>
        <d v="2024-04-23T00:00:00"/>
        <d v="2024-04-21T00:00:00"/>
        <d v="2024-04-20T00:00:00"/>
        <d v="2024-04-19T00:00:00"/>
        <d v="2024-04-18T00:00:00"/>
        <d v="2024-04-17T00:00:00"/>
        <d v="2024-04-16T00:00:00"/>
        <d v="2024-04-15T00:00:00"/>
        <d v="2024-04-14T00:00:00"/>
        <d v="2024-04-13T00:00:00"/>
        <d v="2024-04-12T00:00:00"/>
        <d v="2024-04-11T00:00:00"/>
        <d v="2024-04-10T00:00:00"/>
        <d v="2024-04-09T00:00:00"/>
        <d v="2024-04-07T00:00:00"/>
        <d v="2024-04-06T00:00:00"/>
        <d v="2024-04-05T00:00:00"/>
        <d v="2024-04-03T00:00:00"/>
        <d v="2024-04-02T00:00:00"/>
        <d v="2024-04-01T00:00:00"/>
        <d v="2024-03-30T00:00:00"/>
        <d v="2024-03-29T00:00:00"/>
        <d v="2024-03-28T00:00:00"/>
        <d v="2024-03-27T00:00:00"/>
        <d v="2024-03-26T00:00:00"/>
        <d v="2024-03-25T00:00:00"/>
        <d v="2024-03-24T00:00:00"/>
        <d v="2024-03-22T00:00:00"/>
        <d v="2024-03-21T00:00:00"/>
        <d v="2024-03-20T00:00:00"/>
        <d v="2024-03-19T00:00:00"/>
        <d v="2024-03-18T00:00:00"/>
        <d v="2024-03-16T00:00:00"/>
        <d v="2024-03-15T00:00:00"/>
        <d v="2024-03-14T00:00:00"/>
        <d v="2024-03-13T00:00:00"/>
        <d v="2024-03-12T00:00:00"/>
        <d v="2024-03-11T00:00:00"/>
        <d v="2024-03-10T00:00:00"/>
        <d v="2024-03-09T00:00:00"/>
        <d v="2024-03-08T00:00:00"/>
        <d v="2024-03-07T00:00:00"/>
        <d v="2024-03-06T00:00:00"/>
        <d v="2024-03-05T00:00:00"/>
        <d v="2024-03-04T00:00:00"/>
        <d v="2024-03-03T00:00:00"/>
        <d v="2024-03-01T00:00:00"/>
        <d v="2024-02-29T00:00:00"/>
        <d v="2024-02-28T00:00:00"/>
        <d v="2024-02-27T00:00:00"/>
        <d v="2024-02-26T00:00:00"/>
        <d v="2024-02-24T00:00:00"/>
        <d v="2024-02-23T00:00:00"/>
        <d v="2024-02-22T00:00:00"/>
        <d v="2024-02-21T00:00:00"/>
        <d v="2024-02-19T00:00:00"/>
        <d v="2024-02-18T00:00:00"/>
        <d v="2024-02-17T00:00:00"/>
        <d v="2024-02-16T00:00:00"/>
        <d v="2024-02-15T00:00:00"/>
        <d v="2024-02-14T00:00:00"/>
        <d v="2024-02-13T00:00:00"/>
        <d v="2024-02-12T00:00:00"/>
        <d v="2024-02-11T00:00:00"/>
        <d v="2024-02-10T00:00:00"/>
        <d v="2024-02-09T00:00:00"/>
        <d v="2024-02-08T00:00:00"/>
        <d v="2024-02-07T00:00:00"/>
        <d v="2024-02-06T00:00:00"/>
        <d v="2024-02-05T00:00:00"/>
        <d v="2024-02-02T00:00:00"/>
        <d v="2024-02-01T00:00:00"/>
        <d v="2024-01-31T00:00:00"/>
        <d v="2024-01-30T00:00:00"/>
        <d v="2024-01-29T00:00:00"/>
        <d v="2024-01-27T00:00:00"/>
        <d v="2024-01-26T00:00:00"/>
        <d v="2024-01-25T00:00:00"/>
        <d v="2024-01-24T00:00:00"/>
        <d v="2024-01-23T00:00:00"/>
        <d v="2024-01-22T00:00:00"/>
        <d v="2024-01-19T00:00:00"/>
        <d v="2024-01-18T00:00:00"/>
        <d v="2024-01-17T00:00:00"/>
        <d v="2024-01-16T00:00:00"/>
        <d v="2024-01-15T00:00:00"/>
        <d v="2024-01-13T00:00:00"/>
        <d v="2024-01-12T00:00:00"/>
        <d v="2024-01-11T00:00:00"/>
        <d v="2024-01-10T00:00:00"/>
        <d v="2024-01-09T00:00:00"/>
        <d v="2024-01-08T00:00:00"/>
        <d v="2024-01-07T00:00:00"/>
        <d v="2024-01-06T00:00:00"/>
        <d v="2024-01-05T00:00:00"/>
        <d v="2024-01-04T00:00:00"/>
        <d v="2024-01-03T00:00:00"/>
        <d v="2024-01-02T00:00:00"/>
        <d v="2024-01-01T00:00:00"/>
        <d v="2023-12-31T00:00:00"/>
        <d v="2023-12-30T00:00:00"/>
        <d v="2023-12-29T00:00:00"/>
        <d v="2023-12-28T00:00:00"/>
        <d v="2023-12-27T00:00:00"/>
        <d v="2023-12-26T00:00:00"/>
        <d v="2023-12-24T00:00:00"/>
        <d v="2023-12-23T00:00:00"/>
        <d v="2023-12-22T00:00:00"/>
        <d v="2023-12-21T00:00:00"/>
        <d v="2023-12-20T00:00:00"/>
        <d v="2023-12-19T00:00:00"/>
        <d v="2023-12-18T00:00:00"/>
        <d v="2023-12-16T00:00:00"/>
        <d v="2023-12-15T00:00:00"/>
        <d v="2023-12-14T00:00:00"/>
        <d v="2023-12-13T00:00:00"/>
        <d v="2023-12-12T00:00:00"/>
        <d v="2023-12-09T00:00:00"/>
        <d v="2023-12-08T00:00:00"/>
        <d v="2023-12-07T00:00:00"/>
        <d v="2023-12-06T00:00:00"/>
        <d v="2023-12-05T00:00:00"/>
        <d v="2023-12-04T00:00:00"/>
        <d v="2023-12-03T00:00:00"/>
        <d v="2023-12-02T00:00:00"/>
        <d v="2023-12-01T00:00:00"/>
        <d v="2023-11-30T00:00:00"/>
        <d v="2023-11-29T00:00:00"/>
        <d v="2023-11-28T00:00:00"/>
        <d v="2023-11-27T00:00:00"/>
        <d v="2023-11-26T00:00:00"/>
        <d v="2023-11-25T00:00:00"/>
        <d v="2023-11-24T00:00:00"/>
        <d v="2023-11-23T00:00:00"/>
        <d v="2023-11-22T00:00:00"/>
        <d v="2023-11-21T00:00:00"/>
        <d v="2023-11-20T00:00:00"/>
        <d v="2023-11-18T00:00:00"/>
        <d v="2023-11-17T00:00:00"/>
        <d v="2023-11-16T00:00:00"/>
        <d v="2023-11-15T00:00:00"/>
        <d v="2023-11-14T00:00:00"/>
        <d v="2023-11-13T00:00:00"/>
        <d v="2023-11-12T00:00:00"/>
        <d v="2023-11-11T00:00:00"/>
        <d v="2023-11-10T00:00:00"/>
        <d v="2023-11-09T00:00:00"/>
        <d v="2023-11-08T00:00:00"/>
        <d v="2023-11-07T00:00:00"/>
        <d v="2023-11-06T00:00:00"/>
        <d v="2023-11-04T00:00:00"/>
        <d v="2023-11-03T00:00:00"/>
        <d v="2023-11-02T00:00:00"/>
        <d v="2023-11-01T00:00:00"/>
        <d v="2023-10-31T00:00:00"/>
        <d v="2023-10-30T00:00:00"/>
        <d v="2023-10-28T00:00:00"/>
        <d v="2023-10-27T00:00:00"/>
        <d v="2023-10-26T00:00:00"/>
        <d v="2023-10-25T00:00:00"/>
        <d v="2023-10-24T00:00:00"/>
        <d v="2023-10-23T00:00:00"/>
        <d v="2023-10-22T00:00:00"/>
        <d v="2023-10-21T00:00:00"/>
        <d v="2023-10-20T00:00:00"/>
        <d v="2023-10-19T00:00:00"/>
        <d v="2023-10-18T00:00:00"/>
        <d v="2023-10-17T00:00:00"/>
        <d v="2023-10-16T00:00:00"/>
        <d v="2023-10-14T00:00:00"/>
        <d v="2023-10-13T00:00:00"/>
        <d v="2023-10-12T00:00:00"/>
        <d v="2023-10-11T00:00:00"/>
        <d v="2023-10-10T00:00:00"/>
        <d v="2023-10-08T00:00:00"/>
        <d v="2023-10-07T00:00:00"/>
        <d v="2023-10-05T00:00:00"/>
        <d v="2023-10-04T00:00:00"/>
        <d v="2023-10-03T00:00:00"/>
        <d v="2023-10-02T00:00:00"/>
        <d v="2023-10-01T00:00:00"/>
        <d v="2023-09-30T00:00:00"/>
        <d v="2023-09-28T00:00:00"/>
        <d v="2023-09-27T00:00:00"/>
        <d v="2023-09-26T00:00:00"/>
        <d v="2023-09-23T00:00:00"/>
        <d v="2023-09-22T00:00:00"/>
        <d v="2023-09-21T00:00:00"/>
        <d v="2023-09-20T00:00:00"/>
        <d v="2023-09-19T00:00:00"/>
        <d v="2023-09-18T00:00:00"/>
        <d v="2023-09-17T00:00:00"/>
        <d v="2023-09-16T00:00:00"/>
        <d v="2023-09-14T00:00:00"/>
        <d v="2023-09-13T00:00:00"/>
        <d v="2023-09-12T00:00:00"/>
        <d v="2023-09-11T00:00:00"/>
        <d v="2023-09-10T00:00:00"/>
        <d v="2023-09-09T00:00:00"/>
        <d v="2023-09-07T00:00:00"/>
        <d v="2023-09-06T00:00:00"/>
        <d v="2023-09-05T00:00:00"/>
        <d v="2023-09-04T00:00:00"/>
        <d v="2023-09-03T00:00:00"/>
        <d v="2023-09-02T00:00:00"/>
        <d v="2023-09-01T00:00:00"/>
        <d v="2023-08-31T00:00:00"/>
        <d v="2023-08-30T00:00:00"/>
        <d v="2023-08-29T00:00:00"/>
        <d v="2023-08-27T00:00:00"/>
        <d v="2023-08-26T00:00:00"/>
        <d v="2023-08-25T00:00:00"/>
        <d v="2023-08-24T00:00:00"/>
        <d v="2023-08-23T00:00:00"/>
        <d v="2023-08-22T00:00:00"/>
        <d v="2023-08-21T00:00:00"/>
        <d v="2023-08-19T00:00:00"/>
        <d v="2023-08-18T00:00:00"/>
        <d v="2023-08-17T00:00:00"/>
        <d v="2023-08-16T00:00:00"/>
        <d v="2023-08-15T00:00:00"/>
        <d v="2023-08-14T00:00:00"/>
        <d v="2023-08-12T00:00:00"/>
        <d v="2023-08-10T00:00:00"/>
        <d v="2023-08-09T00:00:00"/>
        <d v="2023-08-08T00:00:00"/>
        <d v="2023-08-07T00:00:00"/>
        <d v="2023-08-04T00:00:00"/>
        <d v="2023-08-03T00:00:00"/>
        <d v="2023-08-02T00:00:00"/>
        <d v="2023-08-01T00:00:00"/>
        <d v="2023-07-30T00:00:00"/>
        <d v="2023-07-29T00:00:00"/>
        <d v="2023-07-27T00:00:00"/>
        <d v="2023-07-26T00:00:00"/>
        <d v="2023-07-22T00:00:00"/>
        <d v="2023-07-21T00:00:00"/>
        <d v="2023-07-20T00:00:00"/>
        <d v="2023-07-19T00:00:00"/>
        <d v="2023-07-18T00:00:00"/>
        <d v="2023-07-17T00:00:00"/>
        <d v="2023-07-15T00:00:00"/>
        <d v="2023-07-12T00:00:00"/>
        <d v="2023-07-11T00:00:00"/>
        <d v="2023-07-10T00:00:00"/>
        <d v="2023-07-08T00:00:00"/>
        <d v="2023-07-06T00:00:00"/>
        <d v="2023-07-04T00:00:00"/>
        <d v="2023-07-03T00:00:00"/>
        <d v="2023-07-01T00:00:00"/>
        <d v="2023-06-29T00:00:00"/>
        <d v="2023-06-28T00:00:00"/>
        <d v="2023-06-27T00:00:00"/>
        <d v="2023-06-25T00:00:00"/>
        <d v="2023-06-24T00:00:00"/>
        <d v="2023-06-23T00:00:00"/>
        <d v="2023-06-22T00:00:00"/>
        <d v="2023-06-21T00:00:00"/>
        <d v="2023-06-20T00:00:00"/>
        <d v="2023-06-17T00:00:00"/>
        <d v="2023-06-15T00:00:00"/>
        <d v="2023-06-14T00:00:00"/>
        <d v="2023-06-13T00:00:00"/>
        <d v="2023-06-12T00:00:00"/>
        <d v="2023-06-11T00:00:00"/>
        <d v="2023-06-10T00:00:00"/>
        <d v="2023-06-09T00:00:00"/>
        <d v="2023-06-08T00:00:00"/>
        <d v="2023-06-07T00:00:00"/>
        <d v="2023-06-06T00:00:00"/>
        <d v="2023-06-03T00:00:00"/>
        <d v="2023-06-02T00:00:00"/>
        <d v="2023-06-01T00:00:00"/>
        <d v="2023-05-31T00:00:00"/>
        <d v="2023-05-30T00:00:00"/>
        <d v="2023-05-28T00:00:00"/>
        <d v="2023-05-27T00:00:00"/>
        <d v="2023-05-25T00:00:00"/>
        <d v="2023-05-24T00:00:00"/>
        <d v="2023-05-23T00:00:00"/>
        <d v="2023-05-20T00:00:00"/>
        <d v="2023-05-18T00:00:00"/>
        <d v="2023-05-17T00:00:00"/>
        <d v="2023-05-16T00:00:00"/>
        <d v="2023-05-15T00:00:00"/>
        <d v="2023-05-13T00:00:00"/>
        <d v="2023-05-12T00:00:00"/>
        <d v="2023-05-11T00:00:00"/>
        <d v="2023-05-10T00:00:00"/>
        <d v="2023-05-09T00:00:00"/>
        <d v="2023-05-07T00:00:00"/>
        <d v="2023-05-06T00:00:00"/>
        <d v="2023-05-05T00:00:00"/>
        <d v="2023-05-04T00:00:00"/>
        <d v="2023-05-03T00:00:00"/>
        <d v="2023-05-02T00:00:00"/>
        <d v="2023-05-01T00:00:00"/>
        <d v="2023-04-29T00:00:00"/>
        <d v="2023-04-28T00:00:00"/>
        <d v="2023-04-27T00:00:00"/>
        <d v="2023-04-26T00:00:00"/>
        <d v="2023-04-25T00:00:00"/>
        <d v="2023-04-24T00:00:00"/>
        <d v="2023-04-21T00:00:00"/>
        <d v="2023-04-20T00:00:00"/>
        <d v="2023-04-19T00:00:00"/>
        <d v="2023-04-18T00:00:00"/>
        <d v="2023-04-17T00:00:00"/>
        <d v="2023-04-16T00:00:00"/>
        <d v="2023-04-15T00:00:00"/>
        <d v="2023-04-13T00:00:00"/>
        <d v="2023-04-12T00:00:00"/>
        <d v="2023-04-11T00:00:00"/>
        <d v="2023-04-08T00:00:00"/>
        <d v="2023-04-07T00:00:00"/>
        <d v="2023-04-05T00:00:00"/>
        <d v="2023-04-04T00:00:00"/>
        <d v="2023-04-03T00:00:00"/>
        <d v="2023-04-02T00:00:00"/>
        <d v="2023-04-01T00:00:00"/>
        <d v="2023-03-31T00:00:00"/>
        <d v="2023-03-30T00:00:00"/>
        <d v="2023-03-28T00:00:00"/>
        <d v="2023-03-27T00:00:00"/>
        <d v="2023-03-26T00:00:00"/>
        <d v="2023-03-25T00:00:00"/>
        <d v="2023-03-24T00:00:00"/>
        <d v="2023-03-23T00:00:00"/>
        <d v="2023-03-22T00:00:00"/>
        <d v="2023-03-21T00:00:00"/>
        <d v="2023-03-20T00:00:00"/>
        <d v="2023-03-19T00:00:00"/>
        <d v="2023-03-18T00:00:00"/>
        <d v="2023-03-16T00:00:00"/>
        <d v="2023-03-15T00:00:00"/>
        <d v="2023-03-14T00:00:00"/>
        <d v="2023-03-13T00:00:00"/>
        <d v="2023-03-12T00:00:00"/>
        <d v="2023-03-11T00:00:00"/>
        <d v="2023-03-10T00:00:00"/>
        <d v="2023-03-09T00:00:00"/>
        <d v="2023-03-06T00:00:00"/>
        <d v="2023-03-05T00:00:00"/>
        <d v="2023-03-04T00:00:00"/>
        <d v="2023-03-03T00:00:00"/>
        <d v="2023-03-02T00:00:00"/>
        <d v="2023-03-01T00:00:00"/>
        <d v="2023-02-28T00:00:00"/>
        <d v="2023-02-27T00:00:00"/>
        <d v="2023-02-26T00:00:00"/>
        <d v="2023-02-25T00:00:00"/>
        <d v="2023-02-24T00:00:00"/>
        <d v="2023-02-23T00:00:00"/>
        <d v="2023-02-22T00:00:00"/>
        <d v="2023-02-21T00:00:00"/>
        <d v="2023-02-20T00:00:00"/>
        <d v="2023-02-19T00:00:00"/>
        <d v="2023-02-18T00:00:00"/>
        <d v="2023-02-17T00:00:00"/>
        <d v="2023-02-16T00:00:00"/>
        <d v="2023-02-15T00:00:00"/>
        <d v="2023-02-14T00:00:00"/>
        <d v="2023-02-12T00:00:00"/>
        <d v="2023-02-11T00:00:00"/>
        <d v="2023-02-10T00:00:00"/>
        <d v="2023-02-09T00:00:00"/>
        <d v="2023-02-08T00:00:00"/>
        <d v="2023-02-07T00:00:00"/>
        <d v="2023-02-06T00:00:00"/>
        <d v="2023-02-04T00:00:00"/>
        <d v="2023-02-03T00:00:00"/>
        <d v="2023-02-02T00:00:00"/>
        <d v="2023-02-01T00:00:00"/>
        <d v="2023-01-31T00:00:00"/>
        <d v="2023-01-30T00:00:00"/>
        <d v="2023-01-29T00:00:00"/>
        <d v="2023-01-28T00:00:00"/>
        <d v="2023-01-26T00:00:00"/>
        <d v="2023-01-25T00:00:00"/>
        <d v="2023-01-24T00:00:00"/>
        <d v="2023-01-21T00:00:00"/>
        <d v="2023-01-20T00:00:00"/>
        <d v="2023-01-19T00:00:00"/>
        <d v="2023-01-18T00:00:00"/>
        <d v="2023-01-17T00:00:00"/>
        <d v="2023-01-16T00:00:00"/>
        <d v="2023-01-14T00:00:00"/>
        <d v="2023-01-13T00:00:00"/>
        <d v="2023-01-12T00:00:00"/>
        <d v="2023-01-10T00:00:00"/>
        <d v="2023-01-07T00:00:00"/>
        <d v="2023-01-06T00:00:00"/>
        <d v="2023-01-05T00:00:00"/>
        <d v="2023-01-04T00:00:00"/>
        <d v="2023-01-03T00:00:00"/>
        <d v="2023-01-01T00:00:00"/>
        <d v="2022-12-31T00:00:00"/>
        <d v="2022-12-30T00:00:00"/>
        <d v="2022-12-29T00:00:00"/>
        <d v="2022-12-28T00:00:00"/>
        <d v="2022-12-24T00:00:00"/>
        <d v="2022-12-23T00:00:00"/>
        <d v="2022-12-22T00:00:00"/>
        <d v="2022-12-21T00:00:00"/>
        <d v="2022-12-20T00:00:00"/>
        <d v="2022-12-18T00:00:00"/>
        <d v="2022-12-17T00:00:00"/>
        <d v="2022-12-16T00:00:00"/>
        <d v="2022-12-15T00:00:00"/>
        <d v="2022-12-14T00:00:00"/>
        <d v="2022-12-13T00:00:00"/>
        <d v="2022-12-10T00:00:00"/>
        <d v="2022-12-09T00:00:00"/>
        <d v="2022-12-08T00:00:00"/>
        <d v="2022-12-07T00:00:00"/>
        <d v="2022-12-06T00:00:00"/>
        <d v="2022-12-05T00:00:00"/>
        <d v="2022-12-03T00:00:00"/>
        <d v="2022-12-02T00:00:00"/>
        <d v="2022-12-01T00:00:00"/>
        <d v="2022-11-30T00:00:00"/>
        <d v="2022-11-29T00:00:00"/>
        <d v="2022-11-28T00:00:00"/>
        <d v="2022-11-25T00:00:00"/>
        <d v="2022-11-24T00:00:00"/>
        <d v="2022-11-23T00:00:00"/>
        <d v="2022-11-22T00:00:00"/>
        <d v="2022-11-19T00:00:00"/>
        <d v="2022-11-18T00:00:00"/>
        <d v="2022-11-17T00:00:00"/>
        <d v="2022-11-16T00:00:00"/>
        <d v="2022-11-15T00:00:00"/>
        <d v="2022-11-14T00:00:00"/>
        <d v="2022-11-12T00:00:00"/>
        <d v="2022-11-11T00:00:00"/>
        <d v="2022-11-10T00:00:00"/>
        <d v="2022-11-09T00:00:00"/>
        <d v="2022-11-08T00:00:00"/>
        <d v="2022-11-07T00:00:00"/>
        <d v="2022-11-05T00:00:00"/>
        <d v="2022-11-04T00:00:00"/>
        <d v="2022-11-03T00:00:00"/>
        <d v="2022-11-02T00:00:00"/>
        <d v="2022-11-01T00:00:00"/>
        <d v="2022-10-29T00:00:00"/>
        <d v="2022-10-27T00:00:00"/>
        <d v="2022-10-26T00:00:00"/>
        <d v="2022-10-25T00:00:00"/>
        <d v="2022-10-23T00:00:00"/>
        <d v="2022-10-22T00:00:00"/>
        <d v="2022-10-21T00:00:00"/>
        <d v="2022-10-20T00:00:00"/>
        <d v="2022-10-19T00:00:00"/>
        <d v="2022-10-18T00:00:00"/>
        <d v="2022-10-16T00:00:00"/>
        <d v="2022-10-15T00:00:00"/>
        <d v="2022-10-14T00:00:00"/>
        <d v="2022-10-13T00:00:00"/>
        <d v="2022-10-12T00:00:00"/>
        <d v="2022-10-11T00:00:00"/>
        <d v="2022-10-10T00:00:00"/>
        <d v="2022-10-08T00:00:00"/>
        <d v="2022-10-07T00:00:00"/>
        <d v="2022-10-06T00:00:00"/>
        <d v="2022-10-05T00:00:00"/>
        <d v="2022-10-04T00:00:00"/>
        <d v="2022-09-30T00:00:00"/>
        <d v="2022-09-29T00:00:00"/>
        <d v="2022-09-28T00:00:00"/>
        <d v="2022-09-27T00:00:00"/>
        <d v="2022-09-24T00:00:00"/>
        <d v="2022-09-23T00:00:00"/>
        <d v="2022-09-21T00:00:00"/>
        <d v="2022-09-20T00:00:00"/>
        <d v="2022-09-18T00:00:00"/>
        <d v="2022-09-17T00:00:00"/>
        <d v="2022-09-16T00:00:00"/>
        <d v="2022-09-15T00:00:00"/>
        <d v="2022-09-14T00:00:00"/>
        <d v="2022-09-13T00:00:00"/>
        <d v="2022-09-10T00:00:00"/>
        <d v="2022-09-08T00:00:00"/>
        <d v="2022-09-07T00:00:00"/>
        <d v="2022-09-06T00:00:00"/>
        <d v="2022-09-05T00:00:00"/>
        <d v="2022-09-02T00:00:00"/>
        <d v="2022-09-01T00:00:00"/>
        <d v="2022-08-31T00:00:00"/>
        <d v="2022-08-30T00:00:00"/>
        <d v="2022-08-29T00:00:00"/>
        <d v="2022-08-28T00:00:00"/>
        <d v="2022-08-26T00:00:00"/>
        <d v="2022-08-25T00:00:00"/>
        <d v="2022-08-24T00:00:00"/>
        <d v="2022-08-23T00:00:00"/>
        <d v="2022-08-21T00:00:00"/>
        <d v="2022-08-20T00:00:00"/>
        <d v="2022-08-19T00:00:00"/>
        <d v="2022-08-18T00:00:00"/>
        <d v="2022-08-17T00:00:00"/>
        <d v="2022-08-16T00:00:00"/>
        <d v="2022-08-15T00:00:00"/>
        <d v="2022-08-14T00:00:00"/>
        <d v="2022-08-13T00:00:00"/>
        <d v="2022-08-12T00:00:00"/>
        <d v="2022-08-11T00:00:00"/>
        <d v="2022-08-10T00:00:00"/>
        <d v="2022-08-09T00:00:00"/>
        <d v="2022-08-08T00:00:00"/>
        <d v="2022-08-07T00:00:00"/>
        <d v="2022-08-06T00:00:00"/>
        <d v="2022-08-05T00:00:00"/>
        <d v="2022-08-04T00:00:00"/>
        <d v="2022-08-03T00:00:00"/>
        <d v="2022-08-02T00:00:00"/>
        <d v="2022-08-01T00:00:00"/>
        <d v="2022-07-31T00:00:00"/>
        <d v="2022-07-30T00:00:00"/>
        <d v="2022-07-29T00:00:00"/>
        <d v="2022-07-28T00:00:00"/>
        <d v="2022-07-27T00:00:00"/>
        <d v="2022-07-26T00:00:00"/>
        <d v="2022-07-25T00:00:00"/>
        <d v="2022-07-21T00:00:00"/>
        <d v="2022-07-20T00:00:00"/>
        <d v="2022-07-19T00:00:00"/>
        <d v="2022-07-18T00:00:00"/>
        <d v="2022-07-17T00:00:00"/>
        <d v="2022-07-16T00:00:00"/>
        <d v="2022-07-13T00:00:00"/>
        <d v="2022-07-12T00:00:00"/>
        <d v="2022-07-09T00:00:00"/>
        <d v="2022-07-08T00:00:00"/>
        <d v="2022-07-07T00:00:00"/>
        <d v="2022-07-05T00:00:00"/>
        <d v="2022-07-03T00:00:00"/>
        <d v="2022-07-02T00:00:00"/>
        <d v="2022-07-01T00:00:00"/>
        <d v="2022-06-28T00:00:00"/>
        <d v="2022-06-27T00:00:00"/>
        <d v="2022-06-25T00:00:00"/>
        <d v="2022-06-24T00:00:00"/>
        <d v="2022-06-23T00:00:00"/>
        <d v="2022-06-22T00:00:00"/>
        <d v="2022-06-21T00:00:00"/>
        <d v="2022-06-20T00:00:00"/>
        <d v="2022-06-18T00:00:00"/>
        <d v="2022-06-17T00:00:00"/>
        <d v="2022-06-16T00:00:00"/>
        <d v="2022-06-15T00:00:00"/>
        <d v="2022-06-14T00:00:00"/>
        <d v="2022-06-13T00:00:00"/>
        <d v="2022-06-12T00:00:00"/>
        <d v="2022-06-11T00:00:00"/>
        <d v="2022-06-10T00:00:00"/>
        <d v="2022-06-09T00:00:00"/>
        <d v="2022-06-08T00:00:00"/>
        <d v="2022-06-07T00:00:00"/>
        <d v="2022-06-06T00:00:00"/>
        <d v="2022-06-05T00:00:00"/>
        <d v="2022-06-04T00:00:00"/>
        <d v="2022-06-03T00:00:00"/>
        <d v="2022-06-02T00:00:00"/>
        <d v="2022-06-01T00:00:00"/>
        <d v="2022-05-31T00:00:00"/>
        <d v="2022-05-30T00:00:00"/>
        <d v="2022-05-28T00:00:00"/>
        <d v="2022-05-27T00:00:00"/>
        <d v="2022-05-26T00:00:00"/>
        <d v="2022-05-25T00:00:00"/>
        <d v="2022-05-24T00:00:00"/>
        <d v="2022-05-23T00:00:00"/>
        <d v="2022-05-21T00:00:00"/>
        <d v="2022-05-20T00:00:00"/>
        <d v="2022-05-19T00:00:00"/>
        <d v="2022-05-18T00:00:00"/>
        <d v="2022-05-17T00:00:00"/>
        <d v="2022-05-16T00:00:00"/>
        <d v="2022-05-15T00:00:00"/>
        <d v="2022-05-14T00:00:00"/>
        <d v="2022-05-13T00:00:00"/>
        <d v="2022-05-12T00:00:00"/>
        <d v="2022-05-11T00:00:00"/>
        <d v="2022-05-10T00:00:00"/>
        <d v="2022-05-09T00:00:00"/>
        <d v="2022-05-08T00:00:00"/>
        <d v="2022-05-07T00:00:00"/>
        <d v="2022-05-06T00:00:00"/>
        <d v="2022-05-05T00:00:00"/>
        <d v="2022-05-04T00:00:00"/>
        <d v="2022-05-03T00:00:00"/>
        <d v="2022-05-02T00:00:00"/>
        <d v="2022-04-29T00:00:00"/>
        <d v="2022-04-28T00:00:00"/>
        <d v="2022-04-27T00:00:00"/>
        <d v="2022-04-25T00:00:00"/>
        <d v="2022-04-23T00:00:00"/>
        <d v="2022-04-22T00:00:00"/>
        <d v="2022-04-21T00:00:00"/>
        <d v="2022-04-20T00:00:00"/>
        <d v="2022-04-19T00:00:00"/>
        <d v="2022-04-18T00:00:00"/>
        <d v="2022-04-17T00:00:00"/>
        <d v="2022-04-16T00:00:00"/>
        <d v="2022-04-15T00:00:00"/>
        <d v="2022-04-14T00:00:00"/>
        <d v="2022-04-13T00:00:00"/>
        <d v="2022-04-12T00:00:00"/>
        <d v="2022-04-11T00:00:00"/>
        <d v="2022-04-09T00:00:00"/>
        <d v="2022-04-08T00:00:00"/>
        <d v="2022-04-06T00:00:00"/>
        <d v="2022-04-05T00:00:00"/>
        <d v="2022-04-04T00:00:00"/>
        <d v="2022-04-03T00:00:00"/>
        <d v="2022-04-02T00:00:00"/>
        <d v="2022-04-01T00:00:00"/>
        <d v="2022-03-31T00:00:00"/>
        <d v="2022-03-30T00:00:00"/>
        <d v="2022-03-29T00:00:00"/>
        <d v="2022-03-28T00:00:00"/>
        <d v="2022-03-27T00:00:00"/>
        <d v="2022-03-26T00:00:00"/>
        <d v="2022-03-25T00:00:00"/>
        <d v="2022-03-24T00:00:00"/>
        <d v="2022-03-23T00:00:00"/>
        <d v="2022-03-22T00:00:00"/>
        <d v="2022-03-21T00:00:00"/>
        <d v="2022-03-19T00:00:00"/>
        <d v="2022-03-18T00:00:00"/>
        <d v="2022-03-17T00:00:00"/>
        <d v="2022-03-16T00:00:00"/>
        <d v="2022-03-15T00:00:00"/>
        <d v="2022-03-14T00:00:00"/>
        <d v="2022-03-13T00:00:00"/>
        <d v="2022-03-12T00:00:00"/>
        <d v="2022-03-11T00:00:00"/>
        <d v="2022-03-09T00:00:00"/>
        <d v="2022-03-08T00:00:00"/>
        <d v="2022-03-04T00:00:00"/>
        <d v="2022-03-03T00:00:00"/>
        <d v="2022-03-02T00:00:00"/>
        <d v="2022-03-01T00:00:00"/>
        <d v="2022-02-26T00:00:00"/>
        <d v="2022-02-25T00:00:00"/>
        <d v="2022-02-24T00:00:00"/>
        <d v="2022-02-23T00:00:00"/>
        <d v="2022-02-22T00:00:00"/>
        <d v="2022-02-19T00:00:00"/>
        <d v="2022-02-18T00:00:00"/>
        <d v="2022-02-17T00:00:00"/>
        <d v="2022-02-16T00:00:00"/>
        <d v="2022-02-15T00:00:00"/>
        <d v="2022-02-14T00:00:00"/>
        <d v="2022-02-12T00:00:00"/>
        <d v="2022-02-11T00:00:00"/>
        <d v="2022-02-08T00:00:00"/>
        <d v="2022-02-06T00:00:00"/>
        <d v="2022-02-05T00:00:00"/>
        <d v="2022-02-04T00:00:00"/>
        <d v="2022-02-03T00:00:00"/>
        <d v="2022-02-01T00:00:00"/>
        <d v="2022-01-28T00:00:00"/>
        <d v="2022-01-25T00:00:00"/>
        <d v="2022-01-23T00:00:00"/>
        <d v="2022-01-22T00:00:00"/>
        <d v="2022-01-21T00:00:00"/>
        <d v="2022-01-20T00:00:00"/>
        <d v="2022-01-19T00:00:00"/>
        <d v="2022-01-18T00:00:00"/>
        <d v="2022-01-15T00:00:00"/>
        <d v="2022-01-14T00:00:00"/>
        <d v="2022-01-12T00:00:00"/>
        <d v="2022-01-10T00:00:00"/>
        <d v="2022-01-09T00:00:00"/>
        <d v="2022-01-07T00:00:00"/>
        <d v="2022-01-06T00:00:00"/>
        <d v="2022-01-05T00:00:00"/>
        <d v="2022-01-04T00:00:00"/>
        <d v="2022-01-01T00:00:00"/>
        <d v="2021-12-31T00:00:00"/>
        <d v="2021-12-30T00:00:00"/>
        <d v="2021-12-27T00:00:00"/>
        <d v="2021-12-26T00:00:00"/>
        <d v="2021-12-25T00:00:00"/>
        <d v="2021-12-24T00:00:00"/>
        <d v="2021-12-23T00:00:00"/>
        <d v="2021-12-22T00:00:00"/>
        <d v="2021-12-21T00:00:00"/>
        <d v="2021-12-20T00:00:00"/>
        <d v="2021-12-19T00:00:00"/>
        <d v="2021-12-18T00:00:00"/>
        <d v="2021-12-17T00:00:00"/>
        <d v="2021-12-16T00:00:00"/>
        <d v="2021-12-15T00:00:00"/>
        <d v="2021-12-14T00:00:00"/>
        <d v="2021-12-10T00:00:00"/>
        <d v="2021-12-09T00:00:00"/>
        <d v="2021-12-08T00:00:00"/>
        <d v="2021-12-07T00:00:00"/>
        <d v="2021-12-04T00:00:00"/>
        <d v="2021-12-03T00:00:00"/>
        <d v="2021-12-02T00:00:00"/>
        <d v="2021-12-01T00:00:00"/>
        <d v="2021-11-30T00:00:00"/>
        <d v="2021-11-27T00:00:00"/>
        <d v="2021-11-25T00:00:00"/>
        <d v="2021-11-24T00:00:00"/>
        <d v="2021-11-23T00:00:00"/>
        <d v="2021-11-22T00:00:00"/>
        <d v="2021-11-21T00:00:00"/>
        <d v="2021-11-20T00:00:00"/>
        <d v="2021-11-18T00:00:00"/>
        <d v="2021-11-17T00:00:00"/>
        <d v="2021-11-16T00:00:00"/>
        <d v="2021-11-11T00:00:00"/>
        <d v="2021-11-10T00:00:00"/>
        <d v="2021-11-09T00:00:00"/>
        <d v="2021-11-06T00:00:00"/>
        <d v="2021-11-03T00:00:00"/>
        <d v="2021-11-02T00:00:00"/>
        <d v="2021-11-01T00:00:00"/>
        <d v="2021-10-31T00:00:00"/>
        <d v="2021-10-30T00:00:00"/>
        <d v="2021-10-28T00:00:00"/>
        <d v="2021-10-27T00:00:00"/>
        <d v="2021-10-26T00:00:00"/>
        <d v="2021-10-25T00:00:00"/>
        <d v="2021-10-23T00:00:00"/>
        <d v="2021-10-22T00:00:00"/>
        <d v="2021-10-21T00:00:00"/>
        <d v="2021-10-20T00:00:00"/>
        <d v="2021-10-19T00:00:00"/>
        <d v="2021-10-17T00:00:00"/>
        <d v="2021-10-16T00:00:00"/>
        <d v="2021-10-15T00:00:00"/>
        <d v="2021-10-14T00:00:00"/>
        <d v="2021-10-13T00:00:00"/>
        <d v="2021-10-12T00:00:00"/>
        <d v="2021-10-11T00:00:00"/>
        <d v="2021-10-08T00:00:00"/>
        <d v="2021-10-06T00:00:00"/>
        <d v="2021-10-05T00:00:00"/>
        <d v="2021-10-04T00:00:00"/>
        <d v="2021-10-03T00:00:00"/>
        <d v="2021-10-01T00:00:00"/>
        <d v="2021-09-30T00:00:00"/>
        <d v="2021-09-29T00:00:00"/>
        <d v="2021-09-28T00:00:00"/>
        <d v="2021-09-22T00:00:00"/>
        <d v="2021-09-21T00:00:00"/>
        <d v="2021-09-19T00:00:00"/>
        <d v="2021-09-18T00:00:00"/>
        <d v="2021-09-16T00:00:00"/>
        <d v="2021-09-15T00:00:00"/>
        <d v="2021-09-14T00:00:00"/>
        <d v="2021-09-13T00:00:00"/>
        <d v="2021-09-09T00:00:00"/>
        <d v="2021-09-07T00:00:00"/>
        <d v="2021-09-05T00:00:00"/>
        <d v="2021-09-04T00:00:00"/>
        <d v="2021-09-02T00:00:00"/>
        <d v="2021-09-01T00:00:00"/>
        <d v="2021-08-31T00:00:00"/>
        <d v="2021-08-26T00:00:00"/>
        <d v="2021-08-25T00:00:00"/>
        <d v="2021-08-24T00:00:00"/>
        <d v="2021-08-23T00:00:00"/>
        <d v="2021-08-21T00:00:00"/>
        <d v="2021-08-19T00:00:00"/>
        <d v="2021-08-18T00:00:00"/>
        <d v="2021-08-16T00:00:00"/>
        <d v="2021-08-14T00:00:00"/>
        <d v="2021-08-12T00:00:00"/>
        <d v="2021-08-11T00:00:00"/>
        <d v="2021-08-10T00:00:00"/>
        <d v="2021-08-09T00:00:00"/>
        <d v="2021-08-05T00:00:00"/>
        <d v="2021-08-04T00:00:00"/>
        <d v="2021-08-03T00:00:00"/>
        <d v="2021-08-02T00:00:00"/>
        <d v="2021-07-30T00:00:00"/>
        <d v="2021-07-28T00:00:00"/>
        <d v="2021-07-27T00:00:00"/>
        <d v="2021-07-24T00:00:00"/>
        <d v="2021-07-22T00:00:00"/>
        <d v="2021-07-20T00:00:00"/>
        <d v="2021-07-19T00:00:00"/>
        <d v="2021-07-18T00:00:00"/>
        <d v="2021-07-17T00:00:00"/>
        <d v="2021-07-16T00:00:00"/>
        <d v="2021-07-15T00:00:00"/>
        <d v="2021-07-14T00:00:00"/>
        <d v="2021-07-13T00:00:00"/>
        <d v="2021-07-12T00:00:00"/>
        <d v="2021-07-11T00:00:00"/>
        <d v="2021-07-09T00:00:00"/>
        <d v="2021-07-08T00:00:00"/>
        <d v="2021-07-07T00:00:00"/>
        <d v="2021-07-06T00:00:00"/>
        <d v="2021-07-05T00:00:00"/>
        <d v="2021-07-04T00:00:00"/>
        <d v="2021-07-02T00:00:00"/>
        <d v="2021-07-01T00:00:00"/>
        <d v="2021-06-30T00:00:00"/>
        <d v="2021-06-27T00:00:00"/>
        <d v="2021-06-26T00:00:00"/>
        <d v="2021-06-25T00:00:00"/>
        <d v="2021-06-24T00:00:00"/>
        <d v="2021-06-23T00:00:00"/>
        <d v="2021-06-22T00:00:00"/>
        <d v="2021-06-21T00:00:00"/>
        <d v="2021-06-19T00:00:00"/>
        <d v="2021-06-18T00:00:00"/>
        <d v="2021-06-17T00:00:00"/>
        <d v="2021-06-16T00:00:00"/>
        <d v="2021-06-15T00:00:00"/>
        <d v="2021-06-12T00:00:00"/>
        <d v="2021-06-11T00:00:00"/>
        <d v="2021-06-10T00:00:00"/>
        <d v="2021-06-09T00:00:00"/>
        <d v="2021-06-08T00:00:00"/>
        <d v="2021-06-06T00:00:00"/>
        <d v="2021-06-05T00:00:00"/>
        <d v="2021-06-04T00:00:00"/>
        <d v="2021-06-03T00:00:00"/>
        <d v="2021-06-02T00:00:00"/>
        <d v="2021-06-01T00:00:00"/>
        <d v="2021-05-29T00:00:00"/>
        <d v="2021-05-28T00:00:00"/>
        <d v="2021-05-27T00:00:00"/>
        <d v="2021-05-26T00:00:00"/>
        <d v="2021-05-24T00:00:00"/>
        <d v="2021-05-23T00:00:00"/>
        <d v="2021-05-22T00:00:00"/>
        <d v="2021-05-21T00:00:00"/>
        <d v="2021-05-19T00:00:00"/>
        <d v="2021-05-18T00:00:00"/>
        <d v="2021-05-16T00:00:00"/>
        <d v="2021-05-15T00:00:00"/>
        <d v="2021-05-14T00:00:00"/>
        <d v="2021-05-13T00:00:00"/>
        <d v="2021-05-12T00:00:00"/>
        <d v="2021-05-11T00:00:00"/>
        <d v="2021-05-10T00:00:00"/>
        <d v="2021-05-09T00:00:00"/>
        <d v="2021-05-08T00:00:00"/>
        <d v="2021-05-07T00:00:00"/>
        <d v="2021-05-06T00:00:00"/>
        <d v="2021-05-05T00:00:00"/>
        <d v="2021-05-04T00:00:00"/>
        <d v="2021-05-03T00:00:00"/>
        <d v="2021-05-02T00:00:00"/>
        <d v="2021-05-01T00:00:00"/>
        <d v="2021-04-30T00:00:00"/>
        <d v="2021-04-29T00:00:00"/>
        <d v="2021-04-28T00:00:00"/>
        <d v="2021-04-27T00:00:00"/>
        <d v="2021-04-24T00:00:00"/>
        <d v="2021-04-23T00:00:00"/>
        <d v="2021-04-22T00:00:00"/>
        <d v="2021-04-21T00:00:00"/>
        <d v="2021-04-20T00:00:00"/>
        <d v="2021-04-18T00:00:00"/>
        <d v="2021-04-17T00:00:00"/>
        <d v="2021-04-16T00:00:00"/>
        <d v="2021-04-15T00:00:00"/>
        <d v="2021-04-14T00:00:00"/>
        <d v="2021-04-13T00:00:00"/>
        <d v="2021-04-12T00:00:00"/>
        <d v="2021-04-11T00:00:00"/>
        <d v="2021-04-10T00:00:00"/>
        <d v="2021-04-09T00:00:00"/>
        <d v="2021-04-08T00:00:00"/>
        <d v="2021-04-07T00:00:00"/>
        <d v="2021-04-06T00:00:00"/>
        <d v="2021-04-03T00:00:00"/>
        <d v="2021-04-02T00:00:00"/>
        <d v="2021-04-01T00:00:00"/>
        <d v="2021-03-31T00:00:00"/>
        <d v="2021-03-30T00:00:00"/>
        <d v="2021-03-27T00:00:00"/>
        <d v="2021-03-26T00:00:00"/>
        <d v="2021-03-25T00:00:00"/>
        <d v="2021-03-24T00:00:00"/>
        <d v="2021-03-23T00:00:00"/>
        <d v="2021-03-20T00:00:00"/>
        <d v="2021-03-19T00:00:00"/>
        <d v="2021-03-18T00:00:00"/>
        <d v="2021-03-17T00:00:00"/>
        <d v="2021-03-16T00:00:00"/>
        <d v="2021-03-15T00:00:00"/>
        <d v="2021-03-13T00:00:00"/>
        <d v="2021-03-12T00:00:00"/>
        <d v="2021-03-11T00:00:00"/>
        <d v="2021-03-10T00:00:00"/>
        <d v="2021-03-09T00:00:00"/>
        <d v="2021-03-08T00:00:00"/>
        <d v="2021-03-06T00:00:00"/>
        <d v="2021-03-05T00:00:00"/>
        <d v="2021-03-04T00:00:00"/>
        <d v="2021-03-03T00:00:00"/>
        <d v="2021-03-02T00:00:00"/>
        <d v="2021-03-01T00:00:00"/>
        <d v="2021-02-28T00:00:00"/>
        <d v="2021-02-27T00:00:00"/>
        <d v="2021-02-26T00:00:00"/>
        <d v="2021-02-25T00:00:00"/>
        <d v="2021-02-24T00:00:00"/>
        <d v="2021-02-23T00:00:00"/>
        <d v="2021-02-22T00:00:00"/>
        <d v="2021-02-20T00:00:00"/>
        <d v="2021-02-19T00:00:00"/>
        <d v="2021-02-18T00:00:00"/>
        <d v="2021-02-17T00:00:00"/>
        <d v="2021-02-16T00:00:00"/>
        <d v="2021-02-13T00:00:00"/>
        <d v="2021-02-12T00:00:00"/>
        <d v="2021-02-11T00:00:00"/>
        <d v="2021-02-10T00:00:00"/>
        <d v="2021-02-09T00:00:00"/>
        <d v="2021-02-06T00:00:00"/>
        <d v="2021-02-05T00:00:00"/>
        <d v="2021-02-04T00:00:00"/>
        <d v="2021-02-03T00:00:00"/>
        <d v="2021-02-02T00:00:00"/>
        <d v="2021-02-01T00:00:00"/>
        <d v="2021-01-31T00:00:00"/>
        <d v="2021-01-30T00:00:00"/>
        <d v="2021-01-29T00:00:00"/>
        <d v="2021-01-28T00:00:00"/>
        <d v="2021-01-26T00:00:00"/>
        <d v="2021-01-24T00:00:00"/>
        <d v="2021-01-23T00:00:00"/>
        <d v="2021-01-22T00:00:00"/>
        <d v="2021-01-21T00:00:00"/>
        <d v="2021-01-20T00:00:00"/>
        <d v="2021-01-19T00:00:00"/>
        <d v="2021-01-16T00:00:00"/>
        <d v="2021-01-15T00:00:00"/>
        <d v="2021-01-14T00:00:00"/>
        <d v="2021-01-13T00:00:00"/>
        <d v="2021-01-12T00:00:00"/>
        <d v="2021-01-11T00:00:00"/>
        <d v="2021-01-10T00:00:00"/>
        <d v="2021-01-09T00:00:00"/>
        <d v="2021-01-07T00:00:00"/>
        <d v="2021-01-06T00:00:00"/>
        <d v="2021-01-05T00:00:00"/>
        <d v="2021-01-04T00:00:00"/>
        <d v="2021-01-02T00:00:00"/>
        <d v="2021-01-01T00:00:00"/>
        <d v="2020-12-31T00:00:00"/>
        <d v="2020-12-30T00:00:00"/>
        <d v="2020-12-29T00:00:00"/>
        <d v="2020-12-26T00:00:00"/>
        <d v="2020-12-25T00:00:00"/>
        <d v="2020-12-24T00:00:00"/>
        <d v="2020-12-23T00:00:00"/>
        <d v="2020-12-22T00:00:00"/>
        <d v="2020-12-19T00:00:00"/>
        <d v="2020-12-18T00:00:00"/>
        <d v="2020-12-16T00:00:00"/>
        <d v="2020-12-14T00:00:00"/>
        <d v="2020-12-12T00:00:00"/>
        <d v="2020-12-11T00:00:00"/>
        <d v="2020-12-10T00:00:00"/>
        <d v="2020-12-09T00:00:00"/>
        <d v="2020-12-08T00:00:00"/>
        <d v="2020-12-05T00:00:00"/>
        <d v="2020-12-04T00:00:00"/>
        <d v="2020-12-03T00:00:00"/>
        <d v="2020-12-02T00:00:00"/>
        <d v="2020-12-01T00:00:00"/>
        <d v="2020-11-29T00:00:00"/>
        <d v="2020-11-28T00:00:00"/>
        <d v="2020-11-27T00:00:00"/>
        <d v="2020-11-26T00:00:00"/>
        <d v="2020-11-25T00:00:00"/>
        <d v="2020-11-24T00:00:00"/>
        <d v="2020-11-23T00:00:00"/>
        <d v="2020-11-21T00:00:00"/>
        <d v="2020-11-20T00:00:00"/>
        <d v="2020-11-19T00:00:00"/>
        <d v="2020-11-18T00:00:00"/>
        <d v="2020-11-17T00:00:00"/>
        <d v="2020-11-16T00:00:00"/>
        <d v="2020-11-14T00:00:00"/>
        <d v="2020-11-13T00:00:00"/>
        <d v="2020-11-12T00:00:00"/>
        <d v="2020-11-11T00:00:00"/>
        <d v="2020-11-10T00:00:00"/>
        <d v="2020-11-09T00:00:00"/>
        <d v="2020-11-08T00:00:00"/>
        <d v="2020-11-07T00:00:00"/>
        <d v="2020-11-04T00:00:00"/>
        <d v="2020-11-03T00:00:00"/>
        <d v="2020-11-02T00:00:00"/>
        <d v="2020-11-01T00:00:00"/>
        <d v="2020-10-31T00:00:00"/>
        <d v="2020-10-30T00:00:00"/>
        <d v="2020-10-29T00:00:00"/>
        <d v="2020-10-28T00:00:00"/>
        <d v="2020-10-26T00:00:00"/>
        <d v="2020-10-24T00:00:00"/>
        <d v="2020-10-21T00:00:00"/>
        <d v="2020-10-20T00:00:00"/>
        <d v="2020-10-19T00:00:00"/>
        <d v="2020-10-17T00:00:00"/>
        <d v="2020-10-16T00:00:00"/>
        <d v="2020-10-15T00:00:00"/>
        <d v="2020-10-14T00:00:00"/>
        <d v="2020-10-13T00:00:00"/>
        <d v="2020-10-12T00:00:00"/>
        <d v="2020-10-10T00:00:00"/>
        <d v="2020-10-09T00:00:00"/>
        <d v="2020-10-08T00:00:00"/>
        <d v="2020-10-07T00:00:00"/>
        <d v="2020-10-06T00:00:00"/>
        <d v="2020-10-05T00:00:00"/>
        <d v="2020-10-03T00:00:00"/>
        <d v="2020-10-02T00:00:00"/>
        <d v="2020-10-01T00:00:00"/>
        <d v="2020-09-30T00:00:00"/>
        <d v="2020-09-29T00:00:00"/>
        <d v="2020-09-27T00:00:00"/>
        <d v="2020-09-26T00:00:00"/>
        <d v="2020-09-24T00:00:00"/>
        <d v="2020-09-23T00:00:00"/>
        <d v="2020-09-22T00:00:00"/>
        <d v="2020-09-21T00:00:00"/>
        <d v="2020-09-19T00:00:00"/>
        <d v="2020-09-18T00:00:00"/>
        <d v="2020-09-17T00:00:00"/>
        <d v="2020-09-16T00:00:00"/>
        <d v="2020-09-14T00:00:00"/>
        <d v="2020-09-12T00:00:00"/>
        <d v="2020-09-10T00:00:00"/>
        <d v="2020-09-09T00:00:00"/>
        <d v="2020-09-08T00:00:00"/>
        <d v="2020-09-07T00:00:00"/>
        <d v="2020-09-06T00:00:00"/>
        <d v="2020-09-05T00:00:00"/>
        <d v="2020-09-04T00:00:00"/>
        <d v="2020-09-03T00:00:00"/>
        <d v="2020-09-02T00:00:00"/>
        <d v="2020-09-01T00:00:00"/>
        <d v="2020-08-29T00:00:00"/>
        <d v="2020-08-27T00:00:00"/>
        <d v="2020-08-26T00:00:00"/>
        <d v="2020-08-25T00:00:00"/>
        <d v="2020-08-23T00:00:00"/>
        <d v="2020-08-22T00:00:00"/>
        <d v="2020-08-20T00:00:00"/>
        <d v="2020-08-19T00:00:00"/>
        <d v="2020-08-18T00:00:00"/>
        <d v="2020-08-17T00:00:00"/>
        <d v="2020-08-15T00:00:00"/>
        <d v="2020-08-14T00:00:00"/>
        <d v="2020-08-13T00:00:00"/>
        <d v="2020-08-12T00:00:00"/>
        <d v="2020-08-11T00:00:00"/>
        <d v="2020-08-10T00:00:00"/>
        <d v="2020-08-09T00:00:00"/>
        <d v="2020-08-08T00:00:00"/>
        <d v="2020-08-07T00:00:00"/>
        <d v="2020-08-06T00:00:00"/>
        <d v="2020-08-05T00:00:00"/>
        <d v="2020-08-03T00:00:00"/>
        <d v="2020-08-01T00:00:00"/>
        <d v="2020-07-31T00:00:00"/>
        <d v="2020-07-30T00:00:00"/>
        <d v="2020-07-29T00:00:00"/>
        <d v="2020-07-28T00:00:00"/>
        <d v="2020-07-25T00:00:00"/>
        <d v="2020-07-23T00:00:00"/>
        <d v="2020-07-22T00:00:00"/>
        <d v="2020-07-21T00:00:00"/>
        <d v="2020-07-20T00:00:00"/>
        <d v="2020-07-18T00:00:00"/>
        <d v="2020-07-16T00:00:00"/>
        <d v="2020-07-15T00:00:00"/>
        <d v="2020-07-14T00:00:00"/>
        <d v="2020-07-13T00:00:00"/>
        <d v="2020-07-11T00:00:00"/>
        <d v="2020-07-10T00:00:00"/>
        <d v="2020-07-09T00:00:00"/>
        <d v="2020-07-08T00:00:00"/>
        <d v="2020-07-07T00:00:00"/>
        <d v="2020-07-06T00:00:00"/>
        <d v="2020-07-04T00:00:00"/>
        <d v="2020-07-02T00:00:00"/>
        <d v="2020-07-01T00:00:00"/>
        <d v="2020-06-30T00:00:00"/>
        <d v="2020-06-29T00:00:00"/>
        <d v="2020-06-27T00:00:00"/>
        <d v="2020-06-26T00:00:00"/>
        <d v="2020-06-25T00:00:00"/>
        <d v="2020-06-24T00:00:00"/>
        <d v="2020-06-23T00:00:00"/>
        <d v="2020-06-22T00:00:00"/>
        <d v="2020-06-20T00:00:00"/>
        <d v="2020-06-18T00:00:00"/>
        <d v="2020-06-17T00:00:00"/>
        <d v="2020-06-16T00:00:00"/>
        <d v="2020-06-13T00:00:00"/>
        <d v="2020-06-12T00:00:00"/>
        <d v="2020-06-11T00:00:00"/>
        <d v="2020-06-10T00:00:00"/>
        <d v="2020-06-09T00:00:00"/>
        <d v="2020-06-06T00:00:00"/>
        <d v="2020-06-05T00:00:00"/>
        <d v="2020-06-04T00:00:00"/>
        <d v="2020-06-03T00:00:00"/>
        <d v="2020-06-02T00:00:00"/>
        <d v="2020-06-01T00:00:00"/>
        <d v="2020-05-30T00:00:00"/>
        <d v="2020-05-28T00:00:00"/>
        <d v="2020-05-27T00:00:00"/>
        <d v="2020-05-26T00:00:00"/>
        <d v="2020-05-23T00:00:00"/>
        <d v="2020-05-20T00:00:00"/>
        <d v="2020-05-19T00:00:00"/>
        <d v="2020-05-16T00:00:00"/>
        <d v="2020-05-14T00:00:00"/>
        <d v="2020-05-13T00:00:00"/>
        <d v="2020-05-11T00:00:00"/>
        <d v="2020-05-10T00:00:00"/>
        <d v="2020-05-09T00:00:00"/>
        <d v="2020-05-08T00:00:00"/>
        <d v="2020-05-07T00:00:00"/>
        <d v="2020-05-06T00:00:00"/>
        <d v="2020-05-05T00:00:00"/>
        <d v="2020-05-04T00:00:00"/>
        <d v="2020-05-03T00:00:00"/>
        <d v="2020-05-02T00:00:00"/>
        <d v="2020-05-01T00:00:00"/>
        <d v="2020-04-30T00:00:00"/>
        <d v="2020-04-29T00:00:00"/>
        <d v="2020-04-28T00:00:00"/>
        <d v="2020-04-27T00:00:00"/>
        <d v="2020-04-26T00:00:00"/>
        <d v="2020-04-25T00:00:00"/>
        <d v="2020-04-22T00:00:00"/>
        <d v="2020-04-21T00:00:00"/>
        <d v="2020-04-19T00:00:00"/>
        <d v="2020-04-18T00:00:00"/>
        <d v="2020-04-17T00:00:00"/>
        <d v="2020-04-16T00:00:00"/>
        <d v="2020-04-15T00:00:00"/>
        <d v="2020-04-13T00:00:00"/>
        <d v="2020-04-11T00:00:00"/>
        <d v="2020-04-10T00:00:00"/>
        <d v="2020-04-08T00:00:00"/>
        <d v="2020-04-07T00:00:00"/>
        <d v="2020-04-04T00:00:00"/>
        <d v="2020-04-02T00:00:00"/>
        <d v="2020-04-01T00:00:00"/>
        <d v="2020-03-31T00:00:00"/>
        <d v="2020-03-30T00:00:00"/>
        <d v="2020-03-28T00:00:00"/>
        <d v="2020-03-27T00:00:00"/>
        <d v="2020-03-26T00:00:00"/>
        <d v="2020-03-25T00:00:00"/>
        <d v="2020-03-24T00:00:00"/>
        <d v="2020-03-21T00:00:00"/>
        <d v="2020-03-20T00:00:00"/>
        <d v="2020-03-19T00:00:00"/>
        <d v="2020-03-18T00:00:00"/>
        <d v="2020-03-17T00:00:00"/>
        <d v="2020-03-16T00:00:00"/>
        <d v="2020-03-15T00:00:00"/>
        <d v="2020-03-14T00:00:00"/>
        <d v="2020-03-13T00:00:00"/>
        <d v="2020-03-12T00:00:00"/>
        <d v="2020-03-11T00:00:00"/>
        <d v="2020-03-10T00:00:00"/>
        <d v="2020-03-09T00:00:00"/>
        <d v="2020-03-07T00:00:00"/>
        <d v="2020-03-06T00:00:00"/>
        <d v="2020-03-05T00:00:00"/>
        <d v="2020-03-04T00:00:00"/>
        <d v="2020-03-03T00:00:00"/>
        <d v="2020-03-02T00:00:00"/>
        <d v="2020-03-01T00:00:00"/>
        <d v="2020-02-29T00:00:00"/>
        <d v="2020-02-28T00:00:00"/>
        <d v="2020-02-27T00:00:00"/>
        <d v="2020-02-26T00:00:00"/>
        <d v="2020-02-25T00:00:00"/>
        <d v="2020-02-24T00:00:00"/>
        <d v="2020-02-23T00:00:00"/>
        <d v="2020-02-22T00:00:00"/>
        <d v="2020-02-21T00:00:00"/>
        <d v="2020-02-20T00:00:00"/>
        <d v="2020-02-19T00:00:00"/>
        <d v="2020-02-18T00:00:00"/>
        <d v="2020-02-17T00:00:00"/>
        <d v="2020-02-16T00:00:00"/>
        <d v="2020-02-15T00:00:00"/>
        <d v="2020-02-14T00:00:00"/>
        <d v="2020-02-13T00:00:00"/>
        <d v="2020-02-12T00:00:00"/>
        <d v="2020-02-11T00:00:00"/>
        <d v="2020-02-10T00:00:00"/>
        <d v="2020-02-08T00:00:00"/>
        <d v="2020-02-07T00:00:00"/>
        <d v="2020-02-06T00:00:00"/>
        <d v="2020-02-05T00:00:00"/>
        <d v="2020-02-04T00:00:00"/>
        <d v="2020-02-03T00:00:00"/>
        <d v="2020-02-01T00:00:00"/>
        <d v="2020-01-31T00:00:00"/>
        <d v="2020-01-30T00:00:00"/>
        <d v="2020-01-29T00:00:00"/>
        <d v="2020-01-28T00:00:00"/>
        <d v="2020-01-26T00:00:00"/>
        <d v="2020-01-25T00:00:00"/>
        <d v="2020-01-24T00:00:00"/>
        <d v="2020-01-23T00:00:00"/>
        <d v="2020-01-22T00:00:00"/>
        <d v="2020-01-21T00:00:00"/>
        <d v="2020-01-20T00:00:00"/>
        <d v="2020-01-19T00:00:00"/>
        <d v="2020-01-18T00:00:00"/>
        <d v="2020-01-17T00:00:00"/>
        <d v="2020-01-16T00:00:00"/>
        <d v="2020-01-15T00:00:00"/>
        <d v="2020-01-14T00:00:00"/>
        <d v="2020-01-13T00:00:00"/>
        <d v="2020-01-12T00:00:00"/>
        <d v="2020-01-11T00:00:00"/>
        <d v="2020-01-10T00:00:00"/>
        <d v="2020-01-09T00:00:00"/>
        <d v="2020-01-08T00:00:00"/>
        <d v="2020-01-07T00:00:00"/>
        <d v="2020-01-04T00:00:00"/>
        <d v="2020-01-03T00:00:00"/>
        <d v="2020-01-02T00:00:00"/>
        <d v="2020-01-01T00:00:00"/>
        <d v="2019-12-31T00:00:00"/>
        <d v="2019-12-30T00:00:00"/>
        <d v="2019-12-29T00:00:00"/>
        <d v="2019-12-28T00:00:00"/>
        <d v="2019-12-27T00:00:00"/>
        <d v="2019-12-26T00:00:00"/>
        <d v="2019-12-25T00:00:00"/>
        <d v="2019-12-24T00:00:00"/>
        <d v="2019-12-23T00:00:00"/>
        <d v="2019-12-22T00:00:00"/>
        <d v="2019-12-21T00:00:00"/>
        <d v="2019-12-20T00:00:00"/>
        <d v="2019-12-19T00:00:00"/>
        <d v="2019-12-18T00:00:00"/>
        <d v="2019-12-17T00:00:00"/>
        <d v="2019-12-16T00:00:00"/>
        <d v="2019-12-15T00:00:00"/>
        <d v="2019-12-14T00:00:00"/>
        <d v="2019-12-13T00:00:00"/>
        <d v="2019-12-12T00:00:00"/>
        <d v="2019-12-11T00:00:00"/>
        <d v="2019-12-10T00:00:00"/>
        <d v="2019-12-09T00:00:00"/>
        <d v="2019-12-07T00:00:00"/>
        <d v="2019-12-06T00:00:00"/>
        <d v="2019-12-05T00:00:00"/>
        <d v="2019-12-04T00:00:00"/>
        <d v="2019-12-03T00:00:00"/>
        <d v="2019-12-02T00:00:00"/>
        <d v="2019-12-01T00:00:00"/>
        <d v="2019-11-30T00:00:00"/>
        <d v="2019-11-29T00:00:00"/>
        <d v="2019-11-28T00:00:00"/>
        <d v="2019-11-27T00:00:00"/>
        <d v="2019-11-26T00:00:00"/>
        <d v="2019-11-25T00:00:00"/>
        <d v="2019-11-24T00:00:00"/>
        <d v="2019-11-23T00:00:00"/>
        <d v="2019-11-22T00:00:00"/>
        <d v="2019-11-21T00:00:00"/>
        <d v="2019-11-20T00:00:00"/>
        <d v="2019-11-19T00:00:00"/>
        <d v="2019-11-18T00:00:00"/>
        <d v="2019-11-16T00:00:00"/>
        <d v="2019-11-15T00:00:00"/>
        <d v="2019-11-14T00:00:00"/>
        <d v="2019-11-13T00:00:00"/>
        <d v="2019-11-12T00:00:00"/>
        <d v="2019-11-11T00:00:00"/>
        <d v="2019-11-09T00:00:00"/>
        <d v="2019-11-08T00:00:00"/>
        <d v="2019-11-07T00:00:00"/>
        <d v="2019-11-06T00:00:00"/>
        <d v="2019-11-05T00:00:00"/>
        <d v="2019-11-04T00:00:00"/>
        <d v="2019-11-03T00:00:00"/>
        <d v="2019-11-02T00:00:00"/>
        <d v="2019-11-01T00:00:00"/>
        <d v="2019-10-31T00:00:00"/>
        <d v="2019-10-30T00:00:00"/>
        <d v="2019-10-29T00:00:00"/>
        <d v="2019-10-28T00:00:00"/>
        <d v="2019-10-26T00:00:00"/>
        <d v="2019-10-25T00:00:00"/>
        <d v="2019-10-24T00:00:00"/>
        <d v="2019-10-23T00:00:00"/>
        <d v="2019-10-22T00:00:00"/>
        <d v="2019-10-21T00:00:00"/>
        <d v="2019-10-20T00:00:00"/>
        <d v="2019-10-19T00:00:00"/>
        <d v="2019-10-18T00:00:00"/>
        <d v="2019-10-17T00:00:00"/>
        <d v="2019-10-16T00:00:00"/>
        <d v="2019-10-15T00:00:00"/>
        <d v="2019-10-14T00:00:00"/>
        <d v="2019-10-13T00:00:00"/>
        <d v="2019-10-12T00:00:00"/>
        <d v="2019-10-11T00:00:00"/>
        <d v="2019-10-10T00:00:00"/>
        <d v="2019-10-09T00:00:00"/>
        <d v="2019-10-08T00:00:00"/>
        <d v="2019-10-06T00:00:00"/>
        <d v="2019-10-05T00:00:00"/>
        <d v="2019-10-04T00:00:00"/>
        <d v="2019-10-03T00:00:00"/>
        <d v="2019-10-02T00:00:00"/>
        <d v="2019-10-01T00:00:00"/>
        <d v="2019-09-30T00:00:00"/>
        <d v="2019-09-28T00:00:00"/>
        <d v="2019-09-26T00:00:00"/>
        <d v="2019-09-25T00:00:00"/>
        <d v="2019-09-24T00:00:00"/>
        <d v="2019-09-23T00:00:00"/>
        <d v="2019-09-21T00:00:00"/>
        <d v="2019-09-20T00:00:00"/>
        <d v="2019-09-19T00:00:00"/>
        <d v="2019-09-18T00:00:00"/>
        <d v="2019-09-17T00:00:00"/>
        <d v="2019-09-16T00:00:00"/>
        <d v="2019-09-14T00:00:00"/>
        <d v="2019-09-13T00:00:00"/>
        <d v="2019-09-12T00:00:00"/>
        <d v="2019-09-11T00:00:00"/>
        <d v="2019-09-10T00:00:00"/>
        <d v="2019-09-09T00:00:00"/>
        <d v="2019-09-08T00:00:00"/>
        <d v="2019-09-07T00:00:00"/>
        <d v="2019-09-06T00:00:00"/>
        <d v="2019-09-05T00:00:00"/>
        <d v="2019-09-04T00:00:00"/>
        <d v="2019-09-03T00:00:00"/>
        <d v="2019-09-02T00:00:00"/>
        <d v="2019-09-01T00:00:00"/>
        <d v="2019-08-31T00:00:00"/>
        <d v="2019-08-30T00:00:00"/>
        <d v="2019-08-29T00:00:00"/>
        <d v="2019-08-28T00:00:00"/>
        <d v="2019-08-27T00:00:00"/>
        <d v="2019-08-25T00:00:00"/>
        <d v="2019-08-24T00:00:00"/>
        <d v="2019-08-23T00:00:00"/>
        <d v="2019-08-22T00:00:00"/>
        <d v="2019-08-21T00:00:00"/>
        <d v="2019-08-20T00:00:00"/>
        <d v="2019-08-19T00:00:00"/>
        <d v="2019-08-18T00:00:00"/>
        <d v="2019-08-17T00:00:00"/>
        <d v="2019-08-16T00:00:00"/>
        <d v="2019-08-15T00:00:00"/>
        <d v="2019-08-14T00:00:00"/>
        <d v="2019-08-13T00:00:00"/>
        <d v="2019-08-12T00:00:00"/>
        <d v="2019-08-11T00:00:00"/>
        <d v="2019-08-10T00:00:00"/>
        <d v="2019-08-09T00:00:00"/>
        <d v="2019-08-08T00:00:00"/>
        <d v="2019-08-07T00:00:00"/>
        <d v="2019-08-06T00:00:00"/>
        <d v="2019-08-05T00:00:00"/>
        <d v="2019-08-03T00:00:00"/>
        <d v="2019-08-02T00:00:00"/>
        <d v="2019-08-01T00:00:00"/>
        <d v="2019-07-31T00:00:00"/>
        <d v="2019-07-30T00:00:00"/>
        <d v="2019-07-29T00:00:00"/>
        <d v="2019-07-28T00:00:00"/>
        <d v="2019-07-27T00:00:00"/>
        <d v="2019-07-26T00:00:00"/>
        <d v="2019-07-25T00:00:00"/>
        <d v="2019-07-24T00:00:00"/>
        <d v="2019-07-23T00:00:00"/>
        <d v="2019-07-22T00:00:00"/>
        <d v="2019-07-21T00:00:00"/>
        <d v="2019-07-20T00:00:00"/>
        <d v="2019-07-19T00:00:00"/>
        <d v="2019-07-18T00:00:00"/>
        <d v="2019-07-17T00:00:00"/>
        <d v="2019-07-16T00:00:00"/>
        <d v="2019-07-15T00:00:00"/>
        <d v="2019-07-14T00:00:00"/>
        <d v="2019-07-13T00:00:00"/>
        <d v="2019-07-12T00:00:00"/>
        <d v="2019-07-11T00:00:00"/>
        <d v="2019-07-10T00:00:00"/>
        <d v="2019-07-09T00:00:00"/>
        <d v="2019-07-08T00:00:00"/>
        <d v="2019-07-07T00:00:00"/>
        <d v="2019-07-06T00:00:00"/>
        <d v="2019-07-05T00:00:00"/>
        <d v="2019-07-04T00:00:00"/>
        <d v="2019-07-03T00:00:00"/>
        <d v="2019-07-02T00:00:00"/>
        <d v="2019-07-01T00:00:00"/>
        <d v="2019-06-29T00:00:00"/>
        <d v="2019-06-28T00:00:00"/>
        <d v="2019-06-27T00:00:00"/>
        <d v="2019-06-26T00:00:00"/>
        <d v="2019-06-25T00:00:00"/>
        <d v="2019-06-24T00:00:00"/>
        <d v="2019-06-22T00:00:00"/>
        <d v="2019-06-21T00:00:00"/>
        <d v="2019-06-20T00:00:00"/>
        <d v="2019-06-19T00:00:00"/>
        <d v="2019-06-18T00:00:00"/>
        <d v="2019-06-17T00:00:00"/>
        <d v="2019-06-16T00:00:00"/>
        <d v="2019-06-15T00:00:00"/>
        <d v="2019-06-14T00:00:00"/>
        <d v="2019-06-13T00:00:00"/>
        <d v="2019-06-12T00:00:00"/>
        <d v="2019-06-11T00:00:00"/>
        <d v="2019-06-10T00:00:00"/>
        <d v="2019-06-08T00:00:00"/>
        <d v="2019-06-07T00:00:00"/>
        <d v="2019-06-06T00:00:00"/>
        <d v="2019-06-05T00:00:00"/>
        <d v="2019-06-04T00:00:00"/>
        <d v="2019-06-03T00:00:00"/>
        <d v="2019-06-01T00:00:00"/>
        <d v="2019-05-31T00:00:00"/>
        <d v="2019-05-30T00:00:00"/>
        <d v="2019-05-29T00:00:00"/>
        <d v="2019-05-28T00:00:00"/>
        <d v="2019-05-27T00:00:00"/>
        <d v="2019-05-26T00:00:00"/>
        <d v="2019-05-25T00:00:00"/>
        <d v="2019-05-24T00:00:00"/>
        <d v="2019-05-23T00:00:00"/>
        <d v="2019-05-22T00:00:00"/>
        <d v="2019-05-21T00:00:00"/>
        <d v="2019-05-20T00:00:00"/>
        <d v="2019-05-19T00:00:00"/>
        <d v="2019-05-18T00:00:00"/>
        <d v="2019-05-17T00:00:00"/>
        <d v="2019-05-16T00:00:00"/>
        <d v="2019-05-15T00:00:00"/>
        <d v="2019-05-14T00:00:00"/>
        <d v="2019-05-13T00:00:00"/>
        <d v="2019-05-12T00:00:00"/>
        <d v="2019-05-11T00:00:00"/>
        <d v="2019-05-10T00:00:00"/>
        <d v="2019-05-09T00:00:00"/>
        <d v="2019-05-08T00:00:00"/>
        <d v="2019-05-07T00:00:00"/>
        <d v="2019-05-06T00:00:00"/>
        <d v="2019-05-04T00:00:00"/>
        <d v="2019-05-03T00:00:00"/>
        <d v="2019-05-02T00:00:00"/>
        <d v="2019-05-01T00:00:00"/>
        <d v="2019-04-30T00:00:00"/>
        <d v="2019-04-29T00:00:00"/>
        <d v="2019-04-27T00:00:00"/>
        <d v="2019-04-26T00:00:00"/>
        <d v="2019-04-25T00:00:00"/>
        <d v="2019-04-24T00:00:00"/>
        <d v="2019-04-23T00:00:00"/>
        <d v="2019-04-20T00:00:00"/>
        <d v="2019-04-19T00:00:00"/>
        <d v="2019-04-17T00:00:00"/>
        <d v="2019-04-16T00:00:00"/>
        <d v="2019-04-15T00:00:00"/>
        <d v="2019-04-13T00:00:00"/>
        <d v="2019-04-12T00:00:00"/>
        <d v="2019-04-11T00:00:00"/>
        <d v="2019-04-10T00:00:00"/>
        <d v="2019-04-09T00:00:00"/>
        <d v="2019-04-08T00:00:00"/>
        <d v="2019-04-06T00:00:00"/>
        <d v="2019-04-05T00:00:00"/>
        <d v="2019-04-04T00:00:00"/>
        <d v="2019-04-03T00:00:00"/>
        <d v="2019-04-02T00:00:00"/>
        <d v="2019-04-01T00:00:00"/>
        <d v="2019-03-31T00:00:00"/>
        <d v="2019-03-30T00:00:00"/>
        <d v="2019-03-29T00:00:00"/>
        <d v="2019-03-28T00:00:00"/>
        <d v="2019-03-27T00:00:00"/>
        <d v="2019-03-26T00:00:00"/>
        <d v="2019-03-25T00:00:00"/>
        <d v="2019-03-23T00:00:00"/>
        <d v="2019-03-21T00:00:00"/>
        <d v="2019-03-20T00:00:00"/>
        <d v="2019-03-19T00:00:00"/>
        <d v="2019-03-17T00:00:00"/>
        <d v="2019-03-16T00:00:00"/>
        <d v="2019-03-15T00:00:00"/>
        <d v="2019-03-14T00:00:00"/>
        <d v="2019-03-13T00:00:00"/>
        <d v="2019-03-11T00:00:00"/>
        <d v="2019-03-09T00:00:00"/>
        <d v="2019-03-08T00:00:00"/>
        <d v="2019-03-07T00:00:00"/>
        <d v="2019-03-06T00:00:00"/>
        <d v="2019-03-05T00:00:00"/>
        <d v="2019-03-04T00:00:00"/>
        <d v="2019-03-02T00:00:00"/>
        <d v="2019-03-01T00:00:00"/>
        <d v="2019-02-28T00:00:00"/>
        <d v="2019-02-27T00:00:00"/>
        <d v="2019-02-26T00:00:00"/>
        <d v="2019-02-25T00:00:00"/>
        <d v="2019-02-23T00:00:00"/>
        <d v="2019-02-22T00:00:00"/>
        <d v="2019-02-21T00:00:00"/>
        <d v="2019-02-20T00:00:00"/>
        <d v="2019-02-19T00:00:00"/>
        <d v="2019-02-18T00:00:00"/>
        <d v="2019-02-16T00:00:00"/>
        <d v="2019-02-15T00:00:00"/>
        <d v="2019-02-14T00:00:00"/>
        <d v="2019-02-13T00:00:00"/>
        <d v="2019-02-12T00:00:00"/>
        <d v="2019-02-11T00:00:00"/>
        <d v="2019-02-10T00:00:00"/>
        <d v="2019-02-09T00:00:00"/>
        <d v="2019-02-08T00:00:00"/>
        <d v="2019-02-07T00:00:00"/>
        <d v="2019-02-06T00:00:00"/>
        <d v="2019-02-05T00:00:00"/>
        <d v="2019-02-04T00:00:00"/>
        <d v="2019-02-02T00:00:00"/>
        <d v="2019-02-01T00:00:00"/>
        <d v="2019-01-31T00:00:00"/>
        <d v="2019-01-30T00:00:00"/>
        <d v="2019-01-29T00:00:00"/>
        <d v="2019-01-28T00:00:00"/>
        <d v="2019-01-27T00:00:00"/>
        <d v="2019-01-26T00:00:00"/>
        <d v="2019-01-25T00:00:00"/>
        <d v="2019-01-24T00:00:00"/>
        <d v="2019-01-23T00:00:00"/>
        <d v="2019-01-22T00:00:00"/>
        <d v="2019-01-19T00:00:00"/>
        <d v="2019-01-18T00:00:00"/>
        <d v="2019-01-17T00:00:00"/>
        <d v="2019-01-16T00:00:00"/>
        <d v="2019-01-15T00:00:00"/>
        <d v="2019-01-14T00:00:00"/>
        <d v="2019-01-12T00:00:00"/>
        <d v="2019-01-11T00:00:00"/>
        <d v="2019-01-10T00:00:00"/>
        <d v="2019-01-09T00:00:00"/>
        <d v="2019-01-08T00:00:00"/>
        <d v="2019-01-07T00:00:00"/>
        <d v="2019-01-05T00:00:00"/>
        <d v="2019-01-03T00:00:00"/>
        <d v="2019-01-02T00:00:00"/>
        <d v="2019-01-01T00:00:00"/>
        <d v="2018-12-31T00:00:00"/>
        <d v="2018-12-30T00:00:00"/>
        <d v="2018-12-29T00:00:00"/>
        <d v="2018-12-28T00:00:00"/>
        <d v="2018-12-27T00:00:00"/>
        <d v="2018-12-25T00:00:00"/>
        <d v="2018-12-24T00:00:00"/>
        <d v="2018-12-23T00:00:00"/>
        <d v="2018-12-22T00:00:00"/>
        <d v="2018-12-21T00:00:00"/>
        <d v="2018-12-20T00:00:00"/>
        <d v="2018-12-19T00:00:00"/>
        <d v="2018-12-18T00:00:00"/>
        <d v="2018-12-17T00:00:00"/>
        <d v="2018-12-15T00:00:00"/>
        <d v="2018-12-14T00:00:00"/>
        <d v="2018-12-13T00:00:00"/>
        <d v="2018-12-12T00:00:00"/>
        <d v="2018-12-11T00:00:00"/>
        <d v="2018-12-08T00:00:00"/>
        <d v="2018-12-07T00:00:00"/>
        <d v="2018-12-06T00:00:00"/>
        <d v="2018-12-05T00:00:00"/>
        <d v="2018-12-04T00:00:00"/>
        <d v="2018-12-03T00:00:00"/>
        <d v="2018-12-01T00:00:00"/>
        <d v="2018-11-30T00:00:00"/>
        <d v="2018-11-29T00:00:00"/>
        <d v="2018-11-28T00:00:00"/>
        <d v="2018-11-27T00:00:00"/>
        <d v="2018-11-24T00:00:00"/>
        <d v="2018-11-23T00:00:00"/>
        <d v="2018-11-22T00:00:00"/>
        <d v="2018-11-21T00:00:00"/>
        <d v="2018-11-20T00:00:00"/>
        <d v="2018-11-17T00:00:00"/>
        <d v="2018-11-16T00:00:00"/>
        <d v="2018-11-15T00:00:00"/>
        <d v="2018-11-14T00:00:00"/>
        <d v="2018-11-13T00:00:00"/>
        <d v="2018-11-10T00:00:00"/>
        <d v="2018-11-09T00:00:00"/>
        <d v="2018-11-08T00:00:00"/>
        <d v="2018-11-07T00:00:00"/>
        <d v="2018-11-05T00:00:00"/>
        <d v="2018-11-04T00:00:00"/>
        <d v="2018-11-03T00:00:00"/>
        <d v="2018-11-02T00:00:00"/>
        <d v="2018-11-01T00:00:00"/>
        <d v="2018-10-31T00:00:00"/>
        <d v="2018-10-30T00:00:00"/>
        <d v="2018-10-28T00:00:00"/>
        <d v="2018-10-27T00:00:00"/>
        <d v="2018-10-26T00:00:00"/>
        <d v="2018-10-25T00:00:00"/>
        <d v="2018-10-24T00:00:00"/>
        <d v="2018-10-23T00:00:00"/>
        <d v="2018-10-22T00:00:00"/>
        <d v="2018-10-20T00:00:00"/>
        <d v="2018-10-19T00:00:00"/>
        <d v="2018-10-18T00:00:00"/>
        <d v="2018-10-17T00:00:00"/>
        <d v="2018-10-16T00:00:00"/>
        <d v="2018-10-14T00:00:00"/>
        <d v="2018-10-13T00:00:00"/>
        <d v="2018-10-12T00:00:00"/>
        <d v="2018-10-11T00:00:00"/>
        <d v="2018-10-10T00:00:00"/>
        <d v="2018-10-09T00:00:00"/>
        <d v="2018-10-08T00:00:00"/>
        <d v="2018-10-07T00:00:00"/>
        <d v="2018-10-06T00:00:00"/>
        <d v="2018-10-05T00:00:00"/>
        <d v="2018-10-04T00:00:00"/>
        <d v="2018-10-03T00:00:00"/>
        <d v="2018-10-02T00:00:00"/>
        <d v="2018-10-01T00:00:00"/>
        <d v="2018-09-29T00:00:00"/>
        <d v="2018-09-28T00:00:00"/>
        <d v="2018-09-27T00:00:00"/>
        <d v="2018-09-26T00:00:00"/>
        <d v="2018-09-25T00:00:00"/>
        <d v="2018-09-24T00:00:00"/>
        <d v="2018-09-22T00:00:00"/>
        <d v="2018-09-21T00:00:00"/>
        <d v="2018-09-20T00:00:00"/>
        <d v="2018-09-19T00:00:00"/>
        <d v="2018-09-18T00:00:00"/>
        <d v="2018-09-17T00:00:00"/>
        <d v="2018-09-16T00:00:00"/>
        <d v="2018-09-15T00:00:00"/>
        <d v="2018-09-14T00:00:00"/>
        <d v="2018-09-13T00:00:00"/>
        <d v="2018-09-12T00:00:00"/>
        <d v="2018-09-11T00:00:00"/>
        <d v="2018-09-10T00:00:00"/>
        <d v="2018-09-08T00:00:00"/>
        <d v="2018-09-07T00:00:00"/>
        <d v="2018-09-06T00:00:00"/>
        <d v="2018-09-05T00:00:00"/>
        <d v="2018-09-04T00:00:00"/>
        <d v="2018-09-03T00:00:00"/>
        <d v="2018-09-01T00:00:00"/>
        <d v="2018-08-31T00:00:00"/>
        <d v="2018-08-30T00:00:00"/>
        <d v="2018-08-29T00:00:00"/>
        <d v="2018-08-28T00:00:00"/>
        <d v="2018-08-27T00:00:00"/>
        <d v="2018-08-25T00:00:00"/>
        <d v="2018-08-24T00:00:00"/>
        <d v="2018-08-23T00:00:00"/>
        <d v="2018-08-22T00:00:00"/>
        <d v="2018-08-21T00:00:00"/>
        <d v="2018-08-18T00:00:00"/>
        <d v="2018-08-17T00:00:00"/>
        <d v="2018-08-16T00:00:00"/>
        <d v="2018-08-15T00:00:00"/>
        <d v="2018-08-14T00:00:00"/>
        <d v="2018-08-11T00:00:00"/>
        <d v="2018-08-10T00:00:00"/>
        <d v="2018-08-09T00:00:00"/>
        <d v="2018-08-08T00:00:00"/>
        <d v="2018-08-07T00:00:00"/>
        <d v="2018-08-06T00:00:00"/>
        <d v="2018-08-05T00:00:00"/>
        <d v="2018-08-04T00:00:00"/>
        <d v="2018-08-03T00:00:00"/>
        <d v="2018-08-02T00:00:00"/>
        <d v="2018-08-01T00:00:00"/>
        <d v="2018-07-31T00:00:00"/>
        <d v="2018-07-28T00:00:00"/>
        <d v="2018-07-27T00:00:00"/>
        <d v="2018-07-26T00:00:00"/>
        <d v="2018-07-25T00:00:00"/>
        <d v="2018-07-24T00:00:00"/>
        <d v="2018-07-21T00:00:00"/>
        <d v="2018-07-20T00:00:00"/>
        <d v="2018-07-19T00:00:00"/>
        <d v="2018-07-18T00:00:00"/>
        <d v="2018-07-17T00:00:00"/>
        <d v="2018-07-14T00:00:00"/>
        <d v="2018-07-13T00:00:00"/>
        <d v="2018-07-12T00:00:00"/>
        <d v="2018-07-11T00:00:00"/>
        <d v="2018-07-10T00:00:00"/>
        <d v="2018-07-09T00:00:00"/>
        <d v="2018-07-07T00:00:00"/>
        <d v="2018-07-06T00:00:00"/>
        <d v="2018-07-05T00:00:00"/>
        <d v="2018-07-04T00:00:00"/>
        <d v="2018-07-03T00:00:00"/>
        <d v="2018-07-02T00:00:00"/>
        <d v="2018-07-01T00:00:00"/>
        <d v="2018-06-27T00:00:00"/>
        <d v="2018-06-20T00:00:00"/>
        <d v="2018-06-15T00:00:00"/>
        <d v="2018-05-26T00:00:00"/>
        <d v="2018-05-18T00:00:00"/>
        <d v="2018-04-24T00:00:00"/>
        <d v="2018-04-20T00:00:00"/>
        <d v="2018-03-09T00:00:00"/>
        <d v="2018-03-08T00:00:00"/>
        <d v="2017-09-21T00:00:00"/>
        <d v="2017-09-18T00:00:00"/>
        <d v="2017-09-11T00:00:00"/>
        <d v="2017-09-09T00:00:00"/>
        <d v="2017-08-05T00:00:00"/>
        <d v="2017-08-04T00:00:00"/>
        <d v="2017-07-31T00:00:00"/>
        <d v="2017-06-28T00:00:00"/>
        <d v="2017-06-09T00:00:00"/>
        <d v="2017-05-09T00:00:00"/>
        <d v="2016-01-22T00:00:00"/>
        <d v="2015-11-19T00:00:00"/>
        <d v="2010-04-29T00:00:00"/>
      </sharedItems>
    </cacheField>
    <cacheField name="Amount" numFmtId="0">
      <sharedItems containsSemiMixedTypes="0" containsString="0" containsNumber="1" minValue="-75000" maxValue="75000"/>
    </cacheField>
    <cacheField name="Transaction" numFmtId="0">
      <sharedItems count="4407">
        <s v="Transfer To Masoumeh Gholamshahi CommBank App massage chair refund"/>
        <s v="COLES 7663COLES 7663 PARRAMATTA AU AUS Card xx2869 Value Date: 19/02/2025"/>
        <s v="ERMINGTON MEATS Ermington NS AUS Card xx2869 Value Date: 19/02/2025"/>
        <s v="BUPA HI P T PHI MELBOURNE VI AUS Card xx2869 Value Date: 19/02/2025"/>
        <s v="ALDI STORES - PARRAMAT PARRAMATTA AUS Card xx2869 Value Date: 18/02/2025"/>
        <s v="Return AMAZON AU MARKETPLACE SYDNEY AUS Card xx2869 Value Date: 18/02/2025"/>
        <s v="Direct Credit 462125 APRA Limited AU Royalty W739163"/>
        <s v="COLES 0887 PARRAMATTA AU"/>
        <s v="HAAK EATERY PTY LTD SURRY HILLS AU"/>
        <s v="Transfer To menikmati CommBank App Cap x 1"/>
        <s v="UBER *EATS HELP.UBER.COM"/>
        <s v="Direct Debit 502574 THE C&amp;PSU CPSU Membership"/>
        <s v="International Transaction Fee Value Date: 10/02/2025"/>
        <s v="OPENAI *CHATGPT SUBSCR SAN FRANCISCO CA USA Card xx2869 USD 22.00 Value Date: 11/02/2025"/>
        <s v="TRANSPORTFORNSW OPAL CHIPPENDALE AUS Card xx2869 Value Date: 11/02/2025"/>
        <s v="Transfer to other Bank NetBank Mortgage Payment"/>
        <s v="Salary SERVAUPAYROLL 20504P 85920286"/>
        <s v="Google YouTube Barangaroo AU AUS Card xx2869 Value Date: 10/02/2025"/>
        <s v="PHOTOWN Alexandria AU"/>
        <s v="COLES 7663COLES 7663 PARRAMATTA AU AUS Card xx2869 Value Date: 07/02/2025"/>
        <s v="ALDI STORES - PARRAMAT PARRAMATTA AUS Card xx2869 Value Date: 07/02/2025"/>
        <s v="OPTUS BILLING AUTOPAY MACQUARIE PAR NS AUS Card xx2869 Value Date: 09/02/2025"/>
        <s v="Transfer To Masoumeh Gholamshahi CommBank App groceries"/>
        <s v="Return THE DAILY WIRE NASHVILLE TN USA Card xx2869 USD 14.99 Value Date: 03/02/2025"/>
        <s v="International Transaction Fee Value Date: 02/02/2025"/>
        <s v="THE DAILY WIRE NASHVILLE TN USA Card xx2869 USD 14.99 Value Date: 02/02/2025"/>
        <s v="eBay O*19-12647-26740 Sydney AU AUS Card xx2869 Value Date: 02/02/2025"/>
        <s v="eBay O*09-12658-12954 Sydney AU AUS Card xx2869 Value Date: 02/02/2025"/>
        <s v="SPEEDWAY WEST RYDE WEST RYDE NSWAU"/>
        <s v="Salary SERVAUPAYROLL 21531P 85920286"/>
        <s v="BUNNINGS 388000 RYDALMERE AU Card xx2869"/>
        <s v="AMAZON AU MARKETPLACE SYDNEY AUS Card xx2869 Value Date: 23/01/2025"/>
        <s v="ALDI STORES - RYDALMER RYDALMERE AUS Card xx2869 Value Date: 26/01/2025"/>
        <s v="COLES 7663 PARRAMATTA AU"/>
        <s v="PHARMACY JUNCTION PARRAMA PARRAMA NSW AU Card xx2869"/>
        <s v="RETAIL PRODIGY OPS PL PARRAMATTA NSWAU"/>
        <s v="OPTUS BILLING AUTOPAY MACQUARIE PAR NS AUS Card xx2869 Value Date: 22/01/2025"/>
        <s v="BUPA HI P T PHI MELBOURNE VI AUS Card xx2869 Value Date: 21/01/2025"/>
        <s v="MEDI CORP PTY LIMITED HABERFIELD NS AUS Card xx2869 Value Date: 17/01/2025"/>
        <s v="WWW.REEBELO.COM.AU SYDNEY NS AUS Card xx2869 Value Date: 17/01/2025"/>
        <s v="COLES 7663COLES 7663 PARRAMATTA AU AUS Card xx2869 Value Date: 18/01/2025"/>
        <s v="Direct Credit 002221 MCARE BENEFITS 382001678 AYWQ"/>
        <s v="Zag Seafood Parramatta AU"/>
        <s v="Harveys Hot Sandwiches Parramatta AU"/>
        <s v="OFFICEWORKS 0256OFFICE NORTHMEAD AU AUS Card xx2869 Value Date: 15/01/2025"/>
        <s v="Return OFFICEWORKS 0256OFFICE NORTHMEAD AU AUS Card xx2869 Value Date: 15/01/2025"/>
        <s v="TRANSPORTFORNSW OPAL CHIPPENDALE AUS Card xx2869 Value Date: 14/01/2025"/>
        <s v="Salary SERVAUPAYROLL 21495P 85920286"/>
        <s v="OPTUS BILLING AUTOPAY MACQUARIE PAR NS AUS Card xx2869 Value Date: 10/01/2025"/>
        <s v="International Transaction Fee Value Date: 10/01/2025"/>
        <s v="OPENAI *CHATGPT SUBSCR SAN FRANCISCO CA USA Card xx2869 USD 22.00 Value Date: 11/01/2025"/>
        <s v="Google YouTube Pyrmont AU AUS Card xx2869 Value Date: 06/01/2025"/>
        <s v="Google YouTube Pyrmont AU AUS Card xx2869 Value Date: 07/01/2025"/>
        <s v="AMAZON AU MARKETPLACE SYDNEY AUS Card xx2869 Value Date: 08/01/2025"/>
        <s v="Jaycar Rhodes Rhodes AU AUS Card xx2869 Value Date: 08/01/2025"/>
        <s v="Transfer to other Bank NetBank groceries"/>
        <s v="Refund Purchase Jaycar Lidcombe Lidcombe AU"/>
        <s v="AMAZON AU MARKETPLACE SYDNEY AUS Card xx2869 Value Date: 06/01/2025"/>
        <s v="International Transaction Fee Value Date: 02/01/2025"/>
        <s v="THE DAILY WIRE NASHVILLE TN USA Card xx2869 USD 14.99 Value Date: 02/01/2025"/>
        <s v="ORIGIN ENERGY BARANGAROO AUS Card xx2869 Value Date: 02/01/2025"/>
        <s v="AMAZON AU MARKETPLACE SYDNEY AUS Card xx2869 Value Date: 04/01/2025"/>
        <s v="Swing Factory T Hills Terrey Hills AU AUS Card xx2869 Value Date: 02/01/2025"/>
        <s v="GUO MAMA PTY LTD CASTLE HILL NS AUS Card xx2869 Value Date: 02/01/2025"/>
        <s v="7-ELEVEN 2048 DRUMMOYNE NS AUS Card xx2869 Value Date: 31/12/2024"/>
        <s v="LIQUORLAND 2822LIQUORL PARRAMATTA AU AUS Card xx2869 Value Date: 31/12/2024"/>
        <s v="Transfer To Z ZHANG PayID Phone from CommBank App food eastwood markets"/>
        <s v="Fast Transfer From JOHN MINAI Eastwood dinner Eastwood dinner"/>
        <s v="Transfer To JOHN MINAI PayID Phone from CommBank App golf"/>
        <s v="Transfer To RAMTEAN ROOZBEHANI CommBank App iou"/>
        <s v="UBER EATS* EATS"/>
        <s v="Salary SERVAUPAYROLL 20241P 85920286"/>
        <s v="Non CBA ATM Withdrawal Fee"/>
        <s v="Wdl ATM CAS COLES EXPRESS - PARRAMAT NS AU"/>
        <s v="COTTON ON 2931 BIRKE DRUMMOYNE NS AUS Card xx2869 Value Date: 29/12/2024"/>
        <s v="7-ELEVEN 2270 ROZELLE NS AUS Card xx2869 Value Date: 29/12/2024"/>
        <s v="SQ *FISHBOWL ROZELLE Rozelle AU"/>
        <s v="HYDROLINK CORP PTY LTD Sydney AU"/>
        <s v="COLES 0887COLES 0887 PARRAMATTA AU AUS Card xx2869 Value Date: 24/12/2024"/>
        <s v="International Transaction Fee Value Date: 24/12/2024"/>
        <s v="SP TAMUZ SAMPLES BROOKLYN NY USA Card xx2869 USD 14.95 Value Date: 25/12/2024"/>
        <s v="BUNNINGS 388000 RYDALMERE AUS Card xx2869 Value Date: 24/12/2024"/>
        <s v="STAN.COM.AU"/>
        <s v="OPTUS BILLING AUTOPAY MACQUARIE PAR NS AUS Card xx2869 Value Date: 22/12/2024"/>
        <s v="Fast Transfer From MASOUMEH GHOLAMSHAHI Merry x-mass Rodean joon. Lots of lov..."/>
        <s v="LIQUORLAND 2822LIQUORL PARRAMATTA AU AUS Card xx2869 Value Date: 21/12/2024"/>
        <s v="Nextra on5 Parramatta AU"/>
        <s v="SPEEDWAY PARRAMATTA PARRAMATTA NSWAU"/>
        <s v="BEATPORT 720-974-9500 CO USA Card xx2869 AUD 3.40 Value Date: 19/12/2024"/>
        <s v="THE GOOD GUYS WEB STOR SOUTHBANK VI AUS Card xx2869 Value Date: 19/12/2024"/>
        <s v="BUPA HI P T PHI MELBOURNE VI AUS Card xx2869 Value Date: 19/12/2024"/>
        <s v="Transfer To Masoumeh Gholamshahi CommBank App flowers"/>
        <s v="Salary SERVAUPAYROLL 19554P 85920286"/>
        <s v="COLES 0887COLES 0887 PARRAMATTA AU AUS Card xx2869 Value Date: 14/12/2024"/>
        <s v="JOHNS QUALITY MEATS PA PARRAMATTA AU AUS Card xx2869 Value Date: 14/12/2024"/>
        <s v="Transfer To Masoumeh Gholamshahi CommBank App food"/>
        <s v="MCDONALDS DRUMMOYNE DRUMMOYNE NSWAU"/>
        <s v="UNIVERSAL IMPERIAL HOT ERSKINEVILLE AU Card xx2869 Value Date: 15/12/2024"/>
        <s v="UNIVERSAL IMPERIAL HOT ERSKINEVILLE AU Card xx2869"/>
        <s v="International Transaction Fee Value Date: 10/12/2024"/>
        <s v="OPENAI *CHATGPT SUBSCR SAN FRANCISCO CA USA Card xx2869 USD 22.00 Value Date: 11/12/2024"/>
        <s v="TRANSPORTFORNSW OPAL CHIPPENDALE AUS Card xx2869 Value Date: 10/12/2024"/>
        <s v="THE HUNTERS HILL HOTEL Hunters Hill AU AUS Card xx2869 Value Date: 07/12/2024"/>
        <s v="OPTUS BILLING AUTOPAY MACQUARIE PAR NS AUS Card xx2869 Value Date: 08/12/2024"/>
        <s v="Jaycar Lidcombe Lidcombe AU"/>
        <s v="International Transaction Fee Value Date: 02/12/2024"/>
        <s v="THE DAILY WIRE NASHVILLE TN USA Card xx2869 USD 14.99 Value Date: 02/12/2024"/>
        <s v="COLES 0887COLES 0887 PARRAMATTA AU AUS Card xx2869 Value Date: 03/12/2024"/>
        <s v="ORIGIN ENERGY BARANGAROO AUS Card xx2869 Value Date: 03/12/2024"/>
        <s v="Salary SERVAUPAYROLL 18572P 85920286"/>
        <s v="Return MANNYS Alexandria NS AUS Card xx2869 Value Date: 02/12/2024"/>
        <s v="Fast Transfer From MR H ROOZBEHANI Happy birthday Love from Dad"/>
        <s v="MANNYS Alexandria AU"/>
        <s v="AMAZON AU MARKETPLACE SYDNEY AUS Card xx2869 Value Date: 25/11/2024"/>
        <s v="CENTRE COM SUNSHINE PTY LAUBURN AU (wireless receiver for keyboard)"/>
        <s v="OPTUS BILLING AUTOPAY MACQUARIE PAR NS AUS Card xx2869 Value Date: 22/11/2024"/>
        <s v="AMAZON AU RETAIL SYDNEY AUS Card xx2869 Value Date: 22/11/2024"/>
        <s v="Fast Transfer From MR JULIEN DANIEL ROBY CREDIT TO ACCOUNT"/>
        <s v="Refund Purchase UBER* TRIP"/>
        <s v="UBER* TRIP"/>
        <s v="Ivy Level 1 Sydney AU"/>
        <s v="Angel Hotel Sydney AU"/>
        <s v="Transfer To Kieran Krohn CommBank App food"/>
        <s v="BUPA HI P T PHI MELBOURNE VI AUS Card xx2869 Value Date: 19/11/2024"/>
        <s v="TRANSPORTFORNSW OPAL CHIPPENDALE AUS Card xx2869 Value Date: 19/11/2024"/>
        <s v="Salary SERVAUPAYROLL 22063P 85920286"/>
        <s v="Direct Credit 002221 MCARE BENEFITS 950055691 AYWQ"/>
        <s v="LEVEL 5 HEALTH P/L PARRAMATTA NSWAU"/>
        <s v="Transfer to other Bank CommBank app Mortgage Payment"/>
        <s v="MANNYS MUSIC STORE Crows Nest AU"/>
        <s v="COLES 0887COLES 0887 PARRAMATTA AU AUS Card xx2869 Value Date: 14/11/2024"/>
        <s v="THE GUITAR FACTORY PARRAMATTA AU Card xx2869"/>
        <s v="Fast Transfer From JACK BOSENBERG to PayID Phone dinner Jack"/>
        <s v="Fast Transfer From CoinSpot CREDIT TO ACCOUNT Value Date: 15/11/2024"/>
        <s v="LINKT SYDNEY SYDNEY AUS Card xx2869 Value Date: 13/11/2024"/>
        <s v="International Transaction Fee Value Date: 10/11/2024"/>
        <s v="OPENAI *CHATGPT SUBSCR SAN FRANCISCO CA USA Card xx2869 USD 22.00 Value Date: 11/11/2024"/>
        <s v="MENZIES WORLD CARGO 2 MATRAVILLE AU AUS Card xx2869 Value Date: 09/11/2024"/>
        <s v="BUNNINGS 388000 RYDALMERE AUS Card xx2869 Value Date: 09/11/2024"/>
        <s v="Fast Transfer From AARON D'ABRUZZO Aaron Dinner Aaron Dinner"/>
        <s v="Fast Transfer From JOHN MINAI to PayID Phone Dinner"/>
        <s v="CrownHotel Parramatta Parramatta AU"/>
        <s v="VOLCANOS PARRAMATTA Parramatta AU"/>
        <s v="OPTUS BILLING AUTOPAY MACQUARIE PAR NS AUS Card xx2869 Value Date: 07/11/2024"/>
        <s v="Parramatta City Counci Parramatta NS AUS Card xx2869 Value Date: 06/11/2024"/>
        <s v="Transfer To Customs Cargo Administrator NetBank Clavinet Clearance"/>
        <s v="Transfer To ATX taxation and accounting CommBank App tax return"/>
        <s v="Salary SERVAUPAYROLL 19375P 85920286"/>
        <s v="WOOLWORTHS 1366 ERMINGTON NS AUS Card xx2869 Value Date: 02/11/2024"/>
        <s v="COLES 0887COLES 0887 PARRAMATTA AU AUS Card xx2869 Value Date: 02/11/2024"/>
        <s v="International Transaction Fee Value Date: 02/11/2024"/>
        <s v="THE DAILY WIRE NASHVILLE TN USA Card xx2869 USD 14.99 Value Date: 02/11/2024"/>
        <s v="ERMINGTON MEATS Ermington AU"/>
        <s v="Harveys Hot Sandwiches Parramatta AU AUS Card xx2869 Value Date: 31/10/2024"/>
        <s v="TRANSPORTFORNSW OPAL CHIPPENDALE AUS Card xx2869 Value Date: 29/10/2024"/>
        <s v="MAD MEX PARRAMATTA PARRAMATTA NSW AU Card xx2869"/>
        <s v="REVERB B.V. AMSTERDAM NL NLD Card xx2869 AUD 6630.76 Value Date: 28/10/2024"/>
        <s v="EG GROUP 1296 WEST RYDE NS AUS Card xx2869 Value Date: 26/10/2024"/>
        <s v="THE BALMAIN HOTEL Sydney AU AUS Card xx2869 Value Date: 26/10/2024"/>
        <s v="COLES 7663COLES 7663 PARRAMATTA AU AUS Card xx2869 Value Date: 27/10/2024"/>
        <s v="Zag Seafood Parramatta NS AUS Card xx2869 Value Date: 27/10/2024"/>
        <s v="CHEEKY BURGERS AND KEBABGNORTH PARR AU"/>
        <s v="Direct Credit 175029 ROOZBEHANI,RODEA Hohner Clavinet e7"/>
        <s v="MCDONALDS WESTMEAD NORTHMEAD NSWAU"/>
        <s v="COLES 7663COLES 7663 PARRAMATTA AU AUS Card xx2869 Value Date: 24/10/2024"/>
        <s v="Parramatta City Counci Parramatta NS AUS Card xx2869 Value Date: 23/10/2024"/>
        <s v="LS Bobble Tea Kingsgrove AU"/>
        <s v="ENTRADA PHARMACY PARRAMATTA NS AUS Card xx2869 Value Date: 23/10/2024"/>
        <s v="OPTUS BILLING AUTOPAY MACQUARIE PAR NS AUS Card xx2869 Value Date: 23/10/2024"/>
        <s v="MOSHTIX PTY LTD SYDNEY NS AUS Card xx2869 Value Date: 22/10/2024"/>
        <s v="Salary SERVAUPAYROLL 19523P 85920286"/>
        <s v="BUPA HI P T PHI MELBOURNE VI AUS Card xx2869 Value Date: 19/10/2024"/>
        <s v="ORIGIN ENERGY BARANGAROO AUS Card xx2869 Value Date: 19/10/2024"/>
        <s v="Return SIM CARDS, ESIM - SIM CENTRAL HO HKG Card xx2869 USD 17.90 Value Date: 20/10/2024"/>
        <s v="COLES 7663COLES 7663 PARRAMATTA AU AUS Card xx2869 Value Date: 20/10/2024"/>
        <s v="International Transaction Fee Value Date: 20/10/2024"/>
        <s v="SIM CARDS, ESIM - SIM CENTRAL HO HKG Card xx2869 USD 22.90 Value Date: 19/10/2024"/>
        <s v="JASIME AUBURN AUBURN NSW AU"/>
        <s v="International Transaction Fee Value Date: 10/10/2024"/>
        <s v="OPENAI *CHATGPT SUBSCR SAN FRANCISCO CA USA Card xx2869 USD 22.00 Value Date: 11/10/2024"/>
        <s v="DAN MURPHY'S 1968 PARAMATTA AU AUS Card xx2869 Value Date: 09/10/2024"/>
        <s v="COLES 0887COLES 0887 PARRAMATTA AU AUS Card xx2869 Value Date: 09/10/2024"/>
        <s v="OPTUS BILLING AUTOPAY MACQUARIE PAR NS AUS Card xx2869 Value Date: 09/10/2024"/>
        <s v="COLES 7663COLES 7663 PARRAMATTA AU AUS Card xx2869 Value Date: 08/10/2024"/>
        <s v="Salary SERVAUPAYROLL 19544P 85920286"/>
        <s v="TRANSPORTFORNSW OPAL CHIPPENDALE AUS Card xx2869 Value Date: 08/10/2024"/>
        <s v="DAN MURPHY'S 1968 PARAMATTA AU AUS Card xx2869 Value Date: 04/10/2024"/>
        <s v="COLES 0887COLES 0887 PARRAMATTA AU AUS Card xx2869 Value Date: 04/10/2024"/>
        <s v="International Transaction Fee Value Date: 05/10/2024"/>
        <s v="MIDJOURNEY INC. SOUTH SAN FRA CA USA Card xx2869 USD 11.00 Value Date: 05/10/2024"/>
        <s v="KOUZINA GRECO PARRAMATTA AU"/>
        <s v="Fast Transfer From JONATHAN OLIVER dinner dinner"/>
        <s v="Fast Transfer From THOMAS GILMOUR to PayID Phone Dinner"/>
        <s v="Fast Transfer From Louis Wayment Greek feast"/>
        <s v="COLES 7663COLES 7663 PARRAMATTA AU AUS Card xx2869 Value Date: 30/09/2024"/>
        <s v="Direct Debit 245164 HCFLIFE 057233969SEA47RQYT"/>
        <s v="WOOLWORTHS 1341 WEST RYDE AU AUS Card xx2869 Value Date: 27/09/2024"/>
        <s v="APPLE.COM/BILL SYDNEY NS AUS Card xx2869 Value Date: 28/09/2024"/>
        <s v="INK EVENT PTY LTD DUNDAS NSW AU Card xx2869"/>
        <s v="Fast Transfer From THOMAS GILMOUR to PayID Phone DJ + Uber. Thank you!"/>
        <s v="GM TAXIPAY MASCOT NSWAU"/>
        <s v="Pontoon Bar Sydney AU"/>
        <s v="GM TAXIPAY MASCOT NSWAU Value Date: 29/09/2024"/>
        <s v="Refund Purchase UBER *TRIP HELP.UBER.COM Value Date: 29/09/2024"/>
        <s v="UBER *TRIP HELP.UBER.COM Value Date: 29/09/2024"/>
        <s v="Salary SERVAUPAYROLL 19570P 85920286"/>
        <s v="OPTUS BILLING AUTOPAY MACQUARIE PAR NS AUS Card xx2869 Value Date: 22/09/2024"/>
        <s v="NAZAR BALYOS LAZAR PARRAMATTA NSWAU"/>
        <s v="COLES 7663COLES 7663 PARRAMATTA AU AUS Card xx2869 Value Date: 21/09/2024"/>
        <s v="COLES 0887COLES 0887 PARRAMATTA AU AUS Card xx2869 Value Date: 22/09/2024"/>
        <s v="BUPA HI P T PHI MELBOURNE VI AUS Card xx2869 Value Date: 19/09/2024"/>
        <s v="Mikazuki Riverside PARRAMATTA AU AUS Card xx2869 Value Date: 18/09/2024"/>
        <s v="TRANSPORTFORNSW OPAL CHIPPENDALE AUS Card xx2869 Value Date: 17/09/2024"/>
        <s v="COLES EXPRESS 1573COLE PARRAMATTA AU AUS Card xx2869 Value Date: 14/09/2024"/>
        <s v="Mikazuki Riverside PARRAMATTA AU AUS Card xx2869 Value Date: 14/09/2024"/>
        <s v="TOXTETH HOTEL GLEBE AU AUS Card xx2869 Value Date: 14/09/2024"/>
        <s v="SUPER CHEAP AUTO NORTH PARRAMA NS AUS Card xx2869 Value Date: 14/09/2024"/>
        <s v="Fast Transfer From KIERAN KROHN to PayID Phone Dinner"/>
        <s v="RJJ AND CO PTY LTD PARRAMATTA AU"/>
        <s v="PARRAMATTA WOOLPACK HO PARRAMATTA AU Card xx2869"/>
        <s v="COLES 0887COLES 0887 PARRAMATTA AU AUS Card xx2869 Value Date: 12/09/2024"/>
        <s v="International Transaction Fee Value Date: 10/09/2024"/>
        <s v="OPENAI *CHATGPT SUBSCR SAN FRANCISCO CA USA Card xx2869 USD 22.00 Value Date: 11/09/2024"/>
        <s v="Salary SERVAUPAYROLL 21504P 85920286"/>
        <s v="JOHNS QUALITY MEATS PA PARRAMATTA AU AUS Card xx2869 Value Date: 05/09/2024"/>
        <s v="MOSHTIX PTY LTD SYDNEY NS AUS Card xx2869 Value Date: 06/09/2024"/>
        <s v="OPTUS BILLING AUTOPAY MACQUARIE PAR NS AUS Card xx2869 Value Date: 07/09/2024"/>
        <s v="SQ *MOS: BAR 7 Rozelle AU"/>
        <s v="SQ *MOS: BAR 1 Sydney Olympi AU"/>
        <s v="Sackville Hotel Rozelle AU"/>
        <s v="V/CELLARS 3401 ABBOTSFORD AU"/>
        <s v="AMAZON AU MARKETPLACE SYDNEY AUS Card xx2869 Value Date: 31/08/2024"/>
        <s v="Direct Debit 245164 HCFLIFE 057233969SJC1B39O3"/>
        <s v="ORIGIN ENERGY CommBank app BPAY 130112 782593097036 elec bill"/>
        <s v="Fast Transfer From MASOUMEH GHOLAMSHAHI Electricity bill april to Sept 2024"/>
        <s v="UNITED RYDALMERE RYDALMERE AU"/>
        <s v="COLES 0887COLES 0887 PARRAMATTA AU AUS Card xx2869 Value Date: 29/08/2024"/>
        <s v="NRMA IVR SYDNEY NS AUS Card xx2869 Value Date: 29/08/2024"/>
        <s v="PEAK AUTOMOTIVE GROU NORTH PARRAMA NS AUS Card xx2869 Value Date: 29/08/2024"/>
        <s v="SERVICE NSW SYDNEY AUS Card xx2869 Value Date: 29/08/2024"/>
        <s v="APPLE.COM/BILL SYDNEY NS AUS Card xx2869 Value Date: 28/08/2024"/>
        <s v="COLES 0887COLES 0887 PARRAMATTA AU AUS Card xx2869 Value Date: 27/08/2024"/>
        <s v="CRYSTAL PARRAMATTA"/>
        <s v="Salary SERVAUPAYROLL 19351P 85920286"/>
        <s v="KEG AND BREW HOTEL SURRY HILLS NS AUS Card xx2869 Value Date: 25/08/2024"/>
        <s v="CITYOFSYDNEY PARKING SYDNEY AUS Card xx2869 Value Date: 25/08/2024"/>
        <s v="DAN MURPHY'S 1968 PARAMATTA AU AUS Card xx2869 Value Date: 24/08/2024"/>
        <s v="COLLECTOR HOTEL PARRAMATTA AU AUS Card xx2869 Value Date: 25/08/2024"/>
        <s v="UBER *EATS Sydney AU AUS Card xx2869 Value Date: 24/08/2024"/>
        <s v="CrownHotel Parramatta Parramatta AU Value Date: 25/08/2024"/>
        <s v="Fast Transfer From ELLA ROSE to PayID Phone Booze"/>
        <s v="Fast Transfer From MASOUMEH GHOLAMSHAHI After trip till get paid"/>
        <s v="Mikazuki Riverside PARRAMATTA AU AUS Card xx2869 Value Date: 22/08/2024"/>
        <s v="OPTUS BILLING AUTOPAY MACQUARIE PAR NS AUS Card xx2869 Value Date: 22/08/2024"/>
        <s v="Syd Aprt Intnl Carp50 Sydney NS AUS Card xx2869 Value Date: 22/08/2024"/>
        <s v="Royal Oak Hotel Parra Parramatta AU"/>
        <s v="International Transaction Fee Value Date: 20/08/2024"/>
        <s v="THE PLAYA VISTA LOS ANGELES CA USA Card xx2869 USD 12.00 Value Date: 21/08/2024"/>
        <s v="BP CONNECT 2644 ROSEHILL AU"/>
        <s v="International Transaction Fee Value Date: 19/08/2024"/>
        <s v="JFK EASTWARD CB 635111 JAMAICA NY USA Card xx2869 USD 6.50 Value Date: 19/08/2024"/>
        <s v="DD DOORDASH NENESTAQU 8559731040 CA USA Card xx2869 USD 76.33 Value Date: 19/08/2024"/>
        <s v="BUPA HI P T PHI MELBOURNE VI AUS Card xx2869 Value Date: 20/08/2024"/>
        <s v="International Transaction Fee Value Date: 18/08/2024"/>
        <s v="JFK JETBOX DD B20 6356 JAMAICA NY USA Card xx2869 USD 4.40 Value Date: 19/08/2024"/>
        <s v="WHEELHOUSE BUSHWICK BROOKLYN NY USA Card xx2869 USD 45.00 Value Date: 18/08/2024"/>
        <s v="UBER TRIP 8005928996 CA USA Card xx2869 USD 16.72 Value Date: 19/08/2024"/>
        <s v="UBER TRIP 8005928996 CA USA Card xx2869 USD 21.29 Value Date: 19/08/2024"/>
        <s v="UBER TRIP 8005928996 CA USA Card xx2869 USD 74.78 Value Date: 19/08/2024"/>
        <s v="International Transaction Fee Value Date: 15/08/2024"/>
        <s v="CURB NYC TAXI QUEENS NY USA Card xx2869 USD 26.40 Value Date: 15/08/2024"/>
        <s v="TST*IL CORALLO New York NY USA Card xx2869 USD 52.34 Value Date: 16/08/2024"/>
        <s v="MTA*NYCT PAYGO NEW YORK NY USA Card xx2869 USD 2.90 Value Date: 16/08/2024"/>
        <s v="J. CREW RETAIL #756 NEW YORK NY USA Card xx2869 USD 221.79 Value Date: 16/08/2024"/>
        <s v="International Transaction Fee Value Date: 14/08/2024"/>
        <s v="FAT BLACK PUSSYCAT NEW YORK NY USA Card xx2869 USD 36.31 Value Date: 15/08/2024"/>
        <s v="FAT BLACK PUSSYCAT NEW YORK NY USA Card xx2869 USD 35.31 Value Date: 15/08/2024"/>
        <s v="International Transaction Fee Value Date: 16/08/2024"/>
        <s v="MTA*NYCT PAYGO NEW YORK NY USA Card xx2869 USD 2.10 Value Date: 16/08/2024"/>
        <s v="International Transaction Fee Value Date: 17/08/2024"/>
        <s v="TST* ANALOGUE NEW YORK NY USA Card xx2869 USD 270.59 Value Date: 17/08/2024"/>
        <s v="Bumble help@bumble.com Dublin IR IRL Card xx2869 AUD 59.99 Value Date: 15/08/2024"/>
        <s v="LA VERA PIZZA NEW YORK NY USA Card xx2869 USD 34.41 Value Date: 17/08/2024"/>
        <s v="SQ *FATHER KNOWS BEST Brooklyn NY USA Card xx2869 USD 41.89 Value Date: 18/08/2024"/>
        <s v="UBER TRIP* TRIP SAN FRANCISCO CA USA Card xx2869 USD 9.40 Value Date: 18/08/2024"/>
        <s v="AT *MOMA NEW YORK NY USA Card xx2869 USD 60.00 Value Date: 18/08/2024"/>
        <s v="UBER TRIP 8005928996 CA USA Card xx2869 USD 16.11 Value Date: 18/08/2024"/>
        <s v="TST* RUSS &amp; DAUGHTERS NEW YORK NY USA Card xx2869 USD 37.29 Value Date: 15/08/2024"/>
        <s v="MRJ NEWSTAND NEW YORK NY USA Card xx2869 USD 4.00 Value Date: 15/08/2024"/>
        <s v="MTA*NYCT PAYGO NEW YORK NY USA Card xx2869 USD 2.90 Value Date: 15/08/2024"/>
        <s v="MTA*NYCT PAYGO NEW YORK NY USA Card xx2869 USD 2.90 Value Date: 14/08/2024"/>
        <s v="UBER TRIP 8005928996 CA USA Card xx2869 USD 14.46 Value Date: 15/08/2024"/>
        <s v="International Transaction Fee Value Date: 13/08/2024"/>
        <s v="THE VILLAGE UNDERGROUN NEW YORK NY USA Card xx2869 USD 100.10 Value Date: 14/08/2024"/>
        <s v="PRINCE ST. PIZZA NEW YORK NY USA Card xx2869 USD 19.69 Value Date: 14/08/2024"/>
        <s v="Duane Reade 14410 Brooklyn NY USA Card xx2869 AUD 18.66 Value Date: 14/08/2024"/>
        <s v="BROADWAY MINI MARKET D BROOKLYN NY USA Card xx2869 USD 2.08 Value Date: 14/08/2024"/>
        <s v="Bumble help@bumble.com Dublin IR IRL Card xx2869 AUD 24.99 Value Date: 13/08/2024"/>
        <s v="PDS IRISH PUB NEW YORK NY USA Card xx2869 USD 42.82 Value Date: 15/08/2024"/>
        <s v="MAXIMUM DEALS BROOKLYN NY USA Card xx2869 USD 7.60 Value Date: 14/08/2024"/>
        <s v="SOREIKU VINYARDS BROOKLYN NY USA Card xx2869 USD 76.19 Value Date: 14/08/2024"/>
        <s v="International Transaction Fee Value Date: 12/08/2024"/>
        <s v="NATURE MARKET 1 CORP BROOKLYN NY USA Card xx2869 USD 9.36 Value Date: 13/08/2024"/>
        <s v="NATURE MARKET 1 CORP BROOKLYN NY USA Card xx2869 USD 2.08 Value Date: 13/08/2024"/>
        <s v="SQ *L'INDUSTRIE PIZZER Brooklyn NY USA Card xx2869 USD 28.10 Value Date: 14/08/2024"/>
        <s v="UBER TRIP 8005928996 CA USA Card xx2869 USD 26.14 Value Date: 14/08/2024"/>
        <s v="International ATM Withdrawal Fee"/>
        <s v="Wdl ATM 556 7TH AVENUE NEW YORK NYUS USD21.69"/>
        <s v="MTA*NYCT PAYGO NEW YORK NY USA Card xx2869 USD 4.25 Value Date: 12/08/2024"/>
        <s v="MTA*NYCT PAYGO NEW YORK NY USA Card xx2869 USD 2.90 Value Date: 12/08/2024"/>
        <s v="HUDSONNEWS ST1176 JAMAICA NY USA Card xx2869 AUD 8.64 Value Date: 12/08/2024"/>
        <s v="WORLD FAMOUS DELI BROOKLYN NY USA Card xx2869 USD 9.88 Value Date: 12/08/2024"/>
        <s v="SQ *L'INDUSTRIE PIZZER Brooklyn NY USA Card xx2869 USD 32.12 Value Date: 14/08/2024"/>
        <s v="TST*DO OR DIVE Brooklyn NY USA Card xx2869 USD 34.80 Value Date: 13/08/2024"/>
        <s v="UBER TRIP 8005928996 CA USA Card xx2869 USD 15.07 Value Date: 13/08/2024"/>
        <s v="Salary SERVAUPAYROLL 19481P 85920286"/>
        <s v="International Transaction Fee Value Date: 08/08/2024"/>
        <s v="SQ *JOE'S CORNER Fremont CA USA Card xx2869 USD 69.41 Value Date: 09/08/2024"/>
        <s v="International Transaction Fee Value Date: 09/08/2024"/>
        <s v="EVERETT &amp; JONES BBQ IN OAKLAND CA USA Card xx2869 USD 238.03 Value Date: 10/08/2024"/>
        <s v="International Transaction Fee Value Date: 10/08/2024"/>
        <s v="OPENAI *CHATGPT SUBSCR SAN FRANCISCO CA USA Card xx2869 USD 22.00 Value Date: 11/08/2024"/>
        <s v="International Transaction Fee Value Date: 07/08/2024"/>
        <s v="TRADER JOE S #071 FAIR OAKS CA USA Card xx2869 USD 79.32 Value Date: 08/08/2024"/>
        <s v="International Transaction Fee Value Date: 06/08/2024"/>
        <s v="BEL AIR MART #511 CARMICHAEL CA USA Card xx2869 USD 38.84 Value Date: 07/08/2024"/>
        <s v="SHOGUN SUSHI - CARMICH CARMICHAEL CA USA Card xx2869 USD 53.37 Value Date: 07/08/2024"/>
        <s v="OPTUS BILLING AUTOPAY MACQUARIE PAR NS AUS Card xx2869 Value Date: 07/08/2024"/>
        <s v="UBER EATS 8005928996 CA USA Card xx2869 USD 65.61 Value Date: 06/08/2024"/>
        <s v="International Transaction Fee Value Date: 01/08/2024"/>
        <s v="TM *PATTON OSWALT 800-653-8000 CA USA Card xx2869 USD 124.70 Value Date: 01/08/2024"/>
        <s v="International Transaction Fee Value Date: 03/08/2024"/>
        <s v="UBER TRIP 8005928996 CA USA Card xx2869 USD 20.00 Value Date: 03/08/2024"/>
        <s v="UBER TRIP 8005928996 CA USA Card xx2869 USD 13.92 Value Date: 03/08/2024"/>
        <s v="MARINIS CANDIES ON THE SANTA CRUZ CA USA Card xx2869 USD 19.20 Value Date: 04/08/2024"/>
        <s v="International Transaction Fee Value Date: 02/08/2024"/>
        <s v="KOKKARI SAN FRANCISCO CA USA Card xx2869 USD 160.11 Value Date: 03/08/2024"/>
        <s v="COBBS COMEDY CLUB SAN FRANCISCO CA USA Card xx2869 USD 70.39 Value Date: 03/08/2024"/>
        <s v="THE MYSTERY SPOT SANTA CRUZ CA USA Card xx2869 USD 16.00 Value Date: 04/08/2024"/>
        <s v="SQ *MISSION HILL COFFE Santa Cruz CA USA Card xx2869 USD 7.00 Value Date: 04/08/2024"/>
        <s v="TST* APRIL JEAN SAN FRANCISCO CA USA Card xx2869 USD 12.06 Value Date: 03/08/2024"/>
        <s v="TST* BRENDA'S FRENCH S SAN FRANCISCO CA USA Card xx2869 USD 108.24 Value Date: 03/08/2024"/>
        <s v="UBER TRIP 8005928996 CA USA Card xx2869 USD 10.98 Value Date: 03/08/2024"/>
        <s v="PIZZA MY HEART SANTA CRUZ CA USA Card xx2869 USD 46.32 Value Date: 04/08/2024"/>
        <s v="SAFEWAY #2968 SAN JOSE CA USA Card xx2869 USD 11.39 Value Date: 04/08/2024"/>
        <s v="MVC PULSE SAN FRANCISC SAN FRANCISCO CA USA Card xx2869 USD 422.81 Value Date: 03/08/2024"/>
        <s v="International Transaction Fee Value Date: 31/07/2024"/>
        <s v="BART-CLIPPER UNION CIT UNION CITY CA USA Card xx2869 USD 20.00 Value Date: 01/08/2024"/>
        <s v="BEST COMEDY TICKETS UTRECHT UT NLD Card xx2869 USD 62.61 Value Date: 01/08/2024"/>
        <s v="Direct Debit 245164 HCFLIFE 057233969SYQ00I7IB"/>
        <s v="International Transaction Fee Value Date: 29/07/2024"/>
        <s v="MARINA FOODS UNION CITY CA USA Card xx2869 USD 36.88 Value Date: 30/07/2024"/>
        <s v="Salary SERVAUPAYROLL 20122P 85920286"/>
        <s v="International Transaction Fee Value Date: 27/07/2024"/>
        <s v="DELTA00622556915761 BRUSSELS BE BEL Card xx2869 USD 496.94 Value Date: 28/07/2024"/>
        <s v="APPLE.COM/BILL SYDNEY AU AUS Card xx2869 Value Date: 28/07/2024"/>
        <s v="International Transaction Fee Value Date: 25/07/2024"/>
        <s v="SQ *CANDY BARREL Sacramento CA USA Card xx2869 USD 18.66 Value Date: 26/07/2024"/>
        <s v="SQ *HALALZ FAST FOOD SACRAMENTO CA USA Card xx2869 USD 19.13 Value Date: 26/07/2024"/>
        <s v="International Transaction Fee Value Date: 26/07/2024"/>
        <s v="TST* URBAN ROOTS BREWE SACRAMENTO CA USA Card xx2869 USD 88.94 Value Date: 26/07/2024"/>
        <s v="CSJ SMART METERS SAN JOSE CA USA Card xx2869 USD 2.00 Value Date: 27/07/2024"/>
        <s v="CKE*IKES SAN JOSE DT S SAN JOSE CA USA Card xx2869 USD 25.85 Value Date: 27/07/2024"/>
        <s v="CHEVRON 0352574 HAYWARD CA USA Card xx2869 USD 46.06 Value Date: 27/07/2024"/>
        <s v="CHEVRON 0352574 HAYWARD CA USA Card xx2869 USD 3.69 Value Date: 27/07/2024"/>
        <s v="The Chefs' Olive Mix SACRAMENTO CA USA Card xx2869 USD 43.85 Value Date: 26/07/2024"/>
        <s v="SQ *OLD MISSION SAN JO Fremont CA USA Card xx2869 USD 10.00 Value Date: 27/07/2024"/>
        <s v="International Transaction Fee Value Date: 28/07/2024"/>
        <s v="AIRBNB * HM2KC8RW8T 415-800-5959 GB GBR Card xx2869 USD 1260.43 Value Date: 28/07/2024"/>
        <s v="THRIFTY #0072216 OAKLAND CA USA Card xx2869 USD 375.07 Value Date: 27/07/2024"/>
        <s v="Transfer from xx8675 CommBank app"/>
        <s v="International Transaction Fee Value Date: 23/07/2024"/>
        <s v="MARINA FOODS UNION CITY CA USA Card xx2869 USD 32.37 Value Date: 24/07/2024"/>
        <s v="CHEVRON 0091166 UNION CITY CA USA Card xx2869 USD 2.24 Value Date: 24/07/2024"/>
        <s v="OPTUS BILLING SERVICES MACQUARIE PAR NS AUS Card xx2869 Value Date: 24/07/2024"/>
        <s v="SAFEWAY #1197 UNION CITY CA USA Card xx2869 USD 86.97 Value Date: 24/07/2024"/>
        <s v="AMAZON MKTPL*RJ63T81E1 Amzn.com/bill WA USA Card xx2869 AUD 75.45 Value Date: 23/07/2024"/>
        <s v="OPTUS BILLING AUTOPAY MACQUARIE PAR NS AUS Card xx2869 Value Date: 23/07/2024"/>
        <s v="AMZN Mktp US*RJ8SZ2TK1 Amzn.com/bill WA USA Card xx2869 AUD 67.37 Value Date: 20/07/2024"/>
        <s v="OPTUS BILLING SERVICES MACQUARIE PAR NS AUS Card xx2869 Value Date: 19/07/2024"/>
        <s v="BUPA HI P T PHI MELBOURNE VI AUS Card xx2869 Value Date: 19/07/2024"/>
        <s v="International Transaction Fee Value Date: 19/07/2024"/>
        <s v="CHEVRON 0308033 DIXON CA USA Card xx2869 USD 2.99 Value Date: 20/07/2024"/>
        <s v="Bumble help@bumble.com Dublin IR IRL Card xx2869 AUD 59.99 Value Date: 16/07/2024"/>
        <s v="PIER C PHARMACY MASCOT NS AUS Card xx2869 Value Date: 16/07/2024"/>
        <s v="Google Feeld Meet Cou Barangaroo AU AUS Card xx2869 Value Date: 17/07/2024"/>
        <s v="STEAMGAMES.COM 4259522 BELLEVUE WA USA Card xx2869 AUD 29.50 Value Date: 15/07/2024"/>
        <s v="BUPA TRAVEL INSURANCE NORTH SYDNEY AUS Card xx2869 Value Date: 16/07/2024"/>
        <s v="Salary SERVAUPAYROLL 19510P 85920286"/>
        <s v="DAN MURPHY'S 1968 PARAMATTA AU AUS Card xx2869 Value Date: 15/07/2024"/>
        <s v="WOOLWORTHS 1070 NORTH PARRA AU AUS Card xx2869 Value Date: 15/07/2024"/>
        <s v="COLES 0887COLES 0887 PARRAMATTA AU AUS Card xx2869 Value Date: 15/07/2024"/>
        <s v="Return CATCH DOCKLANDS VI AUS Card xx2869 Value Date: 15/07/2024"/>
        <s v="MCDONALDS INT AIR II MASCOT NSWAU"/>
        <s v="TAM PH PTY LTD PARRAMATTA NSW AU Card xx2869"/>
        <s v="TARGET 5144TARGET 5144 PARRAMATTA AU AUS Card xx2869 Value Date: 13/07/2024"/>
        <s v="Parramatta City Counci Parramatta NS AUS Card xx2869 Value Date: 13/07/2024"/>
        <s v="TRANSPORTFORNSW OPAL CHIPPENDALE AUS Card xx2869 Value Date: 14/07/2024"/>
        <s v="Uniqlo Australia Pty Ltd Parramatta AU"/>
        <s v="PLINE PH PARRAMATTA PARRAMATTA NSWAU"/>
        <s v="SQ *BERLINER BAKERY Sydney AU"/>
        <s v="SQ *L'AMUSE BOUCHE Sydney AU"/>
        <s v="SQ *GUILTLESS The Rocks AU"/>
        <s v="SQ *G I GOURMET NUTS The Rocks AU"/>
        <s v="SQ *THE ONLINE DRINKS Sydney AU"/>
        <s v="HARRIS FARM MARKETS DRUMMOYNE AU"/>
        <s v="N LEONARDO PTY LTD PARRAMATTA AU"/>
        <s v="International Transaction Fee Value Date: 10/07/2024"/>
        <s v="OPENAI *CHATGPT SUBSCR SAN FRANCISCO CA USA Card xx2869 USD 22.00 Value Date: 11/07/2024"/>
        <s v="OPTUS BILLING AUTOPAY MACQUARIE PAR NS AUS Card xx2869 Value Date: 08/07/2024"/>
        <s v="CATCH DOCKLANDS VI AUS Card xx2869 Value Date: 09/07/2024"/>
        <s v="VICS MEAT MARKET PYRMONT NS AUS Card xx2869 Value Date: 07/07/2024"/>
        <s v="SYDNEY FISH MARKET PL PYRMONT AU Card xx2869"/>
        <s v="Salary SERVAUPAYROLL 20320P 85920286"/>
        <s v="JOHNS QUALITY MEATS PA PARRAMATTA AU AUS Card xx2869 Value Date: 27/06/2024"/>
        <s v="APPLE.COM/BILL SYDNEY NS AUS Card xx2869 Value Date: 28/06/2024"/>
        <s v="DidiChuxing DidiAU pen Sydney AU AUS Card xx2869 Value Date: 30/06/2024"/>
        <s v="Direct Debit 245164 HCFLIFE 057233969S06SKR9MU"/>
        <s v="SMP*Hydrolink Plumbin South Wentwor02 AU"/>
        <s v="Abercrombie Hotel Chippendale AU"/>
        <s v="Britannia Group Pty Lt Darlington AU"/>
        <s v="COLES 0887COLES 0887 PARRAMATTA AU AUS Card xx2869 Value Date: 26/06/2024"/>
        <s v="COLES 0887COLES 0887 PARRAMATTA AU AUS Card xx2869 Value Date: 24/06/2024"/>
        <s v="TRANSPORTFORNSW OPAL CHIPPENDALE AUS Card xx2869 Value Date: 25/06/2024"/>
        <s v="Transfer To 31social club mailbox CommBank App chocolate"/>
        <s v="OPTUS BILLING AUTOPAY MACQUARIE PAR NS AUS Card xx2869 Value Date: 22/06/2024"/>
        <s v="BUPA HI P T PHI MELBOURNE VI AUS Card xx2869 Value Date: 19/06/2024"/>
        <s v="SMP*Patisserie La Gal North Parrama02 AU"/>
        <s v="Salary SERVAUPAYROLL 20062P 85920286"/>
        <s v="KARAOKE WORLD Sydney AU AUS Card xx2869 Value Date: 15/06/2024"/>
        <s v="UBER *TRIP Sydney AU AUS Card xx2869 Value Date: 16/06/2024"/>
        <s v="Transfer To FIZZAH SALAHUDDIN PayID Phone from CommBank App koreanbbq"/>
        <s v="Transfer To FIZZAH SALAHUDDIN PayID Phone from CommBank App karaoke"/>
        <s v="COLES 0887 PARRAMATTA AU AUS Card xx2869 Value Date: 12/06/2024"/>
        <s v="International Transaction Fee Value Date: 10/06/2024"/>
        <s v="OPENAI *CHATGPT SUBSCR SAN FRANCISCO CA USA Card xx2869 USD 22.00 Value Date: 11/06/2024"/>
        <s v="Camy's Chargrill SH Surry Hills AU"/>
        <s v="OPTUS BILLING AUTOPAY MACQUARIE PAR NS AUS Card xx2869 Value Date: 07/06/2024"/>
        <s v="BUNNINGS GROUP LTD HAWTHORN EAST AUS Card xx2869 Value Date: 07/06/2024"/>
        <s v="Transfer To K BENNETT PayID Phone from CommBank App amirs food"/>
        <s v="COLES 0887 PARRAMATTA AU AUS Card xx2869 Value Date: 04/06/2024"/>
        <s v="TRANSPORTFORNSW OPAL CHIPPENDALE AUS Card xx2869 Value Date: 05/06/2024"/>
        <s v="Salary SERVAUPAYROLL 20030P 85920286"/>
        <s v="Fast Transfer From RAMTEAN ROOZBEHANI standzZZz"/>
        <s v="APEX WEST RYDE WEST RYDE NS AUS Card xx2869 Value Date: 02/06/2024"/>
        <s v="DD *DOORDASH BURGERSAN MELBOURNE VI AUS Card xx2869 Value Date: 02/06/2024"/>
        <s v="Direct Debit 245164 HCFLIFE 057233969SPAU77XA9"/>
        <s v="BUNNINGS 582000 GLADESVILLE AU"/>
        <s v="JOHNS QUALITY MEATS PA PARRAMATTA AU"/>
        <s v="WW METRO 1669 SURRY HILLS AU AUS Card xx2869 Value Date: 28/05/2024"/>
        <s v="Little Greece Parra Parramatta AU"/>
        <s v="Dick's Hotel Balmain Balmain AU"/>
        <s v="JOHNS QUALITY MEATS PA PARRAMATTA AU AUS Card xx2869 Value Date: 21/05/2024"/>
        <s v="OPTUS BILLING AUTOPAY MACQUARIE PAR NS AUS Card xx2869 Value Date: 22/05/2024"/>
        <s v="Direct Debit 002619 THE C&amp;PSU CPSU Membership"/>
        <s v="COLES 0887 PARRAMATTA AU AUS Card xx2869 Value Date: 21/05/2024"/>
        <s v="TRANSPORTFORNSW OPAL CHIPPENDALE AUS Card xx2869 Value Date: 22/05/2024"/>
        <s v="Salary SERVAUPAYROLL 19501P 85920286"/>
        <s v="COLES 0887 PARRAMATTA AU AUS Card xx2869 Value Date: 17/05/2024"/>
        <s v="BUNNINGS GROUP LTD HAWTHORN EAST AUS Card xx2869 Value Date: 18/05/2024"/>
        <s v="IKEA RHODES RHODES AU"/>
        <s v="PAYPAL *MAKE NOISE 4029357733 AU AUS Card xx2869 Value Date: 15/05/2024"/>
        <s v="Transfer To rodney mazik CommBank App dannys gift"/>
        <s v="ERGOX AUSTRALIA SEAFORD VI AUS Card xx2869 Value Date: 15/05/2024"/>
        <s v="Return BUNNINGS 388000 RYDALMERE AU Card xx2869"/>
        <s v="BUNNINGS 388000 RYDALMERE AU"/>
        <s v="DAN MURPHY'S 1968 PARAMATTA AU AUS Card xx2869 Value Date: 10/05/2024"/>
        <s v="OPTUS BILLING PAY MY B MACQUARIE PAR NS AUS Card xx2869 Value Date: 10/05/2024"/>
        <s v="IKEA PTY LTD TEmpe NS AUS Card xx2869 Value Date: 10/05/2024"/>
        <s v="APPLE R253 CHATSWOOD C CHATSWOOD NS AUS Card xx2869 Value Date: 11/05/2024"/>
        <s v="International Transaction Fee Value Date: 10/05/2024"/>
        <s v="CHATGPT SUBSCRIPTION SAN FRANCISCO CA USA Card xx2869 USD 22.00 Value Date: 11/05/2024"/>
        <s v="SOUNDS EASY ARTARMON NS AUS (Platform Desk) Card xx2869 Value Date: 12/05/2024"/>
        <s v="LINKT SYDNEY SYDNEY AUS Card xx2869 Value Date: 12/05/2024"/>
        <s v="THE JERKY CO NSW 1 PTY CHATSWOOD AU Card xx2869"/>
        <s v="MCDONALDS DT 0514 DRUMMOYNE NSWAU"/>
        <s v="Transfer To kieran krohn new CommBank App food"/>
        <s v="WW METRO 1669 SURRY HILLS AU AUS Card xx2869 Value Date: 07/05/2024"/>
        <s v="MANNYS Alexandria NS AUS Card xx2869 Value Date: 07/05/2024"/>
        <s v="TRANSPORTFORNSW OPAL CHIPPENDALE AUS Card xx2869 Value Date: 07/05/2024"/>
        <s v="Salary SERVAUPAYROLL 19395P 85920286"/>
        <s v="Direct Credit 245128 HCFHEALTH R57233969000622293"/>
        <s v="CHEMIST WAREHOUSE PARRAMATTA NS AUS Card xx2869 Value Date: 05/05/2024"/>
        <s v="GREEN FARM MEAT SYDNEY HARRIS PAR NSW AU Card xx2869"/>
        <s v="APEX WEST RYDE WEST RYDE AU"/>
        <s v="Direct Debit 245164 HCFHEALTHANDLIFE 057233969SE3CW8RE0"/>
        <s v="SQ *COFFEE ON MILLER North Sydney AU"/>
        <s v="POST NORTH SYDNEY-RET NS AU Card xx2869"/>
        <s v="EZI*CASH CONVERTERS. PERTH AU AUS Card xx2869 Value Date: 29/04/2024"/>
        <s v="AMAZON AU MARKETPLACE SYDNEY AUS Card xx2869 Value Date: 29/04/2024"/>
        <s v="COLES 0887 PARRAMATTA AU AUS Card xx2869 Value Date: 27/04/2024"/>
        <s v="eBay O*15-11491-24366 San Jose CA USA Card xx2869 AUD 48.93 Value Date: 27/04/2024"/>
        <s v="International Transaction Fee Value Date: 26/04/2024"/>
        <s v="EDITOR VST HANNOVER BE DEU Card xx2869 EUR 6.90 Value Date: 27/04/2024"/>
        <s v="CONTAINER NORTH PARR NTH PARRAMATTNSWAU"/>
        <s v="CITY OF PARRAMATTA PARRAMATTA NS AUS Card xx2869 Value Date: 24/04/2024"/>
        <s v="Return CITY OF PARRAMATTA PARRAMATTA NS AUS Card xx2869 Value Date: 24/04/2024"/>
        <s v="Wdl ATM ETX ALBION HOTEL PARRA PARRAMATTA AU"/>
        <s v="Albion Hotel Parramatta AU"/>
        <s v="CITY OF PARRAMATTA PARRAMATTA NS AUS Card xx2869 Value Date: 23/04/2024"/>
        <s v="TRANSPORTFORNSW OPAL CHIPPENDALE AUS Card xx2869 Value Date: 23/04/2024"/>
        <s v="ETERNAL HEALTH GROUP RYDE NS AUS Card xx2869 Value Date: 21/04/2024"/>
        <s v="LINKT SYDNEY SYDNEY AUS Card xx2869 Value Date: 22/04/2024"/>
        <s v="Salary SERVAUPAYROLL 19253P 85920286"/>
        <s v="Return CITY OF PARRAMATTA PARRAMATTA NS AUS Card xx2869 Value Date: 22/04/2024"/>
        <s v="CITY OF PARRAMATTA PARRAMATTA NS AUS Card xx2869 Value Date: 19/04/2024"/>
        <s v="Parramatta City Counci Parramatta NS AUS Card xx2869 Value Date: 19/04/2024"/>
        <s v="BEFORE YOU* BYB: 4/9 H"/>
        <s v="AMAZON AU MARKETPLACE SYDNEY AUS Card xx2869 Value Date: 18/04/2024"/>
        <s v="Telstra Direct Debit AUSTRALIA SA AUS Card xx2869 Value Date: 17/04/2024"/>
        <s v="GREAT NORTHERN OPERA CHATSWOOD NS AUS Card xx2869 Value Date: 14/04/2024"/>
        <s v="APEX WEST RYDE WEST RYDE NS AUS Card xx2869 Value Date: 13/04/2024"/>
        <s v="CHILLNGRILLINDIANCUISI BRISBANE QL AUS Card xx2869 Value Date: 13/04/2024"/>
        <s v="REBEL TOP RYDE TOP RYDE NS AUS Card xx2869 Value Date: 11/04/2024"/>
        <s v="LIQUORLAND 3414 ERMINGTON AU"/>
        <s v="BUNNINGS 594000 ARTARMON AU Card xx2869"/>
        <s v="Transfer To we move you australia CommBank App 4/9 henry st"/>
        <s v="7-ELEVEN 2048 DRUMMOYNE AU"/>
        <s v="International Transaction Fee Value Date: 10/04/2024"/>
        <s v="CHATGPT SUBSCRIPTION SAN FRANCISCO CA USA Card xx2869 USD 22.00 Value Date: 11/04/2024"/>
        <s v="BUPA HI P T PHI MELBOURNE VI AUS Card xx2869 Value Date: 11/04/2024"/>
        <s v="AMPOL RYDALMERE 28781F RYDALMERE AU Card xx2869"/>
        <s v="WE MOVE YOU"/>
        <s v="AMPOL RYDALMERE 28781F RYDALMERE AU"/>
        <s v="CHISWICK CELLARS CHISWICK AU Card xx2869"/>
        <s v="TRANSPORTFORNSW OPAL CHIPPENDALE AUS Card xx2869 Value Date: 10/04/2024"/>
        <s v="AMAZON AU MARKETPLACE SYDNEY AUS Card xx2869 Value Date: 09/04/2024"/>
        <s v="Transfer to CBA A/c NetBank R"/>
        <s v="Salary SERVAUPAYROLL 19494P 85920286"/>
        <s v="DD *DOORDASH MADMEX MELBOURNE VI AUS Card xx2869 Value Date: 06/04/2024"/>
        <s v="Microsoft*Microsoft 36 msbill.info AU AUS Card xx2869 Value Date: 06/04/2024"/>
        <s v="IGA DRUMMOYNE DRUMMOYNE AU Card xx2869"/>
        <s v="COLES 0849 DRUMMOYNE AU"/>
        <s v="IGA DRUMMOYNE DRUMMOYNE AU"/>
        <s v="Fast Transfer From H Roozbehani Home loan to my son H Roozbehani"/>
        <s v="DD *DOORDASH CHARGRILL MELBOURNE VI AUS Card xx2869 Value Date: 04/04/2024"/>
        <s v="ULTRA TUNE DRUMMOYNE AU Card xx2869"/>
        <s v="Wdl Branch DRUMMOYNE"/>
        <s v="Transfer to xx8675 CommBank app"/>
        <s v="Fast Transfer From H Roozbehani Home loan help my son Home loan"/>
        <s v="UBER *EATS Sydney AU AUS Card xx2869 Value Date: 28/03/2024"/>
        <s v="OXFORD HOTEL Drummoyne AU AUS Card xx2869 Value Date: 30/03/2024"/>
        <s v="DD *DOORDASH CHARGRILL MELBOURNE VI AUS Card xx2869 Value Date: 31/03/2024"/>
        <s v="UBER *EATS Sydney AU AUS Card xx2869 Value Date: 01/04/2024"/>
        <s v="Belong Melbourne AU AUS Card xx2869 Value Date: 01/04/2024"/>
        <s v="Direct Debit 245164 HCFHEALTHANDLIFE 057233969SNMGT6126"/>
        <s v="Subway Druitt St 60 Druitt St AU"/>
        <s v="Fast Transfer From H Roozbehani Home Loan help Home Loan"/>
        <s v="Transfer to other Bank NetBank Test Payment Value Date: 31/03/2024"/>
        <s v="Fast Transfer From H Roozbehani H Roozbehani Home loan"/>
        <s v="Fast Transfer From H Roozbehani Rodean unit Loan Home loan"/>
        <s v="Salary SERVAUPAYROLL 19301P 85920286"/>
        <s v="Wdl ATM ETX ANCIENT BRITON HTL GLEBE AU"/>
        <s v="DD *DOORDASH JAHANPERS MELBOURNE VI AUS Card xx2869 Value Date: 22/03/2024"/>
        <s v="DD *DOORDASH MONKEYKIN MELBOURNE VI AUS Card xx2869 Value Date: 22/03/2024"/>
        <s v="DD *DOORDASH CHARGRILL MELBOURNE VI AUS Card xx2869 Value Date: 23/03/2024"/>
        <s v="Homayoun Gift Fast Transfer From H Roozbehani New Property Home Loan"/>
        <s v="Bowan Island Drummoyn Drummoyne AU"/>
        <s v="Homayoun Gift Fast Transfer From H Roozbehani CREDIT TO ACCOUNT Home loan"/>
        <s v="DESTROS PHARMACY DRUMMOYNE NS AUS Card xx2869 Value Date: 20/03/2024"/>
        <s v="Telstra Direct Debit AUSTRALIA SA AUS Card xx2869 Value Date: 20/03/2024"/>
        <s v="Transfer to CBA A/c NetBank Internet"/>
        <s v="BURWOOD COUNCIL BURWOOD AU AUS Card xx2869 Value Date: 19/03/2024"/>
        <s v="DESTROS PHARMACY DRUMMOYNE NS AUS Card xx2869 Value Date: 19/03/2024"/>
        <s v="BUPA HI PTYLTD MELBOURNE AUS Card xx2869 Value Date: 19/03/2024"/>
        <s v="Transfer To Kieran Krohn CommBank App jeff mills + dinner"/>
        <s v="AMPOL FIVE DOCK 22529F FIVE DOCK AU Card xx2869"/>
        <s v="GM TAXIPAY MASCOT NS AUS Card xx2869 Value Date: 16/03/2024"/>
        <s v="DD *DOORDASH CREPESBYH MELBOURNE VI AUS Card xx2869 Value Date: 15/03/2024"/>
        <s v="DD *DOORDASH JAHANPERS MELBOURNE VI AUS Card xx2869 Value Date: 17/03/2024"/>
        <s v="OXFORD HOTEL DRUMMOYNE AU"/>
        <s v="Messina Martin Place Sydney AU"/>
        <s v="City Recital Hall Limi Sydney AU"/>
        <s v="John dahdah Transfer To J DAHDAH PayID Phone from CommBank App furniture"/>
        <s v="Refund Purchase Adobe"/>
        <s v="Adobe (upgrade + cancellation hack: Photoshop)"/>
        <s v="Adobe (upgrade + cancellation hack: Premier pro)"/>
        <s v="LIVESIGN* YOUR REFEREN"/>
        <s v="HARRIS FARM MARKETS DRUMMOYNE AU Card xx2869"/>
        <s v="Fast Transfer From Ms Katrina T Duncan CREDIT TO ACCOUNT kat dinner"/>
        <s v="John dahdah Wdl ATM CBA ATM DRUMMOYNE A NSW 215701 AUS - John Dadah"/>
        <s v="Transfer to xx6542 CommBank app"/>
        <s v="Transfer To Universal Real Estate Sales NetBank Rodean 5/4 Henry Street Parra..."/>
        <s v="Transfer from xx8675 NetBank deposit"/>
        <s v="GYG Five Dock Five Dock AU"/>
        <s v="Transfer to xx6542 NetBank deposit"/>
        <s v="Salary SERVAUPAYROLL 19212P 85920286"/>
        <s v="Nike Drummoyne Drummoyne AU AUS Card xx2869 Value Date: 11/03/2024"/>
        <s v="THE GOVERNOR HOTEL MACQUARIE PAR AU AUS Card xx2869 Value Date: 10/03/2024"/>
        <s v="International Transaction Fee Value Date: 10/03/2024"/>
        <s v="CHATGPT SUBSCRIPTION SAN FRANCISCO CA USA Card xx2869 USD 22.00 Value Date: 11/03/2024"/>
        <s v="7-ELEVEN 2048 DRUMMOYNE NS AUS Card xx2869 Value Date: 10/03/2024"/>
        <s v="UBER *EATS Sydney AU AUS Card xx2869 Value Date: 11/03/2024"/>
        <s v="TRANSPORTFORNSW OPAL CHIPPENDALE AUS Card xx2869 Value Date: 12/03/2024"/>
        <s v="UBER *EATS Sydney AU AUS Card xx2869 Value Date: 09/03/2024"/>
        <s v="Coogee Ground Coogee AU"/>
        <s v="Transfer To RAMTEAN ROOZBEHANI CommBank App food"/>
        <s v="Fast Transfer From RAMTEAN ROOZBEHANI loans"/>
        <s v="INNER WEST COUNCIL PETERSHAM AUS Card xx2869 Value Date: 06/03/2024"/>
        <s v="GM TAXIPAY MASCOT NS AUS Card xx2869 Value Date: 02/03/2024"/>
        <s v="Helm Bar &amp; Bistro Sydney NS AUS Card xx2869 Value Date: 01/03/2024"/>
        <s v="GM CABS PTY LTD MASCOT AUS Card xx2869 Value Date: 01/03/2024"/>
        <s v="7-ELEVEN 2048 DRUMMOYNE NS AUS Card xx2869 Value Date: 02/03/2024"/>
        <s v="UBER *EATS Sydney AU AUS Card xx2869 Value Date: 02/03/2024"/>
        <s v="Homayoun Gift Fast Transfer From H Roozbehani Home Loan Help Help to buy home from Dad"/>
        <s v="Hotel CBD Sydney AU"/>
        <s v="Direct Debit 245164 HCFHEALTHANDLIFE 057233969SYOOFSA2Z"/>
        <s v="IMAX Sydney SYDNEY NSW AU Card xx2869"/>
        <s v="HELM BAR"/>
        <s v="Credit Interest"/>
        <s v="Salary SERVAUPAYROLL 20051P 85920286"/>
        <s v="Transfer To Universal Real Estate Sales NetBank 4-9 Henry Street"/>
        <s v="Fast Transfer From RAMTEAN ROOZBEHANI repayoooyoyoyoyooyo"/>
        <s v="LITTLE JACK HORNER AUSTRALIA VI AUS Card xx2869 Value Date: 25/02/2024"/>
        <s v="DD *DOORDASH JAHANPERS MELBOURNE VI AUS Card xx2869 Value Date: 25/02/2024"/>
        <s v="MCDONALDS ROSEHILL ROSEHILL NSWAU"/>
        <s v="Adobe"/>
        <s v="BEFORE YOU* BID 4/9 HE"/>
        <s v="BEFORE YOU* BID 3015/1"/>
        <s v="SUSHI OTAKU SURRY HILLS AU AUS Card xx2869 Value Date: 20/02/2024"/>
        <s v="WW METRO 1669 SURRY HILLS AU AUS Card xx2869 Value Date: 20/02/2024"/>
        <s v="Subway Haymarket 449 Pitt StreAU"/>
        <s v="COLES 0849 DRUMMOYNE AU AUS Card xx2869 Value Date: 19/02/2024"/>
        <s v="TRANSPORTFORNSW OPAL CHIPPENDALE AUS Card xx2869 Value Date: 20/02/2024"/>
        <s v="Fast Transfer From RAMTEAN ROOZBEHANI monays"/>
        <s v="BEFORE YOU* BID 8/60 A"/>
        <s v="BEFORE YOU* BID 6107/1"/>
        <s v="BEFORE YOU* BID 709/1"/>
        <s v="Telstra Direct Debit AUSTRALIA SA AUS Card xx2869 Value Date: 14/02/2024"/>
        <s v="Salary SERVAUPAYROLL 19444P 85920286"/>
        <s v="DD *DOORDASH JASMIN1 MELBOURNE VI AUS Card xx2869 Value Date: 11/02/2024"/>
        <s v="GM TAXIPAY MASCOT NS AUS Card xx2869 Value Date: 10/02/2024"/>
        <s v="Transfer To RAMTEAN ROOZBEHANI CommBank App 4 u"/>
        <s v="BWS LIQUOR 1601 DRUMMOYNE AU AUS Card xx2869 Value Date: 09/02/2024"/>
        <s v="International Transaction Fee Value Date: 10/02/2024"/>
        <s v="CHATGPT SUBSCRIPTION SAN FRANCISCO CA USA Card xx2869 USD 22.00 Value Date: 11/02/2024"/>
        <s v="DD *DOORDASH JAHANPERS MELBOURNE VI AUS Card xx2869 Value Date: 11/02/2024"/>
        <s v="LINKT SYDNEY SYDNEY AUS Card xx2869 Value Date: 11/02/2024"/>
        <s v="TRANSPORTFORNSW OPAL CHIPPENDALE AUS Card xx2869 Value Date: 12/02/2024"/>
        <s v="COLES EXPRESS 1544 DRUMMOYNE AU"/>
        <s v="NEWTOWN HOTEL NEWTOWN AU Card xx2869"/>
        <s v="BEFORE YOU* BID 403/18"/>
        <s v="COFFEE EMPIRE CO PTY LTD PETERSHA NSW AU"/>
        <s v="Transfer To Peter Johnson CommBank App food"/>
        <s v="Return QANTAS NEW SOUTH WAL NS AUS Card xx2869 Value Date: 06/02/2024"/>
        <s v="QANTAS NEW SOUTH WAL NS AUS Card xx2869 Value Date: 05/02/2024"/>
        <s v="NRMA LTD SYDNEY OLYMPI NS AUS Card xx2869 Value Date: 05/02/2024"/>
        <s v="DYMOCKS ONLINE SYDNEY AUS Card xx2869 Value Date: 05/02/2024"/>
        <s v="QANTAS AIRWAYS LIMITED MASCOT AUS Card xx2869 Value Date: 05/02/2024"/>
        <s v="BEFORE YOU* BID 12/17 SYDNEY NS AUS Card xx2869 Value Date: 02/02/2024"/>
        <s v="BWS 1693 CROWS NEST AU AUS Card xx2869 Value Date: 03/02/2024"/>
        <s v="WW METRO 1669 SURRY HILLS AU AUS Card xx2869 Value Date: 31/01/2024"/>
        <s v="Wdl Branch DRUMMOYNE AUSJ1T9R9W8"/>
        <s v="Salary SERVAUPAYROLL 20130P 85920286"/>
        <s v="Direct Debit 245164 HCFHEALTHANDLIFE 057233969SLPMFMWTZ"/>
        <s v="Debit Excess Interest"/>
        <s v="Transfer to CBA A/c NetBank Rent"/>
        <s v="Transfer To RAMTEAN ROOZBEHANI CommBank App for grunt"/>
        <s v="TRANSPORTFORNSW OPAL CHIPPENDALE AUS Card xx2869 Value Date: 30/01/2024"/>
        <s v="Subway Druitt St 36214 2/60 Druitt SAU"/>
        <s v="GM CABS PTY LTD MASCOT AUS Card xx2869 Value Date: 27/01/2024"/>
        <s v="UBER* TRIP SYDNEY NS AUS Card xx2869 Value Date: 28/01/2024"/>
        <s v="OXFORD HOTEL Drummoyne AU AUS Card xx2869 Value Date: 25/01/2024"/>
        <s v="DD *DOORDASH FRIEDCHIC MELBOURNE VI AUS Card xx2869 Value Date: 26/01/2024"/>
        <s v="Direct Debit 507156 AustCancerResear AustCance_PS1DrNXB"/>
        <s v="UBER *EATS Sydney AU AUS Card xx2869 Value Date: 24/01/2024"/>
        <s v="Adobe Systems Pty Ltd Sydney AU AUS Card xx2869 Value Date: 23/01/2024"/>
        <s v="UBER* EATS SYDNEY NS AUS Card xx2869 Value Date: 19/01/2024"/>
        <s v="UBER *EATS Sydney AU AUS Card xx2869 Value Date: 21/01/2024"/>
        <s v="Stop ez Drummoyne AU"/>
        <s v="KOJIAOKI HOLDINGS PTY LTD SYDNEY NSW AU Card xx2869"/>
        <s v="AMAZON AU MARKETPLACE SYDNEY AUS Card xx2869 Value Date: 21/01/2024"/>
        <s v="BEFORE YOU* BID 6/39 H"/>
        <s v="Telstra Direct Debit AUSTRALIA SA AUS Card xx2869 Value Date: 17/01/2024"/>
        <s v="BEFORE YOU* BID 11/220"/>
        <s v="Salary SERVAUPAYROLL 20182P 85920286"/>
        <s v="Etsy.com*CarrsCreation Sydney AU AUS Card xx2869 Value Date: 16/01/2024"/>
        <s v="TRANSPORTFORNSW OPAL CHIPPENDALE AUS Card xx2869 Value Date: 16/01/2024"/>
        <s v="COLES 0849 DRUMMOYNE AU AUS Card xx2869 Value Date: 15/01/2024"/>
        <s v="OXFORD HOTEL Drummoyne AU AUS Card xx2869 Value Date: 12/01/2024"/>
        <s v="DD *DOORDASH FRIEDCHIC MELBOURNE VI AUS Card xx2869 Value Date: 14/01/2024"/>
        <s v="JACKS HAIRDRESSING SYDNEY NSW AU"/>
        <s v="STAGE.PELUSOMICROPHONE WILLIS VA USA Card xx2869 USD 229.25 Value Date: 11/01/2024"/>
        <s v="International Transaction Fee Value Date: 10/01/2024"/>
        <s v="CHATGPT SUBSCRIPTION SAN FRANCISCO CA USA Card xx2869 USD 22.00 Value Date: 11/01/2024"/>
        <s v="UNIVERSAL AUDIO SCOTTS VALLEY CA USA Card xx2869 USD 24.00 Value Date: 08/01/2024"/>
        <s v="UBER *EATS Sydney AU AUS Card xx2869 Value Date: 09/01/2024"/>
        <s v="International Transaction Fee Value Date: 08/01/2024"/>
        <s v="DEPOSIT CASH $415.00 CHEQUE $0.00 Branch DRUMMOYNE"/>
        <s v="Unpaid NetBank Payment Fee"/>
        <s v="Panda Birkenhead Pt Drummoyne NS AUS Card xx2869 Value Date: 06/01/2024"/>
        <s v="EAST SUSHI PTY LTD LEICHHARDT NS AUS Card xx2869 Value Date: 04/01/2024"/>
        <s v="DD *DOORDASH SAKURAONW MELBOURNE VI AUS Card xx2869 Value Date: 06/01/2024"/>
        <s v="DD *DOORDASH JASMIN1 MELBOURNE VI AUS Card xx2869 Value Date: 05/01/2024"/>
        <s v="BP CNNCT S/HLS0965 REDFERN NS AUS Card xx2869 Value Date: 04/01/2024"/>
        <s v="Transfer To Jonathan K Oliver CommBank App rent"/>
        <s v="UNIVERSAL AUDIO SCOTTS VALLEY CA USA Card xx2869 USD 24.00 Value Date: 04/01/2024"/>
        <s v="PALACE CINEMAS LEICHHARDT NS AUS Card xx2869 Value Date: 04/01/2024"/>
        <s v="International Transaction Fee Value Date: 03/01/2024"/>
        <s v="7-ELEVEN 2048 DRUMMOYNE NS AUS Card xx2869 Value Date: 03/01/2024"/>
        <s v="Salary SERVAUPAYROLL 18404P 85920286"/>
        <s v="DD *DOORDASH MCDONALDS MELBOURNE VI AUS Card xx2869 Value Date: 01/01/2024"/>
        <s v="Transfer from xx6542 CommBank app"/>
        <s v="Transfer To W JAIMES OCAMPO PayID Phone from CommBank App webcam"/>
        <s v="UNIVERSAL AUDIO SCOTTS VALLEY CA USA Card xx2869 USD 123.00 Value Date: 31/12/2023"/>
        <s v="Overdraw Fee For exceeding available funds on 02 Jan"/>
        <s v="International Transaction Fee Value Date: 30/12/2023"/>
        <s v="DD *DOORDASH JASMIN1 MELBOURNE VI AUS Card xx2869 Value Date: 30/12/2023"/>
        <s v="COLES 0849 DRUMMOYNE AU AUS Card xx2869 Value Date: 29/12/2023"/>
        <s v="BUNNINGS 582000 GLADESVILLE AU Card xx2869"/>
        <s v="BIG W 0117 RYDE NSW AU"/>
        <s v="Entertainment and Rec - Transfer To Amir Ehsani CommBank App nye platters, salad, dri..."/>
        <s v="Direct Debit 245164 HCFHEALTHANDLIFE 057233969SL6L5M3EB"/>
        <s v="AMAZON AU MARKETPLACE SYDNEY AUS Card xx2869 Value Date: 28/12/2023"/>
        <s v="Fast Transfer From JONATHAN OLIVER battery"/>
        <s v="ETERNAL HEALTH GROUP RYDE NS AUS Card xx2869 Value Date: 23/12/2023"/>
        <s v="EAST SUSHI PTY LTD LEICHHARDT NS AUS Card xx2869 Value Date: 23/12/2023"/>
        <s v="UBER *EATS Sydney AU AUS Card xx2869 Value Date: 23/12/2023"/>
        <s v="STATEWIDE APPLIANCE ADELAIDE SA AUS Card xx2869 Value Date: 26/12/2023 (LG Tone Earbud)"/>
        <s v="PA RYDE ISE SUPERMARK RYDE NS AUS Card xx2869 Value Date: 23/12/2023"/>
        <s v="BEATPORT 720-974-9500 CO USA Card xx2869 AUD 6.80 Value Date: 25/12/2023"/>
        <s v="Adobe Systems Pty Ltd Sydney AU AUS Card xx2869 Value Date: 23/12/2023"/>
        <s v="V/CELLARS 3673 LEICHHARDT AU"/>
        <s v="Refund Purchase BEFORE YOU* BID 32/21"/>
        <s v="Hestia &amp; Co Leichhardt AU"/>
        <s v="DD *DOORDASH JASMIN1 MELBOURNE VI AUS Card xx2869 Value Date: 21/12/2023"/>
        <s v="Fast Transfer From H Roozbehani Merry Christmas Happy new year Merry Christmas Happy new year"/>
        <s v="BEFORE YOU* BID 32/21"/>
        <s v="Salary SERVAUPAYROLL 20033P 85920286"/>
        <s v="COLES 0849 DRUMMOYNE AU AUS Card xx2869 Value Date: 18/12/2023"/>
        <s v="WOOLWORTHS 1339 RYDE AU AUS Card xx2869 Value Date: 16/12/2023"/>
        <s v="UBER *EATS Sydney AU AUS Card xx2869 Value Date: 15/12/2023"/>
        <s v="THE HUNTERS HILL HOTEL HUNTERS HILL AU AUS Card xx2869 Value Date: 14/12/2023"/>
        <s v="Telstra Direct Debit AUSTRALIA SA AUS Card xx2869 Value Date: 15/12/2023"/>
        <s v="KMART 1251 Top Ryde AU AUS Card xx2869 Value Date: 16/12/2023"/>
        <s v="RYANS BAR SYDNEY NS AUS Card xx2869 Value Date: 12/12/2023"/>
        <s v="Hilton Sydney SYDNEY NSW AU AUS Card xx2869 Value Date: 12/12/2023"/>
        <s v="13cabs Sydney ALEXANDRIA AU"/>
        <s v="RYANS BAR SYDNEY AU"/>
        <s v="DD *DOORDASH ILOVEPIZZ MELBOURNE VI AUS Card xx2869 Value Date: 08/12/2023"/>
        <s v="DD *DOORDASH BARITALIA MELBOURNE VI AUS Card xx2869 Value Date: 09/12/2023"/>
        <s v="7-ELEVEN 2224 GRANVILLE NS AUS Card xx2869 Value Date: 09/12/2023"/>
        <s v="OFFICEWORKS 0201 FIVE DOCK AU AUS Card xx2869 Value Date: 07/12/2023"/>
        <s v="OXFORD HOTEL Drummoyne AU AUS Card xx2869 Value Date: 05/12/2023"/>
        <s v="THE HUNTERS HILL HOTEL HUNTERS HILL AU AUS Card xx2869 Value Date: 04/12/2023"/>
        <s v="Salary SERVAUPAYROLL 20070P 85920286"/>
        <s v="AMAZON AU RETAIL SYDNEY AUS Card xx2869 Value Date: 01/12/2023"/>
        <s v="TRANSPORTFORNSW OPAL CHIPPENDALE AUS Card xx2869 Value Date: 03/12/2023"/>
        <s v="SMP*The Chefs Wife Bi Burwood AU AUS Card xx2869 Value Date: 02/12/2023"/>
        <s v="Panda Birkenhead Pt Drummoyne NS AUS Card xx2869 Value Date: 01/12/2023"/>
        <s v="Orient Hotel Sydney NS AUS Card xx2869 Value Date: 03/12/2023"/>
        <s v="GOOGLE*ADS8721882091 CC GOOGLE.COM AU AUS Card xx2869 Value Date: 02/12/2023"/>
        <s v="DD *DOORDASH JASMIN1 MELBOURNE VI AUS Card xx2869 Value Date: 02/12/2023"/>
        <s v="DD *DOORDASH DOSSENORI MELBOURNE VI AUS Card xx2869 Value Date: 01/12/2023"/>
        <s v="7-ELEVEN 2048 DRUMMOYNE NS AUS Card xx2869 Value Date: 02/12/2023"/>
        <s v="Fast Transfer From H Roozbehani Happy birthday Rodean jan Birthday present"/>
        <s v="UNIVERSAL AUDIO SCOTTS VALLEY CA USA Card xx2869 USD 99.00 Value Date: 30/11/2023"/>
        <s v="Overdraw Fee For exceeding available funds on 01 Dec"/>
        <s v="International Transaction Fee Value Date: 29/11/2023"/>
        <s v="Panda Birkenhead Pt Drummoyne NS AUS Card xx2869 Value Date: 29/11/2023"/>
        <s v="Fast Transfer From JONATHAN OLIVER lunch"/>
        <s v="Direct Debit 245164 HCFHEALTHANDLIFE 057233969S3FI4NQCD"/>
        <s v="Refund from CBA"/>
        <s v="PAPERBOY CONCORD CAFE Mortlake NS AUS Card xx2869 Value Date: 25/11/2023"/>
        <s v="ADOBE PS CREATIVE CLD Sydney AU AUS Card xx2869 Value Date: 24/11/2023"/>
        <s v="Transfer To Jonathan K Oliver CommBank App wine and frozen coffee"/>
        <s v="WW METRO 1669 SURRY HILLS AU AUS Card xx2869 Value Date: 22/11/2023"/>
        <s v="ADOBE PR CREATIVE CLD Sydney AU AUS Card xx2869 Value Date: 23/11/2023"/>
        <s v="WW METRO 1669 SURRY HILLS AU AUS Card xx2869 Value Date: 21/11/2023"/>
        <s v="Salary SERVAUPAYROLL 19221P 85920286"/>
        <s v="BAR TOSCA SYDNEY NS AUS Card xx2869 Value Date: 21/11/2023"/>
        <s v="Transfer To Michael De Laroche CommBank App hotel"/>
        <s v="ZLR*Amir Baulkham Hill AU"/>
        <s v="TRANSPORTFORNSW OPAL CHIPPENDALE AUS Card xx2869 Value Date: 21/11/2023"/>
        <s v="UBER *EATS Sydney AU AUS Card xx2869 Value Date: 19/11/2023"/>
        <s v="OAKS CYPRESS LAKES RES POKOLBIN NS AUS Card xx2869 Value Date: 18/11/2023"/>
        <s v="COLES 0849 DRUMMOYNE AU AUS Card xx2869 Value Date: 17/11/2023"/>
        <s v="ZLR*Bimbadgen - Cellar Pokolbin AU"/>
        <s v="Telstra Direct Debit AUSTRALIA SA AUS Card xx2869 Value Date: 16/11/2023"/>
        <s v="PVH HERIT BRANDS AU DRUMMOYNE NS AUS Card xx2869 Value Date: 16/11/2023"/>
        <s v="PETER JACKSON DRUMMOYNE NS AUS Card xx2869 Value Date: 16/11/2023"/>
        <s v="COLES 0849 DRUMMOYNE AU AUS Card xx2869 Value Date: 16/11/2023"/>
        <s v="Wdl ATM CBA ATM DRUMMOYNE B NSW 215702 AUS"/>
        <s v="THE WHITE BARN POKO POKOLBIN AU"/>
        <s v="NEWPORTO WYONG JILLIBY AU"/>
        <s v="COLES 0849 DRUMMOYNE AU AUS Card xx2869 Value Date: 13/11/2023"/>
        <s v="DD *DOORDASH BANGKOKTH MELBOURNE VI AUS Card xx2869 Value Date: 13/11/2023"/>
        <s v="UBER *EATS Sydney AU AUS Card xx2869 Value Date: 11/11/2023"/>
        <s v="UBER *EATS Sydney AU AUS Card xx2869 Value Date: 10/11/2023"/>
        <s v="Google ADS8721882091 Sydney AU AUS Card xx2869 Value Date: 11/11/2023"/>
        <s v="TRANSPORTFORNSW TAP SYDNEY AUS Card xx2869 Value Date: 09/11/2023"/>
        <s v="MLEKO PTY LTD SURRY HILLS NS AUS Card xx2869 Value Date: 08/11/2023"/>
        <s v="Salary SERVAUPAYROLL 19432P 85920286"/>
        <s v="Transfer To Jonathan K Oliver CommBank App rent addition for prior ..."/>
        <s v="WW METRO 1669 SURRY HILLS AU AUS Card xx2869 Value Date: 07/11/2023"/>
        <s v="COLES 0849 DRUMMOYNE AU AUS Card xx2869 Value Date: 06/11/2023"/>
        <s v="tzp*BYCFURNITURESTRADI AU SGP Card xx2869 AUD 341.09 Value Date: 03/11/2023"/>
        <s v="POST DRUMMOYNE-RET NS AU Card xx2869"/>
        <s v="WW METRO 1669 SURRY HILLS AU AUS Card xx2869 Value Date: 31/10/2023"/>
        <s v="TRANSPORTFORNSW OPAL CHIPPENDALE AUS Card xx2869 Value Date: 31/10/2023"/>
        <s v="Fast Transfer From Megan Cartwright Invoice RR243 Rodean Invoice RR243"/>
        <s v="Direct Debit 245164 HCFHEALTHANDLIFE 057233969SL5HD9Q9L"/>
        <s v="UBER *EATS Sydney AU AUS Card xx2869 Value Date: 29/10/2023"/>
        <s v="UBER *EATS Sydney AU AUS Card xx2869 Value Date: 27/10/2023"/>
        <s v="SMP*Ralph Lauren 7101 Drummoyne AU AUS Card xx2869 Value Date: 28/10/2023"/>
        <s v="LOUIE Coogee AU"/>
        <s v="Deli Fresh Cafe Homebush NS AUS Card xx2869 Value Date: 28/10/2023"/>
        <s v="BAR TOSCA SYDNEY AU"/>
        <s v="GLUE WORLD SQUARE SYDNEY AU"/>
        <s v="Fast Transfer From MASOUMEH GHOLAMSHAHI Payment for lllSl laptop purchase"/>
        <s v="DRUMMOYNE CAMERA HOUSE DRUMMOYNE NSW AU"/>
        <s v="Salary SERVAUPAYROLL 19475P 85920286"/>
        <s v="Bank Hotel Newtown AU"/>
        <s v="SDRO INFRNGMNT PAYME MAITLAND NS AUS Card xx2869 Value Date: 23/10/2023"/>
        <s v="Enmore Theatre Pty Lt Enmore AU"/>
        <s v="Transfer To Louis Wayment PayID Phone from CommBank App dumplings"/>
        <s v="Transfer To Louis Wayment CommBank App dumplings"/>
        <s v="Reversal Transfer To Louis Wayment Account closed"/>
        <s v="Panda Birkenhead Pt Drummoyne AU"/>
        <s v="Transfer To Jonathan K Oliver CommBank App sultans"/>
        <s v="WW METRO 1669 SURRY HILLS AU AUS Card xx2869 Value Date: 18/10/2023"/>
        <s v="Telstra Direct Debit AUSTRALIA SA AUS Card xx2869 Value Date: 18/10/2023"/>
        <s v="TRANSPORTFORNSW OPAL CHIPPENDALE AUS Card xx2869 Value Date: 18/10/2023"/>
        <s v="COLES 0849 DRUMMOYNE AU AUS Card xx2869 Value Date: 17/10/2023"/>
        <s v="Direct Credit 245133 HCF CASHBACK 57233969/L95454"/>
        <s v="UBER *EATS Sydney AU AUS Card xx2869 Value Date: 15/10/2023"/>
        <s v="UBER *EATS Sydney AU AUS Card xx2869 Value Date: 14/10/2023"/>
        <s v="SEOG KYU CHOI DRUMMOYNE NSW AU"/>
        <s v="PAYPAL *NEWMAGICAUS Sydney AU"/>
        <s v="Oxford Hotel DRUMMOYNE AU AUS Card xx2869 Value Date: 14/10/2023"/>
        <s v="SCORPTEC COMPUTERS MACQUARIE PARAU"/>
        <s v="Oxford Hotel DRUMMOYNE AU AUS Card xx2869 Value Date: 10/10/2023"/>
        <s v="Salary SERVAUPAYROLL 19311P 85920286"/>
        <s v="UNIVERSAL HOTELS GRO DARLINGHURST AUS Card xx2869 Value Date: 08/10/2023"/>
        <s v="UNIVERSAL HOTELS GRO DARLINGHURST AUS Card xx2869 Value Date: 07/10/2023"/>
        <s v="OXFORD TOBACCONIST P/L DARLINGHURST AU AUS Card xx2869 Value Date: 08/10/2023"/>
        <s v="GM CABS PTY LTD MASCOT NSWAU"/>
        <s v="ANKARA Darlinghurst AU"/>
        <s v="SCORPTEC COMPUTERS MACQUARIE PARAU Card xx2869"/>
        <s v="TRANSPORTFORNSW OPAL CHIPPENDALE AUS Card xx2869 Value Date: 04/10/2023"/>
        <s v="7-ELEVEN 2048 DRUMMOYNE NS AUS Card xx2869 Value Date: 03/10/2023"/>
        <s v="DEPOSIT CASH $100.00 CHEQUE $0.00 Branch 300 ELIZABETH ST SYDNEY"/>
        <s v="Bowan IslandDrummoyne Drummoyne NS AUS Card xx2869 Value Date: 02/10/2023"/>
        <s v="Transfer To Jonathan K Oliver NetBank Internet x 2 + Water Bill + E..."/>
        <s v="UBER *EATS Sydney AU AUS Card xx2869 Value Date: 30/09/2023"/>
        <s v="SP LOUIS CK COLUMBIA TN USA Card xx2869 USD 30.00 Value Date: 01/10/2023"/>
        <s v="International Transaction Fee Value Date: 30/09/2023"/>
        <s v="Direct Debit 245164 HCFHEALTHANDLIFE 057233969SLWQDPG5S"/>
        <s v="DidiChuxing DidiAU pen Sydney AU AUS Card xx2869 Value Date: 30/09/2023"/>
        <s v="BWS LIQUOR 1601 DRUMMOYNE AU AUS Card xx2869 Value Date: 30/09/2023"/>
        <s v="HOTEL GREENWOOD PTY LI NORTH SYDNEY AU Card xx2869"/>
        <s v="Transfer To RAMTEAN ROOZBEHANI CommBank App maccas"/>
        <s v="UBER *TRIP Sydney AU AUS Card xx2869 Value Date: 25/09/2023"/>
        <s v="MIDJOURNEY INC. SOUTH SAN FRA CA USA Card xx2869 USD 11.00 Value Date: 25/09/2023"/>
        <s v="International Transaction Fee Value Date: 24/09/2023"/>
        <s v="UBER *TRIP Sydney AU AUS Card xx2869 Value Date: 24/09/2023"/>
        <s v="UBER *TRIP Sydney AU AUS Card xx2869 Value Date: 23/09/2023"/>
        <s v="UBER *EATS Sydney AU AUS Card xx2869 Value Date: 24/09/2023"/>
        <s v="CHARGRILL CHARLIES Drummoyne NS AUS Card xx2869 Value Date: 22/09/2023"/>
        <s v="The Sporting Globe Sydney AU"/>
        <s v="7-ELEVEN 2048 DRUMMOYNE AU Cash Out $100.00"/>
        <s v="SP LOUIS CK COLUMBIA TN USA Card xx2869 USD 15.00 Value Date: 20/09/2023"/>
        <s v="International Transaction Fee Value Date: 20/09/2023"/>
        <s v="LIQUORLAND 3301 DRUMMOYNE AU"/>
        <s v="TRANSPORTFORNSW OPAL CHIPPENDALE AUS Card xx2869 Value Date: 19/09/2023"/>
        <s v="GM CABS PTY LTD MASCOT AUS Card xx2869 Value Date: 15/09/2023"/>
        <s v="WOOLLOOMOOLOO BAY WOOLLOOMOOLOO AU AUS Card xx2869 Value Date: 15/09/2023"/>
        <s v="UBER *TRIP Sydney AU AUS Card xx2869 Value Date: 16/09/2023"/>
        <s v="UBER *EATS Sydney AU AUS Card xx2869 Value Date: 17/09/2023"/>
        <s v="Sussudio Sydney Potts Point NS AUS Card xx2869 Value Date: 16/09/2023"/>
        <s v="CHARGRILL CHARLIES Drummoyne NS AUS Card xx2869 Value Date: 15/09/2023"/>
        <s v="MCDONALDS COOGEE COOGEE NSWAU"/>
        <s v="Coogee Bay Hotel Coogee AU"/>
        <s v="COLES 0849 DRUMMOYNE AU AUS Card xx2869 Value Date: 13/09/2023"/>
        <s v="TELSTRA BILL PAYMENT MELBOURNE AUS Card xx2869 Value Date: 13/09/2023"/>
        <s v="Salary SERVAUPAYROLL 19453P 85920286"/>
        <s v="Fast Transfer From JONATHAN OLIVER MPC 7/16 MPC 7/16"/>
        <s v="WOOLWORTHS 1188 BALMAIN AU AUS Card xx2869 Value Date: 11/09/2023"/>
        <s v="EB *BNC pres.Kasper Ko 801-413-7200 VI AUS Card xx2869 Value Date: 10/09/2023"/>
        <s v="Entertainment and Rec - Transfer To Dan P CommBank App rodean nuggets bucks"/>
        <s v="WOOLWORTHS 1188 BALMAIN AU AUS Card xx2869 Value Date: 09/09/2023"/>
        <s v="UBER *EATS Sydney AU AUS Card xx2869 Value Date: 10/09/2023"/>
        <s v="TRANSPORTFORNSW OPAL CHIPPENDALE AUS Card xx2869 Value Date: 11/09/2023"/>
        <s v="QE FOODSTORES BALMAIN NS AUS Card xx2869 Value Date: 08/09/2023"/>
        <s v="SQ *T1721 GM CABS Drummoyne AU"/>
        <s v="Ivy Pool Club Sydney AU"/>
        <s v="Transfer To RAMTEAN ROOZBEHANI CommBank App jji"/>
        <s v="Entertainment and Rec - Transfer To Jonathan K Oliver CommBank App nile rodgers"/>
        <s v="SMP*Fire and Food Aus Sydney02 AU"/>
        <s v="COLES 0849 DRUMMOYNE AU AUS Card xx2869 Value Date: 04/09/2023"/>
        <s v="PEACH AUDIO ANNANDALE NS AUS Card xx2869 Value Date: 01/09/2023"/>
        <s v="COLES EXPRESS 1617 DRUMMOYNE AU AUS Card xx2869 Value Date: 02/09/2023"/>
        <s v="SQ *EAT AT ROBS - DARL Rozelle AU"/>
        <s v="The Alexandria Hotel Alexandria AU"/>
        <s v="Overdraw Fee For exceeding available funds on 01 Sep"/>
        <s v="BREWDOG SOUTH EVELEIG Eveleigh AU"/>
        <s v="Transfer To Amir Ehsani CommBank App brewdog food n drinks"/>
        <s v="QE FOODSTORES BALMAIN AU"/>
        <s v="Direct Debit 245164 HCFHEALTHANDLIFE 057233969SCTQCEVGK"/>
        <s v="TRANSPORTFORNSW OPAL CHIPPENDALE AUS Card xx2869 Value Date: 30/08/2023"/>
        <s v="Salary SERVAUPAYROLL 19265P 85920286"/>
        <s v="Fast Transfer From JONATHAN OLIVER mpc 6/16"/>
        <s v="UBER *EATS Sydney AU AUS Card xx2869 Value Date: 26/08/2023"/>
        <s v="TRANSPORTFORNSW OPAL CHIPPENDALE AUS Card xx2869 Value Date: 28/08/2023"/>
        <s v="QE FOODSTORES BALMAIN NS AUS Card xx2869 Value Date: 25/08/2023"/>
        <s v="MIDJOURNEY INC. SOUTH SAN FRA CA USA Card xx2869 USD 11.00 Value Date: 25/08/2023"/>
        <s v="International Transaction Fee Value Date: 24/08/2023"/>
        <s v="Fast Transfer From JONATHAN OLIVER brownies"/>
        <s v="TRANSPORTFORNSW TAP SYDNEY AUS Card xx2869 Value Date: 25/08/2023"/>
        <s v="QE FOODSTORES BALMAIN NS AUS Card xx2869 Value Date: 23/08/2023"/>
        <s v="B AND C PHARMACY SERVI BALMAIN NS AUS Card xx2869 Value Date: 23/08/2023"/>
        <s v="Fast Transfer From JOSEPH SALLUSTIO Dinner"/>
        <s v="PA RYDE ISE SUPERMARK RYDE NS AUS Card xx2869 Value Date: 21/08/2023"/>
        <s v="UBER* EATS SYDNEY NS AUS Card xx2869 Value Date: 19/08/2023"/>
        <s v="UBER *EATS Sydney AU AUS Card xx2869 Value Date: 18/08/2023"/>
        <s v="Oxford Hotel DRUMMOYNE AU AUS Card xx2869 Value Date: 18/08/2023"/>
        <s v="BALMAIN THE CHAR PTY BALMAIN AUS Card xx2869 Value Date: 18/08/2023"/>
        <s v="TASTE BAGUETTE BALMA BALMAIN NS AUS Card xx2869 Value Date: 17/08/2023"/>
        <s v="Fast Transfer From JONATHAN OLIVER chinese food dinner"/>
        <s v="SERVICE NSW SYDNEY AUS Card xx2869 Value Date: 15/08/2023"/>
        <s v="UBER *EATS Sydney AU AUS Card xx2869 Value Date: 15/08/2023"/>
        <s v="Salary SERVAUPAYROLL 19584P 85920286"/>
        <s v="LALALS.COM ABU DHABI AZ ARE Card xx2869 USD 24.00 Value Date: 15/08/2023"/>
        <s v="International Transaction Fee Value Date: 15/08/2023"/>
        <s v="Fast Transfer From JONATHAN OLIVER Mpc 5/16 Mpc 5/16"/>
        <s v="PEACH AUDIO ANNANDALE NS AUS Card xx2869 Value Date: 14/08/2023"/>
        <s v="NRMA WEB SYDNEY NS AUS Card xx2869 Value Date: 14/08/2023"/>
        <s v="Dumplings &amp; Momo House Sydney AU"/>
        <s v="COLES EXPRESS 1617 DRUMMOYNE AU AUS Card xx2869 Value Date: 14/08/2023"/>
        <s v="THE LOOKOUT @ ECHO POI KATOOMBA AU Card xx2869"/>
        <s v="NATIVE INSTRUMENTS BERLIN BE DEU Card xx2869 AUD 1439.20 Value Date: 11/08/2023"/>
        <s v="LEURA GOURMET LEURA AU Card xx2869"/>
        <s v="Transfer to xx6542 CommBank app Value Date: 11/08/2023"/>
        <s v="Transfer from xx8675 CommBank app Value Date: 11/08/2023"/>
        <s v="Transfer To Jonathan K Oliver NetBank Lots of Bills"/>
        <s v="Rfnd O'Seas Transaction Value Date: 22/07/2023"/>
        <s v="Adjust Purchase ADJUSTMENT TO ACCOUNT Card xx2869 AUD 49.56 Value Date: 22/07/2023"/>
        <s v="Adjust Purchase ADJUSTMENT TO ACCOUNT Card xx2869 AUD 45.39 Value Date: 22/07/2023"/>
        <s v="Adjust Purchase ADJUSTMENT TO ACCOUNT Card xx2869 AUD 35.91 Value Date: 22/07/2023"/>
        <s v="Adjust Purchase ADJUSTMENT TO ACCOUNT Card xx2869 AUD 186.59 Value Date: 22/07/2023"/>
        <s v="Adjust Purchase ADJUSTMENT TO ACCOUNT Card xx2869 AUD 11.91 Value Date: 22/07/2023"/>
        <s v="Cardless Cash return food"/>
        <s v="Cardless Cash for collection food"/>
        <s v="Transfer to xx8675 CommBank app netbank saver"/>
        <s v="Salary SERVAUPAYROLL 21070P 85920286"/>
        <s v="Fast Transfer From JONATHAN OLIVER Mpc 4/16 mpc 4/16"/>
        <s v="Fast Transfer From ARASH NIKHOUSH Music Production"/>
        <s v="Transfer from xx6542 CommBank app netbank saver"/>
        <s v="Direct Debit 245164 HCFHEALTHANDLIFE 057233969SLG7YRD1F"/>
        <s v="Transfer To Masoumeh Gholamshahi CommBank App food - movies"/>
        <s v="Cardless Cash return food and stuff"/>
        <s v="Cardless Cash for collection stuff"/>
        <s v="Cardless Cash for collection food and stuff"/>
        <s v="UBER *TRIP HELP.UBER.COM NH NLD Card xx7126 EUR 7.20 Value Date: 22/07/2023"/>
        <s v="UBER *TRIP HELP.UBER.COM NH NLD Card xx7126 EUR 29.96 Value Date: 22/07/2023"/>
        <s v="UBER *TRIP HELP.UBER.COM NH NLD Card xx7126 EUR 27.44 Value Date: 22/07/2023"/>
        <s v="UBER *TRIP HELP.UBER.COM NH NLD Card xx7126 EUR 21.71 Value Date: 22/07/2023"/>
        <s v="MIDJOURNEY INC. SOUTH SAN FRA CA USA Card xx7126 USD 11.00 Value Date: 25/07/2023"/>
        <s v="International Transaction Fee Value Date: 24/07/2023"/>
        <s v="International Transaction Fee Value Date: 22/07/2023"/>
        <s v="BANDCAMP MEEM 402-935-7733 CA USA Card xx7126 AUD 15.00 Value Date: 22/07/2023"/>
        <s v="ARTURIA MONTBONNOT ST FR FRA Card xx7126 USD 74.00 Value Date: 22/07/2023"/>
        <s v="UBER *TRIP HELP.UBER.C Amsterdam NL NLD Card xx7126 EUR 112.80 Value Date: 22/07/2023"/>
        <s v="UBER *EATS Sydney AU AUS Card xx8188 Value Date: 20/07/2023"/>
        <s v="7-ELEVEN 2048 DRUMMOYNE NS AUS Card xx8188 Value Date: 19/07/2023"/>
        <s v="Salary SERVAUPAYROLL 19371P 85920286"/>
        <s v="IGA DRUMMOYNE DRUMMOYNE AU Card xx8188"/>
        <s v="Fast Transfer From JONATHAN OLIVER MPC 3/16 MPC 3/16"/>
        <s v="Telstra Direct Debit AUSTRALIA SA AUS Card xx8188 Value Date: 17/07/2023"/>
        <s v="HARRIS FARM MARKETS DRUMMOYNE AU Card xx8188"/>
        <s v="TRANSPORTFORNSW OPAL CHIPPENDALE AUS Card xx8188 Value Date: 11/07/2023"/>
        <s v="Fast Transfer From GEOFFREY COLLINS geoff geoff"/>
        <s v="Direct Credit 617702 PAYPAL AUSTRALIA 1028072139454"/>
        <s v="TRANSPORTFORNSW OPAL CHIPPENDALE AUS Card xx8188 Value Date: 05/07/2023"/>
        <s v="Salary SERVAUPAYROLL 20120P 85920286"/>
        <s v="Fast Transfer From JONATHAN OLIVER MPC 2/16 mpc 2/16"/>
        <s v="UBER* EATS SYDNEY NS AUS Card xx8188 Value Date: 30/06/2023"/>
        <s v="TRANSPORTFORNSW OPAL CHIPPENDALE AUS Card xx8188 Value Date: 03/07/2023"/>
        <s v="CKO*Patreon INTERNET AUS Card xx8188 Value Date: 01/07/2023"/>
        <s v="Direct Debit 245164 HCFHEALTHANDLIFE 057233969SM7IZH6UO"/>
        <s v="SDRO INFRNGMNT PAYME MAITLAND NS AUS Card xx8188 Value Date: 27/06/2023"/>
        <s v="Revolut**8052* Melbourne AU AUS Card xx8188 Value Date: 26/06/2023"/>
        <s v="UBER *EATS Sydney AU AUS Card xx8188 Value Date: 23/06/2023"/>
        <s v="MIDJOURNEY INC. SOUTH SAN FRA CA USA Card xx8188 USD 11.00 Value Date: 25/06/2023"/>
        <s v="International Transaction Fee Value Date: 24/06/2023"/>
        <s v="COLES 0849 DRUMMOYNE AU AUS Card xx8188 Value Date: 21/06/2023"/>
        <s v="Fast Transfer From JONATHAN OLIVER MPC 1/16 MPC 1/16"/>
        <s v="UBER *EATS Sydney AU AUS Card xx8188 Value Date: 19/06/2023"/>
        <s v="RISE BAKEHOUSE DRUMMOYNE AU"/>
        <s v="NIKAN RESTAURANT RYDE NSW AU"/>
        <s v="UBER *EATS Sydney AU AUS Card xx8188 Value Date: 16/06/2023"/>
        <s v="Telstra Direct Debit AUSTRALIA SA AUS Card xx8188 Value Date: 15/06/2023"/>
        <s v="SILVER SPOON BISTRO SURRY HILLS NS AUS Card xx8188 Value Date: 14/06/2023"/>
        <s v="BAR TOSCA SYDNEY NS AUS Card xx8188 Value Date: 13/06/2023"/>
        <s v="TRANSPORTFORNSW OPAL CHIPPENDALE AUS Card xx8188 Value Date: 13/06/2023"/>
        <s v="UBER *EATS Sydney AU AUS Card xx8188 Value Date: 11/06/2023"/>
        <s v="UBER *EATS Sydney AU AUS Card xx8188 Value Date: 07/06/2023"/>
        <s v="UBER *EATS Sydney AU AUS Card xx8188 Value Date: 06/06/2023"/>
        <s v="Refund from CBA Value Date: 07/06/2023"/>
        <s v="WW METRO 1669 SURRY HILLS AU AUS Card xx8188 Value Date: 05/06/2023"/>
        <s v="TRANSPORTFORNSW TAP SYDNEY AUS Card xx8188 Value Date: 06/06/2023"/>
        <s v="SUSHI OTAKU SURRY HILLS NS AUS Card xx8188 Value Date: 05/06/2023"/>
        <s v="UBER* EATS SYDNEY NS AUS Card xx8188 Value Date: 03/06/2023"/>
        <s v="CHARGRILL CHARLIES Drummoyne NS AUS Card xx8188 Value Date: 02/06/2023"/>
        <s v="SILVER SPOON BISTRO SURRY HILLS NS AUS Card xx8188 Value Date: 31/05/2023"/>
        <s v="Patreon* Membership INTERNET AUS Card xx8188 Value Date: 02/06/2023"/>
        <s v="Transfer To RAMTEAN ROOZBEHANI CommBank App for u"/>
        <s v="WW METRO 1669 SURRY HILLS AU AUS Card xx8188 Value Date: 31/05/2023"/>
        <s v="TRANSPORTFORNSW OPAL CHIPPENDALE AUS Card xx8188 Value Date: 31/05/2023"/>
        <s v="LINKT SYDNEY SYDNEY AUS Card xx8188 Value Date: 30/05/2023"/>
        <s v="Fast Transfer From JONATHAN OLIVER shopping"/>
        <s v="Direct Debit 245164 HCFHEALTHANDLIFE 057233969S3L4F3XB2"/>
        <s v="BAR TOSCA SYDNEY NS AUS Card xx8188 Value Date: 30/05/2023"/>
        <s v="SUSHI OTAKU SURRY HILLS NS AUS Card xx8188 Value Date: 29/05/2023"/>
        <s v="UBER *EATS Sydney AU AUS Card xx8188 Value Date: 28/05/2023"/>
        <s v="TRANSPORTFORNSW OPAL CHIPPENDALE AUS Card xx8188 Value Date: 29/05/2023"/>
        <s v="MIDJOURNEY INC. SOUTH SAN FRA CA USA Card xx8188 USD 11.00 Value Date: 25/05/2023"/>
        <s v="International Transaction Fee Value Date: 24/05/2023"/>
        <s v="Transfer To Jonathan K Oliver CommBank App food"/>
        <s v="WW METRO 1669 SURRY HILLS AU AUS Card xx8188 Value Date: 23/05/2023"/>
        <s v="Salary SERVAUPAYROLL 19545P 85920286"/>
        <s v="WW METRO 1669 SURRY HILLS AU AUS Card xx8188 Value Date: 22/05/2023"/>
        <s v="TRANSPORTFORNSW OPAL CHIPPENDALE AUS Card xx8188 Value Date: 23/05/2023"/>
        <s v="UBER *EATS Sydney AU AUS Card xx8188 Value Date: 19/05/2023"/>
        <s v="Photown Alexandria Alexandria AU"/>
        <s v="HUNTERS HILL COUNCIL HUNTERS HILL AU AUS Card xx8188 Value Date: 20/05/2023"/>
        <s v="DECKHOUSE CAFE WOOLWICH AU AUS Card xx8188 Value Date: 20/05/2023"/>
        <s v="TIMEZONE CHATSWOOD AU Card xx8188"/>
        <s v="Transfer To Jack Bosenberg CommBank App dinner"/>
        <s v="WW METRO 1669 SURRY HILLS AU AUS Card xx8188 Value Date: 16/05/2023"/>
        <s v="Telstra Direct Debit AUSTRALIA SA AUS Card xx8188 Value Date: 16/05/2023"/>
        <s v="WW METRO 1669 SURRY HILLS AU AUS Card xx8188 Value Date: 15/05/2023"/>
        <s v="TRANSPORTFORNSW OPAL CHIPPENDALE AUS Card xx8188 Value Date: 16/05/2023"/>
        <s v="UBER *EATS Sydney AU AUS Card xx8188 Value Date: 14/05/2023"/>
        <s v="Fast Transfer From BISHOP WARREN GRANT to PayID Phone RODEAN LUNCH"/>
        <s v="MALONEYS GROCER PTY SURRY HILLS AU Card xx8188"/>
        <s v="Fast Transfer From RAMTEAN ROOZBEHANI loanies"/>
        <s v="WW METRO 1669 SURRY HILLS AU AUS Card xx8188 Value Date: 10/05/2023"/>
        <s v="Salary SERVAUPAYROLL 20194P 85920286"/>
        <s v="TRANSPORTFORNSW OPAL CHIPPENDALE AUS Card xx8188 Value Date: 09/05/2023"/>
        <s v="CAFFE CHERRY BEANS-B DRUMMOYNE NS AUS Card xx8188 Value Date: 06/05/2023"/>
        <s v="7-ELEVEN 2270 ROZELLE NS AUS Card xx8188 Value Date: 06/05/2023"/>
        <s v="Moretti Ristorante Leichhardt AU"/>
        <s v="Jaycar Electronics Croydon AU - power supply fuse"/>
        <s v="Jaycar Electronics Croydon AU - cabling"/>
        <s v="Fast Transfer From MASOUMEH GHOLAMSHAHI With Thanks for Payment for tonight"/>
        <s v="Transfer To nick irving CommBank App ns10 - studio speaker / monitor"/>
        <s v="WW METRO 1669 SURRY HILLS AU AUS Card xx8188 Value Date: 03/05/2023"/>
        <s v="WW METRO 1669 SURRY HILLS AU AUS Card xx8188 Value Date: 02/05/2023"/>
        <s v="WW METRO 1669 SURRY HILLS AU AUS Card xx8188 Value Date: 01/05/2023"/>
        <s v="TRANSPORTFORNSW OPAL CHIPPENDALE AUS Card xx8188 Value Date: 02/05/2023"/>
        <s v="REVERB.COM LLC CHICAGO IL USA Card xx8188 USD 69.85 Value Date: 01/05/2023 - Fee for transaction"/>
        <s v="Patreon* Membership INTERNET AUS Card xx8188 Value Date: 02/05/2023"/>
        <s v="International Transaction Fee Value Date: 01/05/2023"/>
        <s v="UBER* EATS SYDNEY NS AUS Card xx8188 Value Date: 30/04/2023"/>
        <s v="SQ *TENTACIONES Surry Hills AU"/>
        <s v="Direct Debit 245164 HCFHEALTHANDLIFE 057233969SEFF4S089"/>
        <s v="Direct Debit 245164 HCFHEALTH 057233969SVTU3IEOI"/>
        <s v="Direct Credit 245127 HCFHEALTH 057233969SVTU3IEOI"/>
        <s v="SDRO INFRNGMNT PAYME MAITLAND NS AUS Card xx8188 Value Date: 26/04/2023"/>
        <s v="WW METRO 1669 SURRY HILLS AU AUS Card xx8188 Value Date: 26/04/2023"/>
        <s v="COLES 0849 DRUMMOYNE AU AUS Card xx8188 Value Date: 25/04/2023"/>
        <s v="UBER* EATS SYDNEY NS AUS Card xx8188 Value Date: 24/04/2023"/>
        <s v="TRANSPORTFORNSW OPAL CHIPPENDALE AUS Card xx8188 Value Date: 26/04/2023"/>
        <s v="Salary SERVAUPAYROLL 20533P 85920286"/>
        <s v="MIDJOURNEY INC. SOUTH SAN FRA CA USA Card xx8188 USD 11.00 Value Date: 25/04/2023"/>
        <s v="International Transaction Fee Value Date: 24/04/2023"/>
        <s v="UBER *EATS Sydney AU AUS Card xx8188 Value Date: 23/04/2023"/>
        <s v="UBER *EATS Sydney AU AUS Card xx8188 Value Date: 20/04/2023"/>
        <s v="WW METRO 1669 SURRY HILLS AU AUS Card xx8188 Value Date: 19/04/2023"/>
        <s v="Telstra Direct Debit AUSTRALIA SA AUS Card xx8188 Value Date: 19/04/2023"/>
        <s v="SILVER SPOON BISTRO SURRY HILLS NS AUS Card xx8188 Value Date: 18/04/2023"/>
        <s v="UBER *EATS Sydney AU AUS Card xx8188 Value Date: 17/04/2023"/>
        <s v="WW METRO 1669 SURRY HILLS AU AUS Card xx8188 Value Date: 17/04/2023"/>
        <s v="UBER *EATS Sydney AU AUS Card xx8188 Value Date: 16/04/2023"/>
        <s v="UBER *EATS Sydney AU AUS Card xx8188 Value Date: 15/04/2023"/>
        <s v="TRANSPORTFORNSW OPAL CHIPPENDALE AUS Card xx8188 Value Date: 17/04/2023"/>
        <s v="Menulog Pty Ltd Sydney AU AUS Card xx8188 Value Date: 15/04/2023"/>
        <s v="JAKEREEDMUSIC.COM SOUTH PASADEN CA USA Card xx8188 USD 50.00 Value Date: 15/04/2023"/>
        <s v="International Transaction Fee Value Date: 15/04/2023"/>
        <s v="Fast Transfer From JONATHAN OLIVER frappe"/>
        <s v="SILVER SPOON BISTRO SURRY HILLS NS AUS Card xx8188 Value Date: 12/04/2023"/>
        <s v="Salary SERVAUPAYROLL 20303P 85920286"/>
        <s v="COLES 0849 DRUMMOYNE AU AUS Card xx8188 Value Date: 11/04/2023"/>
        <s v="BAR TOSCA SYDNEY NS AUS Card xx8188 Value Date: 11/04/2023"/>
        <s v="WAVES INC 8659099200 TN USA Card xx8188 USD 32.99 Value Date: 07/04/2023"/>
        <s v="UBER *EATS Sydney AU AUS Card xx8188 Value Date: 10/04/2023"/>
        <s v="TRANSPORTFORNSW OPAL CHIPPENDALE AUS Card xx8188 Value Date: 11/04/2023"/>
        <s v="Microsoft*Subscription msbill.info AU AUS Card xx8188 Value Date: 06/04/2023"/>
        <s v="International Transaction Fee Value Date: 07/04/2023"/>
        <s v="BP ROSE BAY CENT 7750 ROSE BAY NS AUS Card xx8188 Value Date: 05/04/2023"/>
        <s v="COLES EXPRESS 1617 DRUMMOYNE AU"/>
        <s v="Transfer from ARASH NIKHOUSH Production"/>
        <s v="TRANSPORTFORNSW OPAL CHIPPENDALE AUS Card xx8188 Value Date: 04/04/2023"/>
        <s v="BAR TOSCA SYDNEY NS AUS Card xx8188 Value Date: 03/04/2023"/>
        <s v="Patreon* Membership INTERNET AUS Card xx8188 Value Date: 02/04/2023"/>
        <s v="AMAZON MARKETPLACE AU SYDNEY SOUTH NS AUS Card xx8188 Value Date: 31/03/2023"/>
        <s v="Direct Debit 245164 HCFHEALTHANDLIFE 057233969SZD6VADV1"/>
        <s v="JB HI FI SYDNEY CITY SYDNEY NS AUS Card xx8188 Value Date: 29/03/2023"/>
        <s v="Google YouTube Videos Pyrmont AU AUS Card xx8188 Value Date: 29/03/2023"/>
        <s v="BAR TOSCA SYDNEY NS AUS Card xx8188 Value Date: 29/03/2023"/>
        <s v="TRANSPORTFORNSW OPAL CHIPPENDALE AUS Card xx8188 Value Date: 29/03/2023"/>
        <s v="Salary SERVAUPAYROLL 21050P 85920286"/>
        <s v="LINKT SYDNEY SYDNEY AUS Card xx8188 Value Date: 28/03/2023"/>
        <s v="Fast Transfer From ARASH NIKHOUSH to PayID Phone Music Production"/>
        <s v="TRANSPORTFORNSW OPAL CHIPPENDALE AUS Card xx8188 Value Date: 27/03/2023"/>
        <s v="MIDJOURNEY INC. SOUTH SAN FRA CA USA Card xx8188 USD 11.00 Value Date: 25/03/2023"/>
        <s v="International Transaction Fee Value Date: 24/03/2023"/>
        <s v="SYDMOSA PTY LTD SURRY HILLS AU"/>
        <s v="TRANSPORTFORNSW OPAL CHIPPENDALE AUS Card xx8188 Value Date: 22/03/2023"/>
        <s v="BAR TOSCA SYDNEY NS AUS Card xx8188 Value Date: 22/03/2023"/>
        <s v="Telstra Direct Debit AUSTRALIA SA AUS Card xx8188 Value Date: 21/03/2023"/>
        <s v="Google YouTube Videos Pyrmont AU AUS Card xx8188 Value Date: 21/03/2023"/>
        <s v="COLES 0849 DRUMMOYNE AU AUS Card xx8188 Value Date: 20/03/2023"/>
        <s v="Google YouTube Videos Pyrmont AU AUS Card xx8188 Value Date: 20/03/2023"/>
        <s v="GM CABS PTY LTD MASCOT AUS Card xx8188 Value Date: 19/03/2023"/>
        <s v="UBER *EATS Sydney AU AUS Card xx8188 Value Date: 19/03/2023"/>
        <s v="Menulog Pty Ltd Sydney AU AUS Card xx8188 Value Date: 19/03/2023"/>
        <s v="Google YouTube Videos Pyrmont AU AUS Card xx8188 Value Date: 19/03/2023"/>
        <s v="Fast Transfer From JONATHAN OLIVER maccers"/>
        <s v="Wdl ATM CBA ATM DARLING PARK NSW 202891 AUS"/>
        <s v="WAVES INC 8659099200 TN USA Card xx8188 USD 84.68 Value Date: 16/03/2023"/>
        <s v="SQ *MOOM LIVING Pyrmont AU"/>
        <s v="RAYVEN PTY LTD SYDNEY NSW AU"/>
        <s v="International Transaction Fee Value Date: 15/03/2023"/>
        <s v="Fast Transfer From ARASH NIKHOUSH to PayID Phone Production Session2"/>
        <s v="BEATPORT 720-974-9500 CO USA Card xx8188 AUD 1.86 Value Date: 16/03/2023"/>
        <s v="TRANSPORTFORNSW OPAL CHIPPENDALE AUS Card xx8188 Value Date: 15/03/2023"/>
        <s v="Salary SERVAUPAYROLL 21131P 85920286"/>
        <s v="UBER* EATS SYDNEY NS AUS Card xx8188 Value Date: 10/03/2023"/>
        <s v="ROSE TURKISH GOZLEME HOUS DRUMMOY NSW AU Card xx8188"/>
        <s v="Fast Transfer From ARASH NIKHOUSH to PayID Phone S01"/>
        <s v="SILVER SPOON BISTRO SURRY HILLS NS AUS Card xx8188 Value Date: 07/03/2023"/>
        <s v="TRANSPORTFORNSW TAP SYDNEY AUS Card xx8188 Value Date: 02/03/2023"/>
        <s v="SUSHI OTAKU SURRY HILLS NS AUS Card xx8188 Value Date: 01/03/2023"/>
        <s v="Return SoundCloud Yearly Next Berlin DE DEU Card xx8188 AUD 145.00 Value Date: 01/03/2023"/>
        <s v="Patreon* Membership INTERNET AUS Card xx8188 Value Date: 02/03/2023"/>
        <s v="WW METRO 1669 SURRY HILLS AU AUS Card xx8188 Value Date: 01/03/2023"/>
        <s v="TRANSPORTFORNSW OPAL CHIPPENDALE AUS Card xx8188 Value Date: 01/03/2023"/>
        <s v="SILVER SPOON BISTRO SURRY HILLS NS AUS Card xx8188 Value Date: 27/02/2023"/>
        <s v="Salary SERVAUPAYROLL 21093P 85920286"/>
        <s v="Fast Transfer From RAMTEAN ROOZBEHANI loan back"/>
        <s v="Direct Debit 245164 HCFHEALTHANDLIFE 057233969SR6ZDNYTV"/>
        <s v="TRANSPORTFORNSW TAP SYDNEY AUS Card xx8188 Value Date: 26/02/2023"/>
        <s v="TRANSPORTFORNSW OPAL CHIPPENDALE AUS Card xx8188 Value Date: 27/02/2023"/>
        <s v="BWS LIQUOR 1601 DRUMMOYNE AU AUS Card xx8188 Value Date: 24/02/2023"/>
        <s v="7-ELEVEN 2048 DRUMMOYNE NS AUS Card xx8188 Value Date: 24/02/2023"/>
        <s v="UBER *EATS Sydney AU AUS Card xx8188 Value Date: 22/02/2023"/>
        <s v="SEOG KYU CHOI DRUMMOYNE NSW AU Card xx8188"/>
        <s v="Andiamo Tr Abbotsford Abbotsford NS AUS Card xx8188 Value Date: 23/02/2023"/>
        <s v="TRANSPORTFORNSW TAP SYDNEY AUS Card xx8188 Value Date: 21/02/2023"/>
        <s v="Fast Transfer From RAMTEAN ROOZBEHANI ramen"/>
        <s v="7-ELEVEN 2117 SYDNEY NS AUS Card xx8188 Value Date: 21/02/2023"/>
        <s v="UBER *TRIP Sydney AU AUS Card xx8188 Value Date: 17/02/2023"/>
        <s v="TRANSPORTFORNSW TAP SYDNEY AUS Card xx8188 Value Date: 18/02/2023"/>
        <s v="SoundCloud Yearly Next Berlin DE DEU Card xx8188 AUD 145.00 Value Date: 17/02/2023"/>
        <s v="COLES 0849 DRUMMOYNE AU AUS Card xx8188 Value Date: 18/02/2023"/>
        <s v="Transfer To Jonathan K Oliver CommBank App maccas"/>
        <s v="UBER* EATS SYDNEY NS AUS Card xx8188 Value Date: 16/02/2023"/>
        <s v="TRANSPORTFORNSW TAP SYDNEY AUS Card xx8188 Value Date: 17/02/2023"/>
        <s v="TRANSPORTFORNSW TAP SYDNEY AUS Card xx8188 Value Date: 16/02/2023"/>
        <s v="Torotoro Ramen Bar Barangaroo AU"/>
        <s v="Fast Transfer From GEOFFREY COLLINS geoff"/>
        <s v="TRANSPORTFORNSW TAP SYDNEY AUS Card xx8188 Value Date: 14/02/2023"/>
        <s v="Telstra Direct Debit AUSTRALIA SA AUS Card xx8188 Value Date: 14/02/2023"/>
        <s v="SILVER SPOON BISTRO SURRY HILLS NS AUS Card xx8188 Value Date: 13/02/2023"/>
        <s v="Salary SERVAUPAYROLL 21363P 85920286"/>
        <s v="Wdl ATM CBA ATM 300ELIZABETH C NSW 203303 AUS"/>
        <s v="MIDJOURNEY INC. SOUTH SAN FRA CA USA Card xx8188 USD 11.00 Value Date: 13/02/2023"/>
        <s v="International Transaction Fee Value Date: 13/02/2023"/>
        <s v="COLES 0849 DRUMMOYNE AU AUS Card xx8188 Value Date: 12/02/2023"/>
        <s v="UBER *TRIP Sydney AU AUS Card xx8188 Value Date: 11/02/2023"/>
        <s v="THE GREENS NORTH SYDNEY AU AUS Card xx8188 Value Date: 11/02/2023"/>
        <s v="ALH VENUES 8733 CROWS NEST AU AUS Card xx8188 Value Date: 11/02/2023"/>
        <s v="TRANSPORTFORNSW TAP SYDNEY AUS Card xx8188 Value Date: 09/02/2023"/>
        <s v="WWW.ALIEXPRESS.COM LONDON GB GBR Card xx8188 AUD 26.02 Value Date: 08/02/2023"/>
        <s v="TRANSPORTFORNSW TAP SYDNEY AUS Card xx8188 Value Date: 07/02/2023"/>
        <s v="BAR TOSCA SYDNEY NS AUS Card xx8188 Value Date: 08/02/2023"/>
        <s v="SILVER SPOON BISTRO SURRY HILLS NS AUS Card xx8188 Value Date: 06/02/2023"/>
        <s v="Fast Transfer From Megan Cartwright RR2301 contemplate mix master RR2301 TOE"/>
        <s v="COLES 0849 DRUMMOYNE AU AUS Card xx8188 Value Date: 06/02/2023"/>
        <s v="UBER *EATS Sydney AU AUS Card xx8188 Value Date: 02/02/2023"/>
        <s v="HARRIS FARM MARKETSQPS DRUMMOYNE AUS Card xx8188 Value Date: 04/02/2023"/>
        <s v="HARRIS FARM MARKETS DRUMMOYNE AUS Card xx8188 Value Date: 05/02/2023"/>
        <s v="Transfer To Jonathan K Oliver CommBank App elec bill"/>
        <s v="TRANSPORTFORNSW TAP SYDNEY AUS Card xx8188 Value Date: 02/02/2023"/>
        <s v="TRANSPORTFORNSW TAP SYDNEY AUS Card xx8188 Value Date: 01/02/2023"/>
        <s v="Patreon* Membership INTERNET AUS Card xx8188 Value Date: 02/02/2023"/>
        <s v="NRMA LTD SYDNEY OLYMPI NS AUS Card xx8188 Value Date: 01/02/2023"/>
        <s v="MV&amp;CO THE VIETASTEZ NSWNSW AUS Card xx8188 Value Date: 01/02/2023"/>
        <s v="JOANNE WILLIAMS PTY LIMIT DRUMMOY NSW AU"/>
        <s v="Direct Credit 002221 MCARE BENEFITS 494043223 CYWQ"/>
        <s v="Salary SERVAUPAYROLL 21430P 85920286"/>
        <s v="Transfer To Jonathan K Oliver CommBank App internet"/>
        <s v="TRANSPORTFORNSW TAP SYDNEY AUS Card xx8188 Value Date: 31/01/2023"/>
        <s v="PHOTOWN Alexandria NS AUS Card xx8188 Value Date: 30/01/2023"/>
        <s v="Direct Debit 245164 HCFHEALTHANDLIFE 057233969SR9PFLEM5"/>
        <s v="UBER* EATS SYDNEY NS AUS Card xx8188 Value Date: 27/01/2023"/>
        <s v="HARRIS FARM MARKETSQPS DRUMMOYNE AUS Card xx8188 Value Date: 28/01/2023"/>
        <s v="COLES 0849 DRUMMOYNE AU AUS Card xx8188 Value Date: 29/01/2023"/>
        <s v="Fast Transfer From Krohn K R Pizza"/>
        <s v="Fast Transfer From JONATHAN OLIVER pizza"/>
        <s v="UBER *EATS Sydney AU AUS Card xx8188 Value Date: 25/01/2023"/>
        <s v="TRANSPORTFORNSW TAP SYDNEY AUS Card xx8188 Value Date: 26/01/2023"/>
        <s v="TRANSPORTFORNSW TAP SYDNEY AUS Card xx8188 Value Date: 25/01/2023"/>
        <s v="HARRIS FARM MARKETSQPS DRUMMOYNE AUS Card xx8188 Value Date: 26/01/2023"/>
        <s v="CHEMIST WAREHOUSE SYDNEY NS AUS Card xx8188 Value Date: 25/01/2023"/>
        <s v="BAR TOSCA SYDNEY NS AUS Card xx8188 Value Date: 25/01/2023"/>
        <s v="WW METRO 1669 SURRY HILLS AU AUS Card xx8188 Value Date: 25/01/2023"/>
        <s v="APPLE.COM/BILL SYDNEY AU AUS Card xx8188 Value Date: 22/01/2023"/>
        <s v="THE VINTAGE RECORD ANNANDALE NS AUS Card xx8188 Value Date: 22/01/2023"/>
        <s v="HARRIS FARM MARKETSQPS DRUMMOYNE AUS Card xx8188 Value Date: 23/01/2023"/>
        <s v="COLES 0849 DRUMMOYNE AU AUS Card xx8188 Value Date: 22/01/2023"/>
        <s v="TRANSPORTFORNSW TAP SYDNEY AUS Card xx8188 Value Date: 20/01/2023"/>
        <s v="SMP*Fat Fish Annandal Annandale AU AUS Card xx8188 Value Date: 22/01/2023"/>
        <s v="Return DISTROKID.COM NEW YORK NY USA Card xx8188 USD 35.99 Value Date: 19/01/2023"/>
        <s v="Nike Drummoyne Drummoyne AU AUS Card xx8188 Value Date: 22/01/2023"/>
        <s v="ICC Sydney Sydney NS AUS Card xx8188 Value Date: 20/01/2023"/>
        <s v="HARRY JUICE &amp; CO PTY L DRUMMOYNE AUS Card xx8188 Value Date: 22/01/2023"/>
        <s v="HARRIS FARM MARKETSQPS DRUMMOYNE AUS Card xx8188 Value Date: 21/01/2023"/>
        <s v="COLES EXPRESS 1617 DRUMMOYNE AU AUS Card xx8188 Value Date: 21/01/2023"/>
        <s v="7-ELEVEN 2048 DRUMMOYNE NS AUS Card xx8188 Value Date: 21/01/2023"/>
        <s v="HARRY JUICE &amp; CO PTY L DRUMMOYNE AU Card xx8188"/>
        <s v="HARRIS FARM MARKETS DRUMMOYNE AUS Card xx8188 Value Date: 19/01/2023"/>
        <s v="BAR TOSCA SYDNEY NS AUS Card xx8188 Value Date: 19/01/2023"/>
        <s v="Transfer To Joseph Sallustio CommBank App succulent chinese meal"/>
        <s v="TRANSPORTFORNSW TAP SYDNEY AUS Card xx8188 Value Date: 18/01/2023"/>
        <s v="NOVOTEL DARLING SQR SYDNEY AU Card xx8188"/>
        <s v="Telstra Direct Debit AUSTRALIA SA AUS Card xx8188 Value Date: 17/01/2023"/>
        <s v="Salary SERVAUPAYROLL 21233P 85920286"/>
        <s v="International Transaction Fee Value Date: 17/01/2023"/>
        <s v="DISTROKID.COM NEW YORK NY USA Card xx8188 USD 35.99 Value Date: 17/01/2023"/>
        <s v="UNIVERSAL AUDIO 8314401176 CA USA Card xx8188 USD 124.00 Value Date: 16/01/2023"/>
        <s v="TRANSPORTFORNSW TAP SYDNEY AUS Card xx8188 Value Date: 17/01/2023"/>
        <s v="Return Audible Limited AU MELBOURNE AU AUS Card xx8188 Value Date: 16/01/2023"/>
        <s v="MV&amp;CO THE VIETASTEZ NSWNSW AUS Card xx8188 Value Date: 16/01/2023"/>
        <s v="International Transaction Fee Value Date: 15/01/2023"/>
        <s v="CEX PTY LTD PARRAMATTA NS AUS Card xx8188 Value Date: 16/01/2023"/>
        <s v="UBER* EATS SYDNEY NS AUS Card xx8188 Value Date: 14/01/2023"/>
        <s v="MIDJOURNEY INC. SOUTH SAN FRA CA USA Card xx8188 USD 11.00 Value Date: 13/01/2023"/>
        <s v="International Transaction Fee Value Date: 13/01/2023"/>
        <s v="HARRIS FARM MARKETSQPS DRUMMOYNE AUS Card xx8188 Value Date: 15/01/2023"/>
        <s v="DEPOSIT CASH $655.00 CHEQUE $0.00 Branch 300 ELIZABETH ST SYDNEY"/>
        <s v="DEPOSIT CASH $101.00 CHEQUE $0.00 Branch 300 ELIZABETH ST SYDNEY"/>
        <s v="COLES 0849 DRUMMOYNE AU AUS Card xx8188 Value Date: 15/01/2023"/>
        <s v="7-ELEVEN 2048 DRUMMOYNE NS AUS Card xx8188 Value Date: 13/01/2023"/>
        <s v="NASER PTY LIMITED SYDNEY AU"/>
        <s v="OEH KIRRAWEE NS AUS Card xx8188 Value Date: 12/01/2023"/>
        <s v="MIDJOURNEY INC. SOUTH SAN FRA CA USA Card xx8188 USD 20.00 Value Date: 11/01/2023"/>
        <s v="International Transaction Fee Value Date: 10/01/2023"/>
        <s v="IGA DRUMMOYNE QPS DRUMMOYNE AUS Card xx8188 Value Date: 11/01/2023"/>
        <s v="HARRIS FARM MARKETSQPS DRUMMOYNE AUS Card xx8188 Value Date: 11/01/2023"/>
        <s v="Audible Limited AU MELBOURNE AU AUS Card xx8188 Value Date: 10/01/2023"/>
        <s v="UBER *EATS Sydney AU AUS Card xx8188 Value Date: 08/01/2023"/>
        <s v="MIDJOURNEY INC. SOUTH SAN FRA CA USA Card xx8188 USD 4.00 Value Date: 06/01/2023"/>
        <s v="International Transaction Fee Value Date: 06/01/2023"/>
        <s v="International Transaction Fee Value Date: 05/01/2023"/>
        <s v="Da Vinci's Restaurant Summer Hill NS AUS Card xx8188 Value Date: 07/01/2023"/>
        <s v="UBER *EATS Sydney AU AUS Card xx8188 Value Date: 05/01/2023"/>
        <s v="SQ *FAIR TRADE AT THE Summer Hill AU"/>
        <s v="Return Netflix.com Melbourne VI AUS Card xx8188 Value Date: 05/01/2023"/>
        <s v="Return NETFLIX.COM Melbourne AU AUS Card xx8188 Value Date: 05/01/2023"/>
        <s v="Netflix.com Melbourne VI AUS Card xx8188 Value Date: 04/01/2023"/>
        <s v="ARC AT UNSW LTD KENSINGTON AU Card xx8188"/>
        <s v="Entertainment and Rec - Transfer To Jonathan K Oliver CommBank App folamour"/>
        <s v="Salary SERVAUPAYROLL 20071P 85920286"/>
        <s v="COLES 0849 DRUMMOYNE AU AUS Card xx8188 Value Date: 03/01/2023"/>
        <s v="UBER* EATS SYDNEY NS AUS Card xx8188 Value Date: 02/01/2023"/>
        <s v="UBER *EATS Sydney AU AUS Card xx8188 Value Date: 31/12/2022"/>
        <s v="UBER *EATS Sydney AU AUS Card xx8188 Value Date: 29/12/2022"/>
        <s v="SMP*Ralph Lauren 7101 Drummoyne AU AUS Card xx8188 Value Date: 31/12/2022"/>
        <s v="Patreon* Membership INTERNET AUS Card xx8188 Value Date: 02/01/2023"/>
        <s v="IGA DRUMMOYNE QPS DRUMMOYNE AUS Card xx8188 Value Date: 30/12/2022"/>
        <s v="HUGO BOSS Australia Drummoyne AU AUS Card xx8188 Value Date: 31/12/2022"/>
        <s v="HARRIS FARM MARKETS DRUMMOYNE AUS Card xx8188 Value Date: 30/12/2022"/>
        <s v="COLES 0849 DRUMMOYNE AU AUS Card xx8188 Value Date: 02/01/2023"/>
        <s v="APPLE.COM/BILL SYDNEY AU AUS Card xx8188 Value Date: 30/12/2022"/>
        <s v="ACADEMY BRAND - BIRKEN Rosebery AU AUS Card xx8188 Value Date: 31/12/2022"/>
        <s v="Gladesville Sporties Gladesville AU"/>
        <s v="Direct Debit 245164 HCFHEALTHANDLIFE 057233969S6GIUSC4R"/>
        <s v="UBER *EATS Sydney AU AUS Card xx8188 Value Date: 28/12/2022"/>
        <s v="NETFLIX.COM Melbourne AU AUS Card xx8188 Value Date: 29/12/2022"/>
        <s v="Return Netflix.com Melbourne VI AUS Card xx8188 Value Date: 28/12/2022"/>
        <s v="WWW.LALAL.AI ZUG DU CHE Card xx8188 USD 15.00 Value Date: 27/12/2022"/>
        <s v="UNIVERSAL AUDIO 8314401176 CA USA Card xx8188 USD 49.00 Value Date: 25/12/2022"/>
        <s v="UBER *EATS Sydney AU AUS Card xx8188 Value Date: 23/12/2022"/>
        <s v="UBER *EATS Sydney AU AUS Card xx8188 Value Date: 22/12/2022"/>
        <s v="MIDJOURNEY INC. SOUTH SAN FRA CA USA Card xx8188 USD 4.00 Value Date: 23/12/2022"/>
        <s v="LIQUORLAND 3301 DRUMMOYNE AU AUS Card xx8188 Value Date: 24/12/2022"/>
        <s v="International Transaction Fee Value Date: 26/12/2022"/>
        <s v="International Transaction Fee Value Date: 24/12/2022"/>
        <s v="International Transaction Fee Value Date: 23/12/2022"/>
        <s v="DRI*iZotope iZotope.com NS AUS Card xx8188 Value Date: 26/12/2022"/>
        <s v="DESTROS PHARMACY DRUMMOYNE NS AUS Card xx8188 Value Date: 26/12/2022"/>
        <s v="COLES 0849 DRUMMOYNE AU AUS Card xx8188 Value Date: 24/12/2022"/>
        <s v="Transfer To Jonathan K Oliver CommBank App cafe"/>
        <s v="UBER *EATS Sydney AU AUS Card xx8188 Value Date: 21/12/2022"/>
        <s v="Salary SERVAUPAYROLL 20403P 85920286"/>
        <s v="CHARGRILL CHARLIES Drummoyne NS AUS Card xx8188 Value Date: 20/12/2022"/>
        <s v="UBER *EATS Sydney AU AUS Card xx8188 Value Date: 19/12/2022"/>
        <s v="HAYDEN THEATRES CREMORNE AU Card xx8188"/>
        <s v="7-ELEVEN 2048 DRUMMOYNE NS AUS Card xx8188 Value Date: 18/12/2022"/>
        <s v="UBER* EATS SYDNEY NS AUS Card xx8188 Value Date: 17/12/2022"/>
        <s v="UBER *EATS Sydney AU AUS Card xx8188 Value Date: 18/12/2022"/>
        <s v="ROSE TURKISH GOZLEME H DRUMMOYNE AUS Card xx8188 Value Date: 16/12/2022"/>
        <s v="HARRY JUICE &amp; CO PTY L DRUMMOYNE AUS Card xx8188 Value Date: 16/12/2022"/>
        <s v="PRYDE MEATS RYDE AU Card xx8188"/>
        <s v="ETERNAL HEALTH GROUP RYDE NSWAU"/>
        <s v="Telstra Direct Debit AUSTRALIA SA AUS Card xx8188 Value Date: 15/12/2022"/>
        <s v="IGA DRUMMOYNE QPS DRUMMOYNE AUS Card xx8188 Value Date: 15/12/2022"/>
        <s v="TRANSPORTFORNSW TAP SYDNEY AUS Card xx8188 Value Date: 14/12/2022"/>
        <s v="SEOG KYU CHOI DRUMMOYNE AUS Card xx8188 Value Date: 14/12/2022"/>
        <s v="Transfer To Jonathan K Oliver CommBank App bills to date excl water"/>
        <s v="MIDJOURNEY INC. SAN FRANCISCO CA USA Card xx8188 USD 29.39 Value Date: 13/12/2022"/>
        <s v="International Transaction Fee Value Date: 13/12/2022"/>
        <s v="HARRIS FARM MARKETSQPS DRUMMOYNE AUS Card xx8188 Value Date: 13/12/2022"/>
        <s v="CHARGRILL CHARLIES Drummoyne NS AUS Card xx8188 Value Date: 13/12/2022"/>
        <s v="BWS LIQUOR 1601 DRUMMOYNE AU AUS Card xx8188 Value Date: 13/12/2022"/>
        <s v="7-ELEVEN 2048 DRUMMOYNE NS AUS Card xx8188 Value Date: 13/12/2022"/>
        <s v="TRANSPORTFORNSW TAP SYDNEY AUS Card xx8188 Value Date: 13/12/2022"/>
        <s v="GM CABS PTY LTD MASCOT AUS Card xx8188 Value Date: 10/12/2022"/>
        <s v="BAR TOSCA SYDNEY NS AUS Card xx8188 Value Date: 12/12/2022"/>
        <s v="UBER *TRIP Sydney AU AUS Card xx8188 Value Date: 11/12/2022"/>
        <s v="TRANSPORTFORNSW TAP SYDNEY AUS Card xx8188 Value Date: 11/12/2022"/>
        <s v="TRANSPORTFORNSW TAP SYDNEY AUS Card xx8188 Value Date: 10/12/2022"/>
        <s v="SEOG KYU CHOI DRUMMOYNE AUS Card xx8188 Value Date: 09/12/2022"/>
        <s v="Patreon* Membership INTERNET AUS Card xx8188 Value Date: 09/12/2022"/>
        <s v="OFFICEWORKS 0201 FIVE DOCK AU AUS Card xx8188 Value Date: 09/12/2022"/>
        <s v="MEGA LIMITED AUCKLAND NZL Card xx8188 EUR 4.99 Value Date: 09/12/2022"/>
        <s v="MCDONALDS DRUMMOYNE DRUMMOYNE AUS Card xx8188 Value Date: 08/12/2022"/>
        <s v="International Transaction Fee Value Date: 09/12/2022"/>
        <s v="TRANSPORTFORNSW TAP SYDNEY AUS Card xx8188 Value Date: 08/12/2022"/>
        <s v="PHOTOWN Alexandria NS AUS Card xx8188 Value Date: 08/12/2022"/>
        <s v="Transfer To Josh Hatfield CommBank App dinner"/>
        <s v="Netflix.com Melbourne VI AUS Card xx8188 Value Date: 08/12/2022"/>
        <s v="Fast Transfer From MASOUMEH GHOLAMSHAHI Happy Birthday Azizam Mum to U"/>
        <s v="SEOG KYU CHOI DRUMMOYNE AUS Card xx8188 Value Date: 06/12/2022"/>
        <s v="Salary SERVAUPAYROLL 21243P 85920286"/>
        <s v="DRI*iZotope iZotope.com NS AUS Card xx8188 Value Date: 05/12/2022"/>
        <s v="TRANSPORTFORNSW TAP SYDNEY AUS Card xx8188 Value Date: 06/12/2022"/>
        <s v="PHOTOWN Alexandria NS AUS Card xx8188 Value Date: 05/12/2022"/>
        <s v="7-ELEVEN 2118 CAMPERDOWN NS AUS Card xx8188 Value Date: 04/12/2022"/>
        <s v="UBER *EATS Sydney AU AUS Card xx8188 Value Date: 03/12/2022"/>
        <s v="UBER *EATS Sydney AU AUS Card xx8188 Value Date: 02/12/2022"/>
        <s v="Fast Transfer From H Roozbehani Happy birthday Homayoun"/>
        <s v="UNCLE TETSU AUSTRALI SYDNEY AU"/>
        <s v="Transfer To Warren Bishop CommBank App rodney gift"/>
        <s v="REVERB.COM LLC CHICAGO IL USA Card xx8188 USD 63.29 Value Date: 01/12/2022 - Fee for transaction"/>
        <s v="International Transaction Fee Value Date: 01/12/2022"/>
        <s v="Fast Transfer From JONATHAN OLIVER pizza pizza"/>
        <s v="BP EXPRESS 2241 WEST RYDE NS AUS Card xx8188 Value Date: 29/11/2022"/>
        <s v="Direct Debit 245164 HCFHEALTHANDLIFE 057233969SFC78AD9C"/>
        <s v="COLES 0849 DRUMMOYNE AU AUS Card xx8188 Value Date: 28/11/2022"/>
        <s v="Direct Credit 012721 ATO ATO007000017224616"/>
        <s v="Transfer To RAMTEAN ROOZBEHANI CommBank App email server"/>
        <s v="WWRD AUSTRALIA PTY LTD ARNDELL PARK NS AUS Card xx8188 Value Date: 25/11/2022"/>
        <s v="UNIVERSAL AUDIO 8314401176 CA USA Card xx8188 USD 99.00 Value Date: 25/11/2022"/>
        <s v="UNIVERSAL AUDIO 8314401176 CA USA Card xx8188 USD 399.00 Value Date: 25/11/2022"/>
        <s v="UBER* EATS SYDNEY NS AUS Card xx8188 Value Date: 27/11/2022"/>
        <s v="UBER* EATS SYDNEY NS AUS Card xx8188 Value Date: 26/11/2022"/>
        <s v="UBER *EATS Sydney AU AUS Card xx8188 Value Date: 25/11/2022"/>
        <s v="SCORPTEC COMPUTERS AUBURN AU Card xx8188 - Brateck Single Monitor Pole-Mounted Gas Spring Arm,"/>
        <s v="International Transaction Fee Value Date: 24/11/2022"/>
        <s v="DOORDASH*DOS SENORITAS MELBOURNE VI AUS Card xx8188 Value Date: 27/11/2022"/>
        <s v="7-ELEVEN 2048 DRUMMOYNE NS AUS Card xx8188 Value Date: 27/11/2022"/>
        <s v="Direct Credit 617702 PAYPAL AUSTRALIA 1023753557769 Roger Linn Linnstrument"/>
        <s v="Samsung Electronics AU Sydney AU AUS Card xx8188 Value Date: 23/11/2022 - Desktop monitor"/>
        <s v="7-ELEVEN 2048 DRUMMOYNE NS AUS Card xx8188 Value Date: 23/11/2022"/>
        <s v="Salary SERVAUPAYROLL 21515P 85920286"/>
        <s v="COLES 0849 DRUMMOYNE AU AUS Card xx8188 Value Date: 22/11/2022"/>
        <s v="UBER* EATS SYDNEY NS AUS Card xx8188 Value Date: 21/11/2022"/>
        <s v="OFFICEWORKS 0209 GLEBE AU AUS Card xx8188 Value Date: 21/11/2022"/>
        <s v="eBay O*05-09371-02454 San Jose CA USA Card xx8188 AUD 1558.69 Value Date: 21/11/2022 UAD DSP Octo Card"/>
        <s v="UBER* EATS SYDNEY NS AUS Card xx8188 Value Date: 20/11/2022"/>
        <s v="UBER* EATS SYDNEY NS AUS Card xx8188 Value Date: 18/11/2022"/>
        <s v="JAKEREEDMUSIC.COM SOUTH PASADEN CA USA Card xx8188 USD 30.00 Value Date: 19/11/2022"/>
        <s v="International Transaction Fee Value Date: 19/11/2022"/>
        <s v="DOORDASH*DOS SENORITAS MELBOURNE VI AUS Card xx8188 Value Date: 20/11/2022"/>
        <s v="DOORDASH*DOS SENORITAS MELBOURNE VI AUS Card xx8188 Value Date: 19/11/2022"/>
        <s v="Transfer To Jonathan K Oliver CommBank App frappe"/>
        <s v="UBER* EATS SYDNEY NS AUS Card xx8188 Value Date: 16/11/2022"/>
        <s v="DYMOCKS ONLINE SYDNEY AUS Card xx8188 Value Date: 18/11/2022"/>
        <s v="Bowan IslandDrummoyne Drummoyne NS AUS Card xx8188 Value Date: 17/11/2022"/>
        <s v="BELFIELD MUSIC PTY LTD BASS HILL NSW AU Card xx8188 - PKS7902 Support Arm Kit Suit"/>
        <s v="Transfer To Rodney Mazik PayID Phone from CommBank App for sue"/>
        <s v="Transfer To Jonathan K Oliver CommBank App macattack"/>
        <s v="TRANSPORTFORNSW TAP SYDNEY AUS Card xx8188 Value Date: 16/11/2022"/>
        <s v="TICKETEK PTY LTD WEB SYDNEY AUS Card xx8188 Value Date: 16/11/2022"/>
        <s v="Telstra Direct Debit AUSTRALIA SA AUS Card xx8188 Value Date: 16/11/2022"/>
        <s v="PHOTOWN Alexandria NS AUS Card xx8188 Value Date: 15/11/2022"/>
        <s v="JASMIN 1 LEICHHARDT LEICHHARDT NSWAU"/>
        <s v="eBay O*04-09345-39795 Sydney AU AUS Card xx8188 Value Date: 15/11/2022"/>
        <s v="UBER* EATS SYDNEY NS AUS Card xx8188 Value Date: 14/11/2022"/>
        <s v="UBER *EATS Sydney AU AUS Card xx8188 Value Date: 13/11/2022"/>
        <s v="SoundCloud Monthly Go Berlin DE DEU Card xx8188 AUD 5.99 Value Date: 14/11/2022"/>
        <s v="UBER* EATS SYDNEY NS AUS Card xx8188 Value Date: 11/11/2022"/>
        <s v="MIDJOURNEY INC. SAN FRANCISCO CA USA Card xx8188 USD 22.85 Value Date: 13/11/2022"/>
        <s v="International Transaction Fee Value Date: 13/11/2022"/>
        <s v="Fast Transfer From James Mitchell White to PayID Phone Payment 2/2 for Roland Jupiter 80 Keyboard (second hand sale)"/>
        <s v="COLES 0849 DRUMMOYNE AU AUS Card xx8188 Value Date: 12/11/2022"/>
        <s v="Fast Transfer From James Mitchell White to PayID Phone Payment 1/2 for Roland Jupiter 80 (second hand sale)"/>
        <s v="Transfer To Jonathan K Oliver CommBank App rio"/>
        <s v="TRANSPORTFORNSW TAP SYDNEY AUS Card xx8188 Value Date: 10/11/2022"/>
        <s v="CHARGRILL CHARLIES Drummoyne NS AUS Card xx8188 Value Date: 10/11/2022"/>
        <s v="TRANSPORTFORNSW TAP SYDNEY AUS Card xx8188 Value Date: 09/11/2022"/>
        <s v="AGR SERVICES PTY LTD SYDNEY NS AUS Card xx8188 Value Date: 08/11/2022"/>
        <s v="Salary SERVAUPAYROLL 20534P 85920286"/>
        <s v="MASSAGE LINK RYDE NS AUS Card xx8188 Value Date: 07/11/2022"/>
        <s v="HAPPYFIELD Haberfield NS AUS Card xx8188 Value Date: 07/11/2022"/>
        <s v="Crystal Carwash Cafe Haberfield NS AUS Card xx8188 Value Date: 07/11/2022"/>
        <s v="COLES 0849 DRUMMOYNE AU AUS Card xx8188 Value Date: 06/11/2022"/>
        <s v="7-ELEVEN 2048 DRUMMOYNE NS AUS Card xx8188 Value Date: 07/11/2022"/>
        <s v="UBER *EATS Sydney AU AUS Card xx8188 Value Date: 05/11/2022"/>
        <s v="Your Choice Pharmacy Haberfield AU"/>
        <s v="DAVID GOJAK'S MEATS HABERFIELD AU"/>
        <s v="TRANSPORTFORNSW TAP SYDNEY AUS Card xx8188 Value Date: 03/11/2022"/>
        <s v="TRANSPORTFORNSW TAP SYDNEY AUS Card xx8188 Value Date: 02/11/2022"/>
        <s v="Camy's Chargrill SH Surry Hills NS AUS Card xx8188 Value Date: 01/11/2022"/>
        <s v="TRANSPORTFORNSW TAP SYDNEY AUS Card xx8188 Value Date: 01/11/2022"/>
        <s v="SUSHI OTAKU SURRY HILLS NS AUS Card xx8188 Value Date: 31/10/2022"/>
        <s v="UBER *EATS Sydney AU AUS Card xx8188 Value Date: 29/10/2022"/>
        <s v="Direct Debit 245164 HCFHEALTHANDLIFE 057233969SY729ZIC9"/>
        <s v="COLES 0849 DRUMMOYNE AU AUS Card xx8188 Value Date: 30/10/2022"/>
        <s v="Transfer To Jonathan K Oliver CommBank App iou"/>
        <s v="Salary SERVAUPAYROLL 20424P 85920286"/>
        <s v="COLES 0849 DRUMMOYNE AU AUS Card xx8188 Value Date: 24/10/2022"/>
        <s v="TRANSPORTFORNSW TAP SYDNEY AUS Card xx8188 Value Date: 25/10/2022"/>
        <s v="BLACKWALL CAFE CHISWICK AU"/>
        <s v="Transfer To Jonathan K Oliver CommBank App food iou"/>
        <s v="Transfer To Jonathan K Oliver CommBank App weed"/>
        <s v="UBER *EATS Sydney AU AUS Card xx8188 Value Date: 23/10/2022"/>
        <s v="UBER *EATS Sydney AU AUS Card xx8188 Value Date: 22/10/2022"/>
        <s v="UBER *EATS Sydney AU AUS Card xx8188 Value Date: 20/10/2022"/>
        <s v="TRANSPORTFORNSW TAP SYDNEY AUS Card xx8188 Value Date: 24/10/2022"/>
        <s v="Fast Transfer From ZAHRA NOURI EMAMZADEH Zahra Braza"/>
        <s v="BRAZA CHURRASCARIA PTY SYDNEY AU Card xx8188"/>
        <s v="TRANSPORTFORNSW TAP SYDNEY AUS Card xx8188 Value Date: 20/10/2022"/>
        <s v="TRANSPORTFORNSW TAP SYDNEY AUS Card xx8188 Value Date: 19/10/2022"/>
        <s v="Telstra Direct Debit AUSTRALIA SA AUS Card xx8188 Value Date: 18/10/2022"/>
        <s v="COLES 0849 DRUMMOYNE AU AUS Card xx8188 Value Date: 18/10/2022"/>
        <s v="Syd Aprt Intnl Carp50 Sydney NS AUS Card xx8188 Value Date: 17/10/2022"/>
        <s v="Syd Aprt Dom Carp54 Sydney NS AUS Card xx8188 Value Date: 17/10/2022"/>
        <s v="SUSHI OTAKU SURRY HILLS NS AUS Card xx8188 Value Date: 18/10/2022"/>
        <s v="Fast Transfer From Krohn K R to PayID Phone Dinner legend"/>
        <s v="UBER *EATS Sydney AU AUS Card xx8188 Value Date: 17/10/2022"/>
        <s v="WWW.PACIFICCONCE* ME&amp;U THE ROCKS NS AUS Card xx8188 Value Date: 16/10/2022"/>
        <s v="UBER* EATS SYDNEY NS AUS Card xx8188 Value Date: 16/10/2022"/>
        <s v="UBER *EATS Sydney AU AUS Card xx8188 Value Date: 15/10/2022"/>
        <s v="UBER *EATS Sydney AU AUS Card xx8188 Value Date: 13/10/2022"/>
        <s v="TRANSPORTFORNSW TAP SYDNEY AUS Card xx8188 Value Date: 17/10/2022"/>
        <s v="SoundCloud Monthly Go Berlin DE DEU Card xx8188 AUD 5.99 Value Date: 15/10/2022"/>
        <s v="ROSE TURKISH GOZLEME H DRUMMOYNE AUS Card xx8188 Value Date: 14/10/2022"/>
        <s v="MANNYS Alexandria NS AUS Card xx8188 Value Date: 15/10/2022"/>
        <s v="HOKKA HOKKA DRUMMOYNE NS AUS Card xx8188 Value Date: 14/10/2022"/>
        <s v="COLES 0849 DRUMMOYNE AU AUS Card xx8188 Value Date: 14/10/2022"/>
        <s v="WINGHAUS GATEWAY Sydney AU"/>
        <s v="UBER *EATS Sydney AU AUS Card xx8188 Value Date: 12/10/2022"/>
        <s v="TRANSPORTFORNSW TAP SYDNEY AUS Card xx8188 Value Date: 13/10/2022"/>
        <s v="Return MIDJOURNEY INC. SAN FRANCISCO CA USA Card xx8188 USD 11.00 Value Date: 13/10/2022"/>
        <s v="MIDJOURNEY INC. SAN FRANCISCO CA USA Card xx8188 USD 11.00 Value Date: 13/10/2022"/>
        <s v="International Transaction Fee Value Date: 13/10/2022"/>
        <s v="TRANSPORTFORNSW TAP SYDNEY AUS Card xx8188 Value Date: 12/10/2022"/>
        <s v="PHOTOWN Alexandria NS AUS Card xx8188 Value Date: 12/10/2022"/>
        <s v="Salary SERVAUPAYROLL 20263P 85920286"/>
        <s v="TRANSPORTFORNSW TAP SYDNEY AUS Card xx8188 Value Date: 11/10/2022"/>
        <s v="DESTROS PHARMACY DRUMMOYNE NS AUS Card xx8188 Value Date: 08/10/2022"/>
        <s v="COLES 0849 DRUMMOYNE AU AUS Card xx8188 Value Date: 10/10/2022"/>
        <s v="UBER *TRIP Sydney AU AUS Card xx8188 Value Date: 09/10/2022"/>
        <s v="MIDJOURNEY INC. SAN FRANCISCO CA USA Card xx8188 USD 11.00 Value Date: 07/10/2022"/>
        <s v="International Transaction Fee Value Date: 06/10/2022"/>
        <s v="EG GROUP 1296 WEST RYDE AU AUS Card xx8188 Value Date: 08/10/2022"/>
        <s v="Wdl ATM ETX Odeon Plaza OS Drummoyne AU"/>
        <s v="UBER *EATS Sydney AU AUS Card xx8188 Value Date: 03/10/2022"/>
        <s v="TRANSPORTFORNSW TAP SYDNEY AUS Card xx8188 Value Date: 05/10/2022"/>
        <s v="COLES 0849 DRUMMOYNE AU AUS Card xx8188 Value Date: 04/10/2022"/>
        <s v="UBER *EATS Sydney AU AUS Card xx8188 Value Date: 01/10/2022"/>
        <s v="DOORDASH*OPORTO MELBOURNE VI AUS Card xx8188 Value Date: 02/10/2022"/>
        <s v="Direct Debit 245164 HCFHEALTHANDLIFE 057233969SKO0YSQOB"/>
        <s v="TRANSPORTFORNSW TAP SYDNEY AUS Card xx8188 Value Date: 28/09/2022"/>
        <s v="Salary SERVAUPAYROLL 20222P 85920286"/>
        <s v="BAR TOSCA SYDNEY NS AUS Card xx8188 Value Date: 27/09/2022"/>
        <s v="UBER *EATS Sydney AU AUS Card xx8188 Value Date: 25/09/2022"/>
        <s v="TRANSPORTFORNSW TAP SYDNEY AUS Card xx8188 Value Date: 27/09/2022"/>
        <s v="SUBWAY HAYMARKET SYDNEY NS AUS Card xx8188 Value Date: 26/09/2022"/>
        <s v="PHOTOWN Alexandria NS AUS Card xx8188 Value Date: 26/09/2022"/>
        <s v="GM CABS PTY LTD MASCOT AUS Card xx8188 Value Date: 25/09/2022"/>
        <s v="UBER *TRIP Sydney AU AUS Card xx8188 Value Date: 24/09/2022"/>
        <s v="SMP*Ralph Lauren 7101 Drummoyne AU AUS Card xx8188 Value Date: 24/09/2022"/>
        <s v="Return No account or incorrect account no Kris Gusti Johns Bucks Value Date: 26/09/2022"/>
        <s v="IGA ABBOTSFORD WAREEMBA AU Card xx8188"/>
        <s v="Fast Transfer From KRISTOFER GUSTI Payback"/>
        <s v="Entertainment and Rec - Transfer To Kris Gusti CommBank App johns bucks"/>
        <s v="Entertainment and Rec - Transfer To Kris Gusti CommBank App entertainment"/>
        <s v="Transfer To Alex Grierson CommBank App dinner"/>
        <s v="Surly's Surry Hills AU"/>
        <s v="PICTON KARTING TRACK PICTON NSWAU"/>
        <s v="MCDONALDS CROYDON PRK CROYDON PARK NSWAU"/>
        <s v="LIQUOR ON OXFORD DARLINGHURST AU Card xx8188"/>
        <s v="Transfer to other Bank NetBank Johns Bucks"/>
        <s v="COLES 0849 DRUMMOYNE AU AUS Card xx8188 Value Date: 19/09/2022"/>
        <s v="UBER *EATS Sydney AU AUS Card xx8188 Value Date: 18/09/2022"/>
        <s v="SoundCloud Monthly Go Berlin DE DEU Card xx8188 AUD 5.99 Value Date: 15/09/2022"/>
        <s v="TRANSPORTFORNSW TAP SYDNEY AUS Card xx8188 Value Date: 15/09/2022"/>
        <s v="Telstra Direct Debit AUSTRALIA SA AUS Card xx8188 Value Date: 14/09/2022"/>
        <s v="BAR TOSCA SYDNEY NS AUS Card xx8188 Value Date: 14/09/2022"/>
        <s v="TRANSPORTFORNSW TAP SYDNEY AUS Card xx8188 Value Date: 14/09/2022"/>
        <s v="SUSHI OTAKU SURRY HILLS NS AUS Card xx8188 Value Date: 13/09/2022"/>
        <s v="COLES 0849 DRUMMOYNE AU AUS Card xx8188 Value Date: 12/09/2022"/>
        <s v="UBER *EATS Sydney AU AUS Card xx8188 Value Date: 11/09/2022"/>
        <s v="COLES 0849 DRUMMOYNE AU AUS Card xx8188 Value Date: 10/09/2022"/>
        <s v="Audible Limited AU MELBOURNE AU AUS Card xx8188 Value Date: 10/09/2022"/>
        <s v="BUNNINGS 370000 ALEXANDRIA AU Card xx8188"/>
        <s v="TRANSPORTFORNSW TAP SYDNEY AUS Card xx8188 Value Date: 07/09/2022"/>
        <s v="TRANSPORTFORNSW TAP SYDNEY AUS Card xx8188 Value Date: 06/09/2022"/>
        <s v="PHOTOWN Alexandria NS AUS Card xx8188 Value Date: 05/09/2022"/>
        <s v="GM CABS PTY LTD MASCOT AUS Card xx8188 Value Date: 05/09/2022"/>
        <s v="COLES 0849 DRUMMOYNE AU AUS Card xx8188 Value Date: 05/09/2022"/>
        <s v="CCWEB SDRO PARRAMATTA NS AUS Card xx8188 Value Date: 04/09/2022"/>
        <s v="ALH VENUES 8758 MANLY AU AUS Card xx8188 Value Date: 05/09/2022"/>
        <s v="MANNYS Alexandria NS AUS Card xx8188 Value Date: 02/09/2022"/>
        <s v="Opera Bar Sydney AU"/>
        <s v="TRANSPORTFORNSW TAP SYDNEY AUS Card xx8188 Value Date: 01/09/2022"/>
        <s v="PHOTOWN Alexandria NS AUS Card xx8188 Value Date: 31/08/2022"/>
        <s v="COLES 0849 DRUMMOYNE AU AUS Card xx8188 Value Date: 31/08/2022"/>
        <s v="TRANSPORTFORNSW TAP SYDNEY AUS Card xx8188 Value Date: 31/08/2022"/>
        <s v="SUSHI OTAKU SURRY HILLS NS AUS Card xx8188 Value Date: 30/08/2022"/>
        <s v="Salary SERVAUPAYROLL 20215P 85920286"/>
        <s v="Direct Debit 245164 HCFHEALTHANDLIFE 057233969SQ7DK2GGM"/>
        <s v="COLES 0849 DRUMMOYNE AU AUS Card xx8188 Value Date: 29/08/2022"/>
        <s v="TRANSPORTFORNSW TAP SYDNEY AUS Card xx8188 Value Date: 30/08/2022"/>
        <s v="AREZZO JEWELLERY TOP RYDE NS AUS Card xx8188 Value Date: 28/08/2022"/>
        <s v="Mr Cutz Top Ryde NS AUS Card xx8188 Value Date: 28/08/2022"/>
        <s v="DOORDASH*FORLI RISTORA MELBOURNE VI AUS Card xx8188 Value Date: 27/08/2022"/>
        <s v="Wdl ATM NAB NAB ATM SH LG2 1028 AU"/>
        <s v="SMP*Dominos Pizza Drum Drummoyne02 AU"/>
        <s v="Priceland Ryde AU"/>
        <s v="COVAU PTY LIMITED SYDNEY AU Card xx8188"/>
        <s v="WW METRO 1669 SURRY HILLS AU AUS Card xx8188 Value Date: 23/08/2022"/>
        <s v="WOOLWORTHS 1248 SYDNEY AU AUS Card xx8188 Value Date: 23/08/2022"/>
        <s v="TRANSPORTFORNSW TAP SYDNEY AUS Card xx8188 Value Date: 24/08/2022"/>
        <s v="SPEEDWAY WEST RYDE WEST RYDE NS AUS Card xx8188 Value Date: 22/08/2022"/>
        <s v="Umart Online Milton AU AUS Card xx8188 Value Date: 22/08/2022"/>
        <s v="TRANSPORTFORNSW TAP SYDNEY AUS Card xx8188 Value Date: 23/08/2022"/>
        <s v="SUSHI OTAKU SURRY HILLS NS AUS Card xx8188 Value Date: 22/08/2022"/>
        <s v="MCDONALDS DRUMMOYNE DRUMMOYNE AUS Card xx8188 Value Date: 21/08/2022"/>
        <s v="COLES 0849 DRUMMOYNE AU AUS Card xx8188 Value Date: 21/08/2022"/>
        <s v="Umart Online Milton AU AUS Card xx8188 Value Date: 21/08/2022"/>
        <s v="BAHAR SPRING PTY. LI RYDE NS AUS Card xx8188 Value Date: 19/08/2022"/>
        <s v="Fast Transfer From ZAHRA NOURI EMAMZADEH Zahra coffee"/>
        <s v="SP DUTCHVINYL ABBOTSFORD VI AUS Card xx8188 Value Date: 18/08/2022"/>
        <s v="Fast Transfer From ZAHRA NOURI EMAMZADEH Zahra Dinner and coffee"/>
        <s v="TRANSPORTFORNSW TAP SYDNEY AUS Card xx8188 Value Date: 18/08/2022"/>
        <s v="SQ *FARSI RESTAURANT Ryde AU"/>
        <s v="SERVICE NSW 4007 HAYMARKET AUS Card xx8188 Value Date: 17/08/2022"/>
        <s v="PHOTOWN Alexandria NS AUS Card xx8188 Value Date: 17/08/2022"/>
        <s v="ALDI STORES - GLADESVI GLADESVILLE AU Card xx8188"/>
        <s v="TRANSPORTFORNSW TAP SYDNEY AUS Card xx8188 Value Date: 17/08/2022"/>
        <s v="Telstra Direct Debit AUSTRALIA SA AUS Card xx8188 Value Date: 16/08/2022"/>
        <s v="SUBWAY HAYMARKET SYDNEY NS AUS Card xx8188 Value Date: 16/08/2022"/>
        <s v="SoundCloud Monthly Go Berlin DE DEU Card xx8188 AUD 5.99 Value Date: 16/08/2022"/>
        <s v="Salary SERVAUPAYROLL 20254P 85920286"/>
        <s v="PHOTOWN Alexandria NS AUS Card xx8188 Value Date: 16/08/2022"/>
        <s v="NRMA HUT HURSTVILLE NS AUS Card xx8188 Value Date: 16/08/2022"/>
        <s v="SDRO INFRNGMNT PAYME MAITLAND NS AUS Card xx8188 Value Date: 14/08/2022"/>
        <s v="Fast Transfer From BISHOP WARREN GRANT to PayID Phone CLINTON GIFT"/>
        <s v="COLES 0849 DRUMMOYNE AU AUS Card xx8188 Value Date: 15/08/2022"/>
        <s v="UBER *EATS Sydney AU AUS Card xx8188 Value Date: 13/08/2022"/>
        <s v="Fast Transfer From Mr Jolan Warren Clinton Monkey Power"/>
        <s v="Fast Transfer From Chris McMahon Clinton gift"/>
        <s v="DOORDASH*DOS SENORITAS MELBOURNE VI AUS Card xx8188 Value Date: 14/08/2022"/>
        <s v="Direct Credit 027571 D A ZAPPACOSTA Clinton"/>
        <s v="Fast Transfer From Sue M Hamilton From sue for clinton from Sue for Clinton"/>
        <s v="Fast Transfer From RODNEY MAZIK Rod4Clinton"/>
        <s v="Fast Transfer From YIXUAN LIAO to PayID Phone Moog Lp thanks"/>
        <s v="Transfer To Jonathan K Oliver CommBank App pizza"/>
        <s v="COLES 0849 DRUMMOYNE AU AUS Card xx8188 Value Date: 09/08/2022"/>
        <s v="Audible Limited AU MELBOURNE AU AUS Card xx8188 Value Date: 10/08/2022"/>
        <s v="WW METRO 1669 SURRY HILLS AU AUS Card xx8188 Value Date: 09/08/2022"/>
        <s v="TRANSPORTFORNSW TAP SYDNEY AUS Card xx8188 Value Date: 10/08/2022"/>
        <s v="SQ *ELIZABETH STREET Surry Hills AU AUS Card xx8188 Value Date: 08/08/2022"/>
        <s v="PHOTOWN Alexandria NS AUS Card xx8188 Value Date: 09/08/2022"/>
        <s v="7-ELEVEN 2048 DRUMMOYNE NS AUS Card xx8188 Value Date: 09/08/2022"/>
        <s v="TRANSPORTFORNSW TAP SYDNEY AUS Card xx8188 Value Date: 09/08/2022"/>
        <s v="COLES 0849 DRUMMOYNE AU AUS Card xx8188 Value Date: 07/08/2022"/>
        <s v="UBER *EATS Sydney AU AUS Card xx8188 Value Date: 07/08/2022"/>
        <s v="UBER *EATS Sydney AU AUS Card xx8188 Value Date: 04/08/2022"/>
        <s v="TRANSPORTFORNSW TAP SYDNEY AUS Card xx8188 Value Date: 06/08/2022"/>
        <s v="ROZELLE AUTOMOTIVE ROZELLE NS AUS Card xx8188 Value Date: 05/08/2022"/>
        <s v="TENKOMORI SYDNEY AU Card xx8188"/>
        <s v="Transfer To Joseph Sallustio CommBank App birthday lunch"/>
        <s v="Transfer To Peter Johnson CommBank App karaoke"/>
        <s v="TRANSPORTFORNSW TAP SYDNEY AUS Card xx8188 Value Date: 05/08/2022"/>
        <s v="KARAOKE WORLD SYDNEY NSWAU"/>
        <s v="SDRO INFRNGMNT PAYME MAITLAND NS AUS Card xx8188 Value Date: 02/08/2022"/>
        <s v="DOORDASH*MCDONALDS MELBOURNE VI AUS Card xx8188 Value Date: 03/08/2022"/>
        <s v="COLES 0849 DRUMMOYNE AU AUS Card xx8188 Value Date: 03/08/2022"/>
        <s v="Salary SERVAUPAYROLL 20274P 85920286"/>
        <s v="TRANSPORTFORNSW TAP SYDNEY AUS Card xx8188 Value Date: 02/08/2022"/>
        <s v="GM CABS PTY LTD MASCOT AUS Card xx8188 Value Date: 30/07/2022"/>
        <s v="COLES 0849 DRUMMOYNE AU AUS Card xx8188 Value Date: 31/07/2022"/>
        <s v="UBER* TRIP SYDNEY NS AUS Card xx8188 Value Date: 31/07/2022"/>
        <s v="Tickets-SUTRA SUNRISE MCMAHONS POIN AU AUS Card xx8188 Value Date: 30/07/2022"/>
        <s v="Sackville Hotel Rozelle NS AUS Card xx8188 Value Date: 30/07/2022"/>
        <s v="BRIDGE HOTEL ROZELLE ROZELLE NS AUS Card xx8188 Value Date: 31/07/2022"/>
        <s v="Direct Debit 245164 HCFHEALTHANDLIFE 057233969S8MZCF4XB"/>
        <s v="Wdl ATM CAS BOWCLIFF PTY LTD ROZELLE NS AU"/>
        <s v="Fast Transfer From NATHAN SINGH to PayID Phone Foodie"/>
        <s v="WTW FOOD PTY LTD BURWOOD NS AUS Card xx8188 Value Date: 27/07/2022"/>
        <s v="TRANSPORTFORNSW TAP SYDNEY AUS Card xx8188 Value Date: 28/07/2022"/>
        <s v="BAR TOSCA SYDNEY NS AUS Card xx8188 Value Date: 27/07/2022"/>
        <s v="WOOLWORTHS 1248 SYDNEY AU AUS Card xx8188 Value Date: 26/07/2022"/>
        <s v="TRANSPORTFORNSW TAP SYDNEY AUS Card xx8188 Value Date: 27/07/2022"/>
        <s v="TRANSPORTFORNSW TAP SYDNEY AUS Card xx8188 Value Date: 26/07/2022"/>
        <s v="EMPANADAS FACTORY ROZELLE NS AUS Card xx8188 Value Date: 24/07/2022"/>
        <s v="DA JIAN CHEN BURWOOD AU"/>
        <s v="CHEMIST WAREHOUSE BIRK DRUMMOYNE NS AUS Card xx8188 Value Date: 23/07/2022"/>
        <s v="BAR TOSCA SYDNEY NS AUS Card xx8188 Value Date: 25/07/2022"/>
        <s v="SQ *ELIZABETH STREET Surry Hills AU"/>
        <s v="MEANDU *ROCKPOOL DININ Surry Hills AU AUS Card xx8188 Value Date: 23/07/2022"/>
        <s v="LEICHHARDT MUNICIPAL C LEICHHARDT AU AUS Card xx8188 Value Date: 24/07/2022"/>
        <s v="JAIPUR SWEETS HARRIS PARK AU"/>
        <s v="DOORDASH*LITTLE NEPAL MELBOURNE VI AUS Card xx8188 Value Date: 24/07/2022"/>
        <s v="DOORDASH*DOS SENORITAS MELBOURNE VI AUS Card xx8188 Value Date: 22/07/2022"/>
        <s v="COLES 0849 DRUMMOYNE AU AUS Card xx8188 Value Date: 23/07/2022"/>
        <s v="BEATPORT 720-974-9500 CO USA Card xx8188 AUD 7.89 Value Date: 24/07/2022"/>
        <s v="UBER *EATS Sydney AU AUS Card xx8188 Value Date: 18/07/2022"/>
        <s v="Salary SERVAUPAYROLL 20074P 85920286"/>
        <s v="PASTIZZI CAFE PL NEWTOWN NS AUS Card xx8188 Value Date: 17/07/2022"/>
        <s v="Telstra Direct Debit AUSTRALIA SA AUS Card xx8188 Value Date: 15/07/2022"/>
        <s v="SoundCloud Monthly Go Berlin DE DEU Card xx8188 AUD 5.99 Value Date: 17/07/2022"/>
        <s v="Direct Debit 502642 Telecom Billing 3014468:5544121:16"/>
        <s v="Fast Transfer From ZAHRA NOURI EMAMZADEH Zahra food"/>
        <s v="Transfer To Zahra Nouri Emamzadeh CommBank App food iou"/>
        <s v="General&amp;Co Lobby Bar Lilyfield AU"/>
        <s v="UBER *EATS Sydney AU AUS Card xx8188 Value Date: 10/07/2022"/>
        <s v="DESTROS PHARMACY DRUMMOYNE NS AUS Card xx8188 Value Date: 08/07/2022"/>
        <s v="Audible Limited AU MELBOURNE AU AUS Card xx8188 Value Date: 10/07/2022"/>
        <s v="7-ELEVEN 2048 DRUMMOYNE NS AUS Card xx8188 Value Date: 07/07/2022"/>
        <s v="Salary SERVAUPAYROLL 20283P 85920286"/>
        <s v="COLES 0849 DRUMMOYNE AU AUS Card xx8188 Value Date: 04/07/2022"/>
        <s v="Winona Wine Manly NS AUS Card xx8188 Value Date: 02/07/2022"/>
        <s v="ALDI STORES - DRUMMOYN DRUMMOYNE AU Card xx8188"/>
        <s v="MCDONALDS CREMORNE CREMORNE NSWAU"/>
        <s v="SQ *LABEL Brookvale AU Value Date: 03/07/2022"/>
        <s v="Direct Debit 245164 HCFHEALTHANDLIFE 057233969SDJN6SBEJ"/>
        <s v="TRANSPORTFORNSW TAP SYDNEY AUS Card xx8188 Value Date: 26/06/2022"/>
        <s v="Menulog Pty Ltd Sydney AU AUS Card xx8188 Value Date: 24/06/2022"/>
        <s v="LIQUORLAND 3301 DRUMMOYNE AU AUS Card xx8188 Value Date: 26/06/2022"/>
        <s v="Jimmy's Falafel Sydney NS AUS Card xx8188 Value Date: 25/06/2022"/>
        <s v="COLES 0849 DRUMMOYNE AU AUS Card xx8188 Value Date: 26/06/2022"/>
        <s v="SQ *SUBWAY RESTRAUNT Sydney AU"/>
        <s v="Transfer From FIZZAH SALAHUDDIN Devina Dinner Value Date: 25/06/2022"/>
        <s v="Transfer From JOSHUA HATFIELD to PayID Phone dinner"/>
        <s v="Salary SERVAUPAYROLL 21223P 85920286"/>
        <s v="SPEEDWAY WEST RYDE WEST RYDE NS AUS Card xx8188 Value Date: 18/06/2022"/>
        <s v="COLES 0849 DRUMMOYNE AU AUS Card xx8188 Value Date: 20/06/2022"/>
        <s v="SoundCloud Monthly Go Berlin DE DEU Card xx8188 AUD 5.99 Value Date: 17/06/2022"/>
        <s v="Direct Credit 301500 Rent Trust Accou Inv Crd Gas"/>
        <s v="COLES 0849 DRUMMOYNE AU AUS Card xx8188 Value Date: 17/06/2022"/>
        <s v="Direct Debit 314011 SUMO PAYWAY3233074445"/>
        <s v="Direct Credit 371474 RENTALBONDBOARD T030465-2 2 / 3"/>
        <s v="TRANSPORTFORNSW TAP SYDNEY AUS Card xx8188 Value Date: 17/06/2022"/>
        <s v="MPAY.COM.AU ONE TAXI BELMORE NS AUS Card xx8188 Value Date: 16/06/2022"/>
        <s v="COLES 5801 RYDE AU AUS Card xx8188 Value Date: 15/06/2022"/>
        <s v="7-ELEVEN 2048 DRUMMOYNE NS AUS Card xx8188 Value Date: 15/06/2022"/>
        <s v="TICKETS* 3 HARPS SURRY HILLS NS AUS Card xx8188 Value Date: 15/06/2022"/>
        <s v="Telstra Direct Debit AUSTRALIA SA AUS Card xx8188 Value Date: 15/06/2022"/>
        <s v="UBER* EATS SYDNEY NS AUS Card xx8188 Value Date: 14/06/2022"/>
        <s v="SQ *STROOPBROS The Rocks AU"/>
        <s v="SQ *NOMAD BREWING CO. Darlinghurst AU"/>
        <s v="SQ *EMMY GOZLEME The Rocks AU"/>
        <s v="SQ *BIG TONY CANOLI BA The Rocks AU"/>
        <s v="Direct Debit 502642 Telecom Billing 3014468:5540486:16"/>
        <s v="Transfer From ZAHRA NOURI EMAMZADEH zahra joon pizza"/>
        <s v="RT &amp; SD PTY LTD RYDE AU Card xx8188"/>
        <s v="TRANSPORTFORNSW TAP SYDNEY AUS Card xx8188 Value Date: 11/06/2022"/>
        <s v="LIQUORLAND 3463 HUNTERS HILL AU AUS Card xx8188 Value Date: 12/06/2022"/>
        <s v="BEATPORT 720-974-9500 CO USA Card xx8188 AUD 2.63 Value Date: 10/06/2022"/>
        <s v="Audible Limited AU MELBOURNE AU AUS Card xx8188 Value Date: 10/06/2022"/>
        <s v="ANDERSEN'S OF DENMAR COOGEE NS AUS Card xx8188 Value Date: 10/06/2022"/>
        <s v="Transfer From MASOUMEH GHOLAMSHAHI CREDIT TO ACCOUNT"/>
        <s v="Transfer To MASOUMEH GHOLAMSHAHI CommBank App cafe iou"/>
        <s v="TRANSPORTFORNSW TAP SYDNEY AUS Card xx8188 Value Date: 09/06/2022"/>
        <s v="SURRYHILLS NEWSAGENT SURRY HILLS NS AUS Card xx8188 Value Date: 08/06/2022"/>
        <s v="SDRO INFRNGMNT PAYME MAITLAND NS AUS Card xx8188 Value Date: 08/06/2022"/>
        <s v="BAR TOSCA SYDNEY NS AUS Card xx8188 Value Date: 08/06/2022"/>
        <s v="TRANSPORTFORNSW TAP SYDNEY AUS Card xx8188 Value Date: 08/06/2022"/>
        <s v="Direct Credit 301500 Rent Trust Accou Gas"/>
        <s v="COLES 5801 RYDE AU AUS Card xx8188 Value Date: 06/06/2022"/>
        <s v="TRANSPORTFORNSW TAP SYDNEY AUS Card xx8188 Value Date: 07/06/2022"/>
        <s v="GYG Top Ryde Ryde NS AUS Card xx8188 Value Date: 06/06/2022"/>
        <s v="BAHAR SPRING PTY. LI RYDE NS AUS Card xx8188 Value Date: 06/06/2022"/>
        <s v="UBER *EATS Sydney AU AUS Card xx8188 Value Date: 05/06/2022"/>
        <s v="SDRO INFRNGMNT PAYME MAITLAND NS AUS Card xx8188 Value Date: 02/06/2022"/>
        <s v="EMPANADAS FACTORY ROZELLE NS AUS Card xx8188 Value Date: 04/06/2022"/>
        <s v="1CASTLE HILL HS 8382 CASTLE HILL NS AUS Card xx8188 Value Date: 03/06/2022"/>
        <s v="WOOLWORTHS 1339 RYDE AU AUS Card xx8188 Value Date: 02/06/2022"/>
        <s v="SILVER SPOON BISTRO SURRY HILLS NS AUS Card xx8188 Value Date: 01/06/2022"/>
        <s v="TRANSPORTFORNSW TAP SYDNEY AUS Card xx8188 Value Date: 02/06/2022"/>
        <s v="BAHAR SPRING PTY. LI RYDE NS AUS Card xx8188 Value Date: 01/06/2022"/>
        <s v="WOOLWORTHS 1339 RYDE AU AUS Card xx8188 Value Date: 31/05/2022"/>
        <s v="REBEL TOP RYDE TOP RYDE NS AUS Card xx8188 Value Date: 30/05/2022"/>
        <s v="OFFICEWORKS 0209 GLEBE AU AUS Card xx8188 Value Date: 31/05/2022"/>
        <s v="DIVVY Parking divvy.com.au AU AUS Card xx8188 Value Date: 31/05/2022"/>
        <s v="Direct Credit 301500 Rent Trust Accou Inv Crd ROOZBEHANI"/>
        <s v="WOOLWORTHS 1339 RYDE AU AUS Card xx8188 Value Date: 30/05/2022"/>
        <s v="UBER *EATS Sydney AU AUS Card xx8188 Value Date: 29/05/2022"/>
        <s v="Transfer From ZAHRA NOURI EMAMZADEH zahra food and groceries"/>
        <s v="KMART 1251 Top Ryde AU AUS Card xx8188 Value Date: 30/05/2022"/>
        <s v="Direct Debit 245164 HCFHEALTHANDLIFE 057233969S5J1IZZPM"/>
        <s v="UBER *EATS Sydney AU AUS Card xx8188 Value Date: 28/05/2022"/>
        <s v="GOOGLE*MARTIN LINDAU SYDNEY AU AUS Card xx8188 Value Date: 29/05/2022"/>
        <s v="COLES 0846 LEICHHARDT AU AUS Card xx8188 Value Date: 27/05/2022"/>
        <s v="Bowan IslandDrummoyne Drummoyne NS AUS Card xx8188 Value Date: 29/05/2022"/>
        <s v="Transfer To Jonathan K Oliver NetBank Rent"/>
        <s v="ALDI STORES - RYDE RYDE AU Card xx8188"/>
        <s v="WOOLWORTHS 1339 RYDE AU AUS Card xx8188 Value Date: 26/05/2022"/>
        <s v="SPEEDWAY WEST RYDE WEST RYDE NS AUS Card xx8188 Value Date: 26/05/2022"/>
        <s v="CHARGRILL CHARLIES Drummoyne NS AUS Card xx8188 Value Date: 26/05/2022"/>
        <s v="7-ELEVEN 2048 DRUMMOYNE NS AUS Card xx8188 Value Date: 26/05/2022"/>
        <s v="Transfer To RAMTEAN ROOZBEHANI CommBank App food iou"/>
        <s v="WOOLWORTHS 1248 SYDNEY AU AUS Card xx8188 Value Date: 25/05/2022"/>
        <s v="TRANSPORTFORNSW TAP SYDNEY AUS Card xx8188 Value Date: 26/05/2022"/>
        <s v="Hungry Jacks Ryde AU"/>
        <s v="EVENT CINEMAS MACQUA MACQUARIE PARAU Card xx8188"/>
        <s v="WOOLWORTHS 1248 SYDNEY AU AUS Card xx8188 Value Date: 24/05/2022"/>
        <s v="TRANSPORTFORNSW TAP SYDNEY AUS Card xx8188 Value Date: 25/05/2022"/>
        <s v="Salary SERVAUPAYROLL 20242P 85920286"/>
        <s v="WOOLWORTHS 1248 SYDNEY AU AUS Card xx8188 Value Date: 23/05/2022"/>
        <s v="TRANSPORTFORNSW TAP SYDNEY AUS Card xx8188 Value Date: 24/05/2022"/>
        <s v="OXFORD WORLD SQUARE SYDNEY AU AUS Card xx8188 Value Date: 23/05/2022"/>
        <s v="CITYOFSYDNEY PARKING SYDNEY AUS Card xx8188 Value Date: 21/05/2022"/>
        <s v="BP EX PENINSULA 9540 MONA VALE NS AUS Card xx8188 Value Date: 22/05/2022"/>
        <s v="UBER *EATS Sydney AU AUS Card xx8188 Value Date: 21/05/2022"/>
        <s v="UBER *EATS Sydney AU AUS Card xx8188 Value Date: 20/05/2022"/>
        <s v="The Newport Newport NS AUS Card xx8188 Value Date: 22/05/2022"/>
        <s v="THE LITTLE SNAIL RES PYRMONT NS AUS Card xx8188 Value Date: 21/05/2022"/>
        <s v="KMART 1155 BROADWAY AU AUS Card xx8188 Value Date: 21/05/2022"/>
        <s v="COLES 0839 BROADWAY AU AUS Card xx8188 Value Date: 21/05/2022"/>
        <s v="DOYTAO DRUMMOYNE PTY FIVE DOCK AU"/>
        <s v="Transfer From Miss Rozalie Lakin to PayID Phone Clothes rack"/>
        <s v="COLES 0849 DRUMMOYNE AU AUS Card xx8188 Value Date: 19/05/2022"/>
        <s v="7-ELEVEN 2048 DRUMMOYNE NS AUS Card xx8188 Value Date: 19/05/2022"/>
        <s v="SoundCloud Monthly Go Berlin DE DEU Card xx8188 AUD 5.99 Value Date: 18/05/2022"/>
        <s v="Transfer From ENZO TEIXEIRA DESTRO to PayID Phone Fridge"/>
        <s v="Telstra Direct Debit AUSTRALIA SA AUS Card xx8188 Value Date: 17/05/2022"/>
        <s v="Transfer To RAMTEAN ROOZBEHANI CommBank App SC campaign"/>
        <s v="UBER *EATS Sydney AU AUS Card xx8188 Value Date: 15/05/2022"/>
        <s v="TRANSPORTFORNSW TAP SYDNEY AUS Card xx8188 Value Date: 17/05/2022"/>
        <s v="MARBRAND PTY LTD SYDNEY NS AUS Card xx8188 Value Date: 14/05/2022"/>
        <s v="UBER *TRIP Sydney AU AUS Card xx8188 Value Date: 15/05/2022"/>
        <s v="UBER *TRIP Sydney AU AUS Card xx8188 Value Date: 14/05/2022"/>
        <s v="SURRY HILLS FINE WIN SURRY HILLS NS AUS Card xx8188 Value Date: 14/05/2022"/>
        <s v="El Loco @ Slip Inn Sydney NS AUS Card xx8188 Value Date: 14/05/2022"/>
        <s v="Direct Debit 502642 Telecom Billing 3014468:5539240:16"/>
        <s v="Wdl ATM ETX MOUBIN PTY LTD SYDNEY AU"/>
        <s v="Wdl ATM ETX MOUBIN PTY LTD SYDNEY AU Value Date: 15/05/2022"/>
        <s v="Non CBA ATM Withdrawal Fee Value Date: 15/05/2022"/>
        <s v="MCDONALDS WATERLOO WATERLOO NSWAU"/>
        <s v="B&amp;W Cabs NSW 133222 TEMPE AU"/>
        <s v="Transfer From VICKY LUKMANA to PayID Phone Washer"/>
        <s v="Salary SERVAUPAYROLL 20112P 85920286"/>
        <s v="COLES 0849 DRUMMOYNE AU AUS Card xx8188 Value Date: 10/05/2022"/>
        <s v="Audible Limited AU MELBOURNE AU AUS Card xx8188 Value Date: 10/05/2022"/>
        <s v="TRANSPORTFORNSW TAP SYDNEY AUS Card xx8188 Value Date: 10/05/2022"/>
        <s v="Transfer To Zahra Nouri Emamzadeh CommBank App iou cab"/>
        <s v="Love Crepe Russell Lea NS AUS Card xx8188 Value Date: 07/05/2022"/>
        <s v="Transfer From BISHOP WARREN GRANT to PayID Phone Dumpling"/>
        <s v="ALLEGRIA FLR &amp; HMWRE WAREEMBA NSWAU"/>
        <s v="HARRIS FARM MARKETSQPS DRUMMOYNE AUS Card xx8188 Value Date: 05/05/2022"/>
        <s v="COLES 0849 DRUMMOYNE AU AUS Card xx8188 Value Date: 03/05/2022"/>
        <s v="Transfer To Zahra Nouri Emamzadeh CommBank App flowers for pari"/>
        <s v="7-ELEVEN 2048 DRUMMOYNE NS AUS Card xx8188 Value Date: 03/05/2022"/>
        <s v="Direct Debit 314011 SUMO PAYWAY3199258548"/>
        <s v="Return AIRBNB * HMYYPBT4CY Surry Hills AU AUS Card xx8188 Value Date: 29/04/2022"/>
        <s v="Direct Debit 245164 HCFHEALTHANDLIFE 057233969SH10UZWVW"/>
        <s v="WOOLWORTHS 1188 BALMAIN AU AUS Card xx8188 Value Date: 27/04/2022"/>
        <s v="PHARMACY MANAGEMENT BALMAIN AUS Card xx8188 Value Date: 27/04/2022"/>
        <s v="ELIZABETHS BOOKSHOP NEWTOWN NS AUS Card xx8188 Value Date: 25/04/2022"/>
        <s v="UBER *TRIP Sydney AU AUS Card xx8188 Value Date: 23/04/2022"/>
        <s v="UBER *EATS Sydney AU AUS Card xx8188 Value Date: 22/04/2022"/>
        <s v="TOP FRUIT AND SONS DRUMMOYNE AU Card xx8188"/>
        <s v="ROLLING CAFE AUSTRAL DRUMMOYNE NS AUS Card xx8188 Value Date: 25/04/2022"/>
        <s v="PAYPAL *aemarks85 4029357733 AU AUS Card xx8188 Value Date: 24/04/2022"/>
        <s v="Emilio's Specialty Bu Rozelle AU"/>
        <s v="DOORDASH*JASMIN 1 MELBOURNE VI AUS Card xx8188 Value Date: 24/04/2022"/>
        <s v="CHARGRILL CHARLIES Drummoyne NS AUS Card xx8188 Value Date: 23/04/2022"/>
        <s v="BRIDGE HOTEL ROZELLE ROZELLE NS AUS Card xx8188 Value Date: 24/04/2022"/>
        <s v="SMP*Europe Grill Resta Newtown02 AU"/>
        <s v="SILVER SPOON BISTRO SURRY HILLS NS AUS Card xx8188 Value Date: 20/04/2022"/>
        <s v="BWS LIQUOR 1601 DRUMMOYNE NS AUS Card xx8188 Value Date: 21/04/2022"/>
        <s v="THE ORGNL MNTZM NOOSA NOOSA HEADS AUS Card xx8188 Value Date: 16/04/2022"/>
        <s v="Telstra Direct Debit AUSTRALIA SA AUS Card xx8188 Value Date: 19/04/2022"/>
        <s v="LIVE TAXI AUSTRALIA WEST MELBOURN AUS Card xx8188 Value Date: 17/04/2022"/>
        <s v="LIVE TAXI AUSTRALIA WEST MELBOURN AUS Card xx8188 Value Date: 16/04/2022"/>
        <s v="UNIVERSAL AUDIO 8314401176 CA USA Card xx8188 USD 64.00 Value Date: 18/04/2022"/>
        <s v="SUBWAY HAYMARKET SYDNEY NS AUS Card xx8188 Value Date: 19/04/2022"/>
        <s v="International Transaction Fee Value Date: 18/04/2022"/>
        <s v="ZLR*mount coolum Buderim AU AUS Card xx8188 Value Date: 15/04/2022"/>
        <s v="UBER *TRIP Sydney AU AUS Card xx8188 Value Date: 14/04/2022"/>
        <s v="The Coffee Club Coolum Coolum Beach QL AUS Card xx8188 Value Date: 15/04/2022"/>
        <s v="SUSHI SUSHI SCA MARCOOLA QL AUS Card xx8188 Value Date: 18/04/2022"/>
        <s v="SQ *KANU KAPERS AUSTR Boreen Point AU AUS Card xx8188 Value Date: 13/04/2022"/>
        <s v="Monthly Go Plus plan Berlin DE DEU Card xx8188 AUD 5.99 Value Date: 18/04/2022"/>
        <s v="Laguna Jacks Noosa Heads QL AUS Card xx8188 Value Date: 16/04/2022"/>
        <s v="COLES 0839 BROADWAY AU AUS Card xx8188 Value Date: 14/04/2022"/>
        <s v="BP COOLUM BEACH 1584 COOLUM BEACH QL AUS Card xx8188 Value Date: 15/04/2022"/>
        <s v="APPLE R523 BROADWAY ULTIMO NS AUS Card xx8188 Value Date: 14/04/2022"/>
        <s v="Direct Debit 502642 Telecom Billing 3014468:5535800:16"/>
        <s v="Transfer from xx8675 NetBank ua inflator"/>
        <s v="SUN COAST 131008 MARCOOLA AU"/>
        <s v="DIVAN PERSIAN REST RYDE NSW AU"/>
        <s v="Transfer to xx6542 NetBank ua inflator"/>
        <s v="Transfer From ZAHRA NOURI EMAMZADEH zahra room and kayak"/>
        <s v="CootharaBAR Boreen Point AU"/>
        <s v="COOLUM THAI SPICE COOLUM BEACH QLD AU"/>
        <s v="Transfer From ZAHRA NOURI EMAMZADEH Zahra Steak"/>
        <s v="Transfer From ZAHRA NOURI EMAMZADEH zahra seafood"/>
        <s v="Transfer From ZAHRA NOURI EMAMZADEH zahra groceries"/>
        <s v="SMP*Copenhagen Ice Cre Noosa Heads04 AU"/>
        <s v="SEASONS SUPERMARKETS 4 NOOSA HEADS AU Card xx8188"/>
        <s v="MR MANCINO Coolum Beach AU"/>
        <s v="LIVELIFE PHARMACY COOL COOLUM BEACH AU Card xx8188"/>
        <s v="GHANDA COOLUM BEACH AU Card xx8188"/>
        <s v="AIRPORT RETAIL ENTERPR MASCOT AU Card xx8188"/>
        <s v="AIRBNB * HMYYPBT4CY Surry Hills AU AUS Card xx8188 Value Date: 12/04/2022"/>
        <s v="COLES 0849 DRUMMOYNE AU AUS Card xx8188 Value Date: 12/04/2022"/>
        <s v="TRANSPORTFORNSW TAP SYDNEY AUS Card xx8188 Value Date: 11/04/2022"/>
        <s v="CHARGRILL CHARLIES Drummoyne NS AUS Card xx8188 Value Date: 11/04/2022"/>
        <s v="UBER *EATS Sydney AU AUS Card xx8188 Value Date: 08/04/2022"/>
        <s v="Audible Limited AU MELBOURNE AU AUS Card xx8188 Value Date: 10/04/2022"/>
        <s v="Transfer From ZAHRA NOURI EMAMZADEH zahra Dinner"/>
        <s v="Transfer From ZAHRA NOURI EMAMZADEH zahra Korean BBQ"/>
        <s v="TCSC PTY LTD HAYMARKET AU Card xx8188"/>
        <s v="Microsoft*Microsoft 36 msbill.info AU AUS Card xx8188 Value Date: 06/04/2022"/>
        <s v="TRANSPORTFORNSW TAP SYDNEY AUS Card xx8188 Value Date: 05/04/2022"/>
        <s v="SUBWAY HAYMARKET SYDNEY NS AUS Card xx8188 Value Date: 04/04/2022"/>
        <s v="FISH MARKET CAFE PYRMONT NS AUS Card xx8188 Value Date: 02/04/2022"/>
        <s v="BLACKWALL CAFE CHISWICK NS AUS Card xx8188 Value Date: 02/04/2022"/>
        <s v="SYDNEY FISH MARKET P PYRMONT AUS Card xx8188 Value Date: 02/04/2022"/>
        <s v="Transfer From ZAHRA NOURI EMAMZADEH Zahra lunch"/>
        <s v="OIDEN 11 PTY LTD SYDNEY NS AUS Card xx8188 Value Date: 30/03/2022"/>
        <s v="TRANSPORTFORNSW TAP SYDNEY AUS Card xx8188 Value Date: 31/03/2022"/>
        <s v="The Erko Hotel Erskineville NS AUS Card xx8188 Value Date: 30/03/2022"/>
        <s v="SUBWAY HAYMARKET SYDNEY NS AUS Card xx8188 Value Date: 30/03/2022"/>
        <s v="Direct Debit 245164 HCFHEALTHANDLIFE 057233969SOJ0V9EXB"/>
        <s v="TRANSPORTFORNSW TAP SYDNEY AUS Card xx8188 Value Date: 30/03/2022"/>
        <s v="Salary SERVAUPAYROLL 20511P 85920286"/>
        <s v="COLES 4788 FIVE DOCK AU AUS Card xx8188 Value Date: 28/03/2022"/>
        <s v="TRANSPORTFORNSW TAP SYDNEY AUS Card xx8188 Value Date: 29/03/2022"/>
        <s v="CR MACQUARIE NORTH RYDE NS AUS Card xx8188 Value Date: 26/03/2022"/>
        <s v="UNIVERSAL AUDIO 8314401176 CA USA Card xx8188 USD 548.00 Value Date: 25/03/2022"/>
        <s v="UBER *EATS Sydney AU AUS Card xx8188 Value Date: 25/03/2022"/>
        <s v="KMART 1368 NORTH RYDE AU AUS Card xx8188 Value Date: 26/03/2022"/>
        <s v="JETSTARKI768M MELBOURNE VI AUS Card xx8188 Value Date: 26/03/2022"/>
        <s v="International Transaction Fee Value Date: 25/03/2022"/>
        <s v="7-ELEVEN 2048 DRUMMOYNE NS AUS Card xx8188 Value Date: 26/03/2022"/>
        <s v="Transfer From BISHOP WARREN GRANT to PayID Phone Dumpling _"/>
        <s v="Transfer To Zahra Nouri Emamzadeh CommBank App difference for noosa fli..."/>
        <s v="Transfer From ZAHRA NOURI EMAMZADEH Zahra Morgh"/>
        <s v="Transfer From ZAHRA NOURI EMAMZADEH Trip to sunshine"/>
        <s v="LINDT AND SPRUNGLI AUS NORTH RYDE AU Card xx8188"/>
        <s v="JD SPORTS FASHION AUST MACQUARIE PARAU Card xx8188"/>
        <s v="H&amp;M Sydney AU0004 197-223 HerriAU"/>
        <s v="TRANSPORTFORNSW TAP SYDNEY AUS Card xx8188 Value Date: 24/03/2022"/>
        <s v="Direct Debit 314011 SUMO PAYWAY3172774116"/>
        <s v="TRANSPORTFORNSW TAP SYDNEY AUS Card xx8188 Value Date: 23/03/2022"/>
        <s v="TRANSPORTFORNSW TAP SYDNEY AUS Card xx8188 Value Date: 22/03/2022"/>
        <s v="Transfer From ZAHRA NOURI EMAMZADEH Zahra Flowers for Valentine"/>
        <s v="Telstra Direct Debit AUSTRALIA SA AUS Card xx8188 Value Date: 18/03/2022"/>
        <s v="Monthly Go Plus plan Berlin DE DEU Card xx8188 AUD 5.99 Value Date: 19/03/2022"/>
        <s v="GOU SUSHI SURRY HILLS AU"/>
        <s v="Direct Debit 314011 SUMO PAYWAY3170191901"/>
        <s v="AMAZON MARKETPLACE AU SYDNEY SOUTH NS AUS Card xx8188 Value Date: 18/03/2022"/>
        <s v="TRANSPORTFORNSW TAP SYDNEY AUS Card xx8188 Value Date: 17/03/2022"/>
        <s v="TRANSPORTFORNSW TAP SYDNEY AUS Card xx8188 Value Date: 16/03/2022"/>
        <s v="Transfer From ZAHRA NOURI EMAMZADEH Zahra dinner farsi"/>
        <s v="PA RYDE ISE SUPERMARK RYDE NSW AU"/>
        <s v="Transfer to other Bank NetBank netflix"/>
        <s v="WW METRO 1669 SURRY HILLS NS AUS Card xx8188 Value Date: 15/03/2022"/>
        <s v="Salary SERVAUPAYROLL 20415P 85920286"/>
        <s v="MLEKO PTY LTD SURRY HILLS NS AUS Card xx8188 Value Date: 15/03/2022"/>
        <s v="COLES 0849 DRUMMOYNE AU AUS Card xx8188 Value Date: 15/03/2022"/>
        <s v="Direct Debit 502642 Telecom Billing 3014468:5534867:16"/>
        <s v="IGA DRUMMOYNE DRUMMOYNE AUS Card xx8188 Value Date: 11/03/2022"/>
        <s v="HARE G PTY LTD SURRY HILLS AU Card xx8188"/>
        <s v="CHARGRILL MOSMAN Mosman NS AUS Card xx8188 Value Date: 13/03/2022"/>
        <s v="Transfer From ZAHRA NOURI EMAMZADEH Lunch and coffee"/>
        <s v="UBER *EATS Sydney AU AUS Card xx8188 Value Date: 10/03/2022"/>
        <s v="Audible Limited AU MELBOURNE AU AUS Card xx8188 Value Date: 10/03/2022"/>
        <s v="DOORDASH*JASMIN 1 MELBOURNE VI AUS Card xx8188 Value Date: 09/03/2022"/>
        <s v="SCORPTEC COMPUTERS CLAYTON AUS Card xx8188 Value Date: 08/03/2022"/>
        <s v="SCORPTEC COMPUTERS AUBURN NSWAU"/>
        <s v="Transfer From RAMTEAN ROOZBEHANI dirtyfeet"/>
        <s v="DOORDASH*JASMIN 1 MELBOURNE VI AUS Card xx8188 Value Date: 02/03/2022"/>
        <s v="COLES 0849 DRUMMOYNE AU AUS Card xx8188 Value Date: 01/03/2022"/>
        <s v="Salary SERVAUPAYROLL 21105P 85920286"/>
        <s v="Transfer From Mr Louis Robert Reynolds W Jasmine one dinner"/>
        <s v="COLES 0849 DRUMMOYNE AU AUS Card xx8188 Value Date: 28/02/2022"/>
        <s v="TURRAMURRA SUPERMARK TURRAMURRA NS AUS Card xx8188 Value Date: 26/02/2022"/>
        <s v="Telstra Direct Debit AUSTRALIA SA AUS Card xx8188 Value Date: 24/02/2022"/>
        <s v="DOORDASH*JASMIN 1 MELBOURNE VI AUS Card xx8188 Value Date: 28/02/2022"/>
        <s v="Direct Debit 245164 HCFHEALTHANDLIFE 057233969SDSSRHU8K"/>
        <s v="7-ELEVEN 2048 DRUMMOYNE NS AUS Card xx8188 Value Date: 26/02/2022"/>
        <s v="The Party People - Dr Drummoyne AU"/>
        <s v="Subway Birkenhead Point 19 Roseby StrAU"/>
        <s v="Direct Debit 314011 SUMO PAYWAY3153037621"/>
        <s v="Hurricane's Top Ryde Ryde NS AUS Card xx8188 Value Date: 22/02/2022"/>
        <s v="DESTROS PHARMACY DRUMMOYNE NS AUS Card xx8188 Value Date: 19/02/2022"/>
        <s v="Transfer To CoinSpot NetBank 996312644268"/>
        <s v="UBER *EATS Sydney AU AUS Card xx8188 Value Date: 20/02/2022"/>
        <s v="DOORDASH*JASMIN 1 MELBOURNE VI AUS Card xx8188 Value Date: 20/02/2022"/>
        <s v="SoundCloud Berlin DE DEU Card xx8188 AUD 145.00 Value Date: 17/02/2022"/>
        <s v="COLES 0849 DRUMMOYNE AU AUS Card xx8188 Value Date: 16/02/2022"/>
        <s v="UBER *EATS Sydney AU AUS Card xx8188 Value Date: 15/02/2022"/>
        <s v="Salary SERVAUPAYROLL 20385P 85920286"/>
        <s v="GM CABS PTY LTD MASCOT AUS Card xx8188 Value Date: 14/02/2022"/>
        <s v="Direct Debit 502642 Telecom Billing 3014468:5531678:16"/>
        <s v="UBER *TRIP Sydney AU AUS Card xx8188 Value Date: 14/02/2022"/>
        <s v="DESTROS PHARMACY DRUMMOYNE NS AUS Card xx8188 Value Date: 14/02/2022"/>
        <s v="The General &amp; Co. Lilyfield NS AUS Card xx8188 Value Date: 13/02/2022"/>
        <s v="CHARGRILL CHARLIES Drummoyne NS AUS Card xx8188 Value Date: 11/02/2022"/>
        <s v="MANTA WHARF PL WOOLLOOMOOLOO NSW AU Card xx8188"/>
        <s v="Audible Australia MELBOURNE AU AUS Card xx8188 Value Date: 10/02/2022"/>
        <s v="TOP FRUIT MARKET DRUMMOYNE NS AUS Card xx8188 Value Date: 04/02/2022"/>
        <s v="COLES 0849 DRUMMOYNE AU AUS Card xx8188 Value Date: 05/02/2022"/>
        <s v="FARSI RESTAURANT PTY RYDE AU"/>
        <s v="UBER *EATS Sydney AU AUS Card xx8188 Value Date: 03/02/2022"/>
        <s v="SUBMITHUB HOLDINGS LLC 2183964074 DE USA Card xx8188 USD 72.00 Value Date: 03/02/2022"/>
        <s v="International Transaction Fee Value Date: 03/02/2022"/>
        <s v="FiverrEU Nicosia CY CYP Card xx8188 AUD 23.95 Value Date: 03/02/2022"/>
        <s v="PLINEPH BIRKENHEADPOI DRUMMOYNE NSWAU"/>
        <s v="HARRY JUICE &amp; CO PTY L DRUMMOYNE AU"/>
        <s v="DOORDASH*JASMIN 1 MELBOURNE VI AUS Card xx8188 Value Date: 02/02/2022"/>
        <s v="Salary SERVAUPAYROLL 20491P 85920286"/>
        <s v="FiverrEU Nicosia CY CYP Card xx8188 AUD 142.17 Value Date: 01/02/2022"/>
        <s v="Transfer To CoinSpot NetBank 996311638519"/>
        <s v="UBER *EATS Sydney AU AUS Card xx8188 Value Date: 28/01/2022"/>
        <s v="IGA DRUMMOYNE QPS DRUMMOYNE AUS Card xx8188 Value Date: 29/01/2022"/>
        <s v="Direct Debit 245164 HCFHEALTHANDLIFE 057233969S10W8QA6W"/>
        <s v="7-ELEVEN 2048 DRUMMOYNE NS AUS Card xx8188 Value Date: 29/01/2022"/>
        <s v="2CO.COM*- 173639085 89 AMSTERDAM NL NLD Card xx8188 AUD 394.28 Value Date: 28/01/2022 - SWAM Flutes"/>
        <s v="COLES 4788 FIVE DOCK AU AUS Card xx8188 Value Date: 25/01/2022"/>
        <s v="TOP FRUIT MARKET DRUMMOYNE NS AUS Card xx8188 Value Date: 23/01/2022"/>
        <s v="KADMUS ON THE GO P/L DRUMMOYNE NS AUS Card xx8188 Value Date: 20/01/2022"/>
        <s v="IL POLLO FIVE DOCK FIVE DOCK NS AUS Card xx8188 Value Date: 21/01/2022"/>
        <s v="Direct Debit 314011 SUMO PAYWAY3130950061"/>
        <s v="Dick's Hotel Balmain Balmain NS AUS Card xx8188 Value Date: 22/01/2022"/>
        <s v="COLES 4788 FIVE DOCK AU AUS Card xx8188 Value Date: 21/01/2022"/>
        <s v="COLES 0849 DRUMMOYNE AU AUS Card xx8188 Value Date: 23/01/2022"/>
        <s v="Transfer To Louis Wayment CommBank App iou"/>
        <s v="Direct Debit 502642 Telecom Billing 3014468:5530949:21"/>
        <s v="Salary SERVAUPAYROLL 20402P 85920286"/>
        <s v="OFFICEWORKS BENTLEIGH EAS AUS Card xx8188 Value Date: 18/01/2022"/>
        <s v="OFFICEWORKS 0209 GLEBE AU AUS Card xx8188 Value Date: 18/01/2022"/>
        <s v="NATIVE INSTRUMENTS BERLIN BE DEU Card xx8188 AUD 388.00 Value Date: 18/01/2022"/>
        <s v="PAYPAL *TECONTROLAB 4029357733 AU AUS Card xx8188 Value Date: 17/01/2022"/>
        <s v="International Transaction Fee Value Date: 16/01/2022"/>
        <s v="DISTROKID.COM NEW YORK CITY NY USA Card xx8188 USD 35.99 Value Date: 16/01/2022"/>
        <s v="PA RYDE ISE SUPERMARK RYDE NS AUS Card xx8188 Value Date: 14/01/2022"/>
        <s v="Transfer From ZAHRA NOURI EMAMZADEH Zahra Nikan dinner"/>
        <s v="COLES 4788 FIVE DOCK AU AUS Card xx8188 Value Date: 11/01/2022"/>
        <s v="DOMINOS DRUMMOYNE DRUMMOYNE NS AUS Card xx8188 Value Date: 08/01/2022"/>
        <s v="DESTROS PHARMACY DRUMMOYNE NS AUS Card xx8188 Value Date: 09/01/2022"/>
        <s v="Transfer From ZAHRA NOURI EMAMZADEH ZahraLunch"/>
        <s v="CHARGRILL CHARLIES Drummoyne AU"/>
        <s v="Salary SERVAUPAYROLL 19263P 85920286"/>
        <s v="COLES 0849 DRUMMOYNE AU AUS Card xx8188 Value Date: 04/01/2022"/>
        <s v="Transfer From ZAHRA NOURI EMAMZADEH Zahra Burger Value Date: 06/01/2022"/>
        <s v="MCDONALDS DRUMMOYNE DRUMMOYNE NSWAU Value Date: 06/01/2022"/>
        <s v="LIQUORLAND 3301 DRUMMOYNE AU AUS Card xx8188 Value Date: 31/12/2021"/>
        <s v="COLES 0849 DRUMMOYNE AU AUS Card xx8188 Value Date: 31/12/2021"/>
        <s v="Transfer To CoinSpot NetBank 996310271949"/>
        <s v="Transfer from xx8675 CommBank app transfer"/>
        <s v="Direct Debit 245164 HCFHEALTHANDLIFE 057233969SIJC37JKB"/>
        <s v="Transfer To CoinSpot NetBank 996310272076"/>
        <s v="Return MECCA COFFEE ROASTERS ALEXANDRIA NS AUS Card xx8188 Value Date: 30/12/2021"/>
        <s v="BED BATH N TABLE DRUMMOYNE AU"/>
        <s v="Return NATIVE INSTRUMENTS BERLIN BE DEU Card xx8188 AUD 219.00 Value Date: 23/12/2021"/>
        <s v="MECCA COFFEE ROASTERS ALEXANDRIA NS AUS Card xx8188 Value Date: 24/12/2021"/>
        <s v="DOORDASH*IGA SUPERMARK MELBOURNE VI AUS Card xx8188 Value Date: 25/12/2021"/>
        <s v="DESTROS PHARMACY DRUMMOYNE NS AUS Card xx8188 Value Date: 27/12/2021"/>
        <s v="7-ELEVEN 2048 DRUMMOYNE NS AUS Card xx8188 Value Date: 25/12/2021"/>
        <s v="SQ *SHILA KITCHEN Balmain AU"/>
        <s v="Transfer To Zahra Nouri Emamzadeh CommBank App iou"/>
        <s v="NATIVE INSTRUMENTS BERLIN BE DEU Card xx8188 AUD 299.00 Value Date: 23/12/2021"/>
        <s v="DYMOCKS ONLINE SYDNEY AUS Card xx8188 Value Date: 24/12/2021"/>
        <s v="Transfer From H Roozbehani Merry Christmas and Happy New"/>
        <s v="Direct Debit 507426 ENERGY LOCALS 424273"/>
        <s v="Salary SERVAUPAYROLL 20291P 85920286"/>
        <s v="PASTICCERIA PAPA FIV FIVE DOCK AU Card xx8188"/>
        <s v="Love Crepe Russell Lea NS AUS Card xx8188 Value Date: 21/12/2021"/>
        <s v="Direct Debit 314011 SUMO PAYWAY3111514892"/>
        <s v="INTERNATIONAL PARKING RANDWICK AU Card xx8188"/>
        <s v="DESTROS PHARMACY DRUMMOYNE NS AUS Card xx8188 Value Date: 19/12/2021"/>
        <s v="CHEMIST WAREHOUSE BIRK DRUMMOYNE NS AUS Card xx8188 Value Date: 18/12/2021"/>
        <s v="The Oaks Hotel Neutral Bay NS AUS Card xx8188 Value Date: 19/12/2021"/>
        <s v="NATIVE INSTRUMENTS BERLIN BE DEU Card xx8188 AUD 893.25 Value Date: 17/12/2021"/>
        <s v="NATIVE INSTRUMENTS BERLIN BE DEU Card xx8188 AUD 149.00 Value Date: 18/12/2021"/>
        <s v="DOORDASH*JASMIN 1 MELBOURNE VI AUS Card xx8188 Value Date: 17/12/2021"/>
        <s v="COLES 0829 NEUTRAL BAY AU AUS Card xx8188 Value Date: 19/12/2021"/>
        <s v="AMAZON MKTPLC AU SYDNEY SOUTH NS AUS Card xx8188 Value Date: 18/12/2021"/>
        <s v="Direct Debit 502642 Telecom Billing 3014468:5527669:16"/>
        <s v="Transfer To MASOUMEH GHOLAMSHAHI CommBank App iou"/>
        <s v="Return PAYPAL *SOREMIX 4029357733 AU AUS Card xx8188 Value Date: 16/12/2021"/>
        <s v="PAYPAL *SOREMIX 4029357733 AU AUS Card xx8188 Value Date: 15/12/2021"/>
        <s v="DOORDASH*JASMIN 1 MELBOURNE VI AUS Card xx8188 Value Date: 16/12/2021"/>
        <s v="Direct Debit 314011 SUMO PAYWAY3108005352"/>
        <s v="Transfer To Soheyla Gholamshahi CommBank App paying halves for dinner"/>
        <s v="Transfer To MASOUMEH GHOLAMSHAHI CommBank App halves for dinner"/>
        <s v="Reversal Transfer To Soheyla Gholamshahi Invalid creditor account"/>
        <s v="Transfer From RODNEY MAZIK Too the moon"/>
        <s v="Direct Debit 617704 PAYPAL AUSTRALIA 1017409756114"/>
        <s v="UBER *EATS Sydney AU AUS Card xx8188 Value Date: 13/12/2021"/>
        <s v="UBER *EATS Sydney AU AUS Card xx8188 Value Date: 11/12/2021"/>
        <s v="Oxford Hotel DRUMMOYNE AU AUS Card xx8188 Value Date: 09/12/2021"/>
        <s v="Salary SERVAUPAYROLL 20113P 85920286"/>
        <s v="Transfer From Homayoun Happy Birthday Rodean Jan"/>
        <s v="UBER *EATS Sydney AU AUS Card xx8188 Value Date: 05/12/2021"/>
        <s v="EASTWOOD NEW YEN YEN EASTWOOD NS AUS Card xx8188 Value Date: 04/12/2021"/>
        <s v="DOORDASH*JASMIN 1 MELBOURNE VI AUS Card xx8188 Value Date: 05/12/2021"/>
        <s v="Transfer To CoinSpot NetBank 996308729615"/>
        <s v="UBER *EATS Sydney AU AUS Card xx8188 Value Date: 30/11/2021"/>
        <s v="UBER *EATS Sydney AU AUS Card xx8188 Value Date: 29/11/2021"/>
        <s v="Direct Debit 245164 HCFHEALTHANDLIFE 057233969S9NDPRQ6E"/>
        <s v="Direct Debit 502642 Telecom Billing 3014468:5527156:30"/>
        <s v="COLES 0849 DRUMMOYNE AU AUS Card xx8188 Value Date: 25/11/2021"/>
        <s v="AMAZON MKTPLC AU SYDNEY SOUTH NS AUS Card xx8188 Value Date: 28/11/2021"/>
        <s v="7-ELEVEN 2048 DRUMMOYNE NS AUS Card xx8188 Value Date: 25/11/2021"/>
        <s v="Transfer To RAMTEAN ROOZBEHANI CommBank App gig and domain"/>
        <s v="Salary SERVAUPAYROLL 20171P 85920286"/>
        <s v="UBER *EATS Sydney AU AUS Card xx8188 Value Date: 22/11/2021"/>
        <s v="SETTLERS ARMS INN ST ALBANS NS AUS Card xx8188 Value Date: 20/11/2021"/>
        <s v="7-ELEVEN 2048 DRUMMOYNE NS AUS Card xx8188 Value Date: 20/11/2021"/>
        <s v="Transfer From Sofie Teh Thnx 5eva"/>
        <s v="MCDONALDS DURAL DURAL NSWAU"/>
        <s v="POLITIX BIRKIN HEAD DRUMMOYNE NS AUS Card xx8188 Value Date: 18/11/2021"/>
        <s v="COLES 0849 DRUMMOYNE AU AUS Card xx8188 Value Date: 18/11/2021"/>
        <s v="COLES 0849 DRUMMOYNE AU AUS Card xx8188 Value Date: 16/11/2021"/>
        <s v="TELSTRA CORP LTD CommBank app BPAY 23796 2000710343987 telatra bill"/>
        <s v="ROLLING CAFE AUSTRAL DRUMMOYNE NS AUS Card xx8188 Value Date: 14/11/2021"/>
        <s v="Direct Debit 314011 SUMO PAYWAY3086493381"/>
        <s v="COLES 0849 DRUMMOYNE AU AUS Card xx8188 Value Date: 13/11/2021"/>
        <s v="ALDI STORES - DRUMMOYN DRUMMOYNE AUS Card xx8188 Value Date: 13/11/2021"/>
        <s v="Salary SERVAUPAYROLL 20073P 85920286"/>
        <s v="MINSKYS HOTEL CREMORNE AUS Card xx8188 Value Date: 07/11/2021"/>
        <s v="MCDONALDS CREMORNE CREMORNE AUS Card xx8188 Value Date: 07/11/2021"/>
        <s v="GM CABS PTY LTD MASCOT AUS Card xx8188 Value Date: 05/11/2021"/>
        <s v="ENOTECA 128 NEUTRAL BAY NS AUS Card xx8188 Value Date: 06/11/2021"/>
        <s v="CAMINETTO ITALIAN RE THE ROCKS NS AUS Card xx8188 Value Date: 05/11/2021"/>
        <s v="UBER *TRIP Sydney AU AUS Card xx8188 Value Date: 06/11/2021"/>
        <s v="UBER *EATS Sydney AU AUS Card xx8188 Value Date: 06/11/2021"/>
        <s v="The Oaks Hotel Neutral Bay NS AUS Card xx8188 Value Date: 07/11/2021"/>
        <s v="The Oaks Hotel Neutral Bay NS AUS Card xx8188 Value Date: 06/11/2021"/>
        <s v="COLES EXPRESS 1607 CREMORNE AU AUS Card xx8188 Value Date: 07/11/2021"/>
        <s v="Transfer From JOHN MINAI Italian dinner"/>
        <s v="Transfer From JACK BOSENBERG dinner"/>
        <s v="Transfer From DANIEL LOLLBACK Dan Lollback share of dinner"/>
        <s v="Transfer From AARON D'ABRUZZO Boyz Dinner Aaron"/>
        <s v="UNIVERSAL NEWTOWN PT NEWTOWN AUS Card xx8188 Value Date: 30/10/2021"/>
        <s v="GM CABS PTY LTD MASCOT AUS Card xx8188 Value Date: 30/10/2021"/>
        <s v="Wdl ATM CUS AB HOTEL GLEBE NS AU"/>
        <s v="UBER *TRIP Sydney AU AUS Card xx8188 Value Date: 30/10/2021"/>
        <s v="LIQUORLAND 3301 DRUMMOYNE AU AUS Card xx8188 Value Date: 29/10/2021"/>
        <s v="Dick's Hotel Balmain Balmain NS AUS Card xx8188 Value Date: 30/10/2021"/>
        <s v="COLES 0849 DRUMMOYNE AU AUS Card xx8188 Value Date: 29/10/2021"/>
        <s v="Transfer To CoinSpot NetBank 996306738178"/>
        <s v="Direct Debit 245164 HCFHEALTHANDLIFE 057233969SHMNETX2J"/>
        <s v="SQ *ANYTHING BUT HUMBL Erskineville AU"/>
        <s v="SQ *ANYTHING BUT HUMBL Alexandria AU"/>
        <s v="NYMP PTY LTD NEWTOWN NSWAU"/>
        <s v="Salary SERVAUPAYROLL 20351P 85920286"/>
        <s v="PAPADINOS KATOOMBA KATOOMBA NS AUS Card xx8188 Value Date: 22/10/2021"/>
        <s v="Transfer To Kieran Krohn CommBank App accomodation"/>
        <s v="SMP*Victory Cafe Blackheath AU AUS Card xx8188 Value Date: 24/10/2021"/>
        <s v="IGA BLACKHEATH BLACKHEATH AUS Card xx8188 Value Date: 23/10/2021"/>
        <s v="NEW IVANHOE HOTEL Blackheath AU"/>
        <s v="Bottle Shop Blackheath AU"/>
        <s v="7-ELEVEN 2048 DRUMMOYNE NS AUS Card xx8188 Value Date: 21/10/2021"/>
        <s v="TELECOM BILLING SOUTH MELBOUR VI AUS Card xx8188 Value Date: 20/10/2021"/>
        <s v="KATOOMBA WINES KATOOMBA NSWAU"/>
        <s v="SUMO POWER SOUTH MELBOUR AUS Card xx8188 Value Date: 19/10/2021"/>
        <s v="UBER *TRIP Sydney AU AUS Card xx8188 Value Date: 17/10/2021"/>
        <s v="TRANSPORTFORNSW TAP SYDNEY AUS Card xx8188 Value Date: 18/10/2021"/>
        <s v="LIQUORLAND 3301 DRUMMOYNE AU AUS Card xx8188 Value Date: 16/10/2021"/>
        <s v="Transfer From H Roozbehani Soon will be your Birthday"/>
        <s v="CommBank app TFR from ZAHRA NOURI EMAM Ubee"/>
        <s v="Wdl ATM CBA ATM DRUMMOYNE A NSW 215701 AUS"/>
        <s v="COLES 0849 DRUMMOYNE AU AUS Card xx8188 Value Date: 12/10/2021"/>
        <s v="BEATPORT 720-974-9500 CO USA Card xx8188 AUD 1.86 Value Date: 13/10/2021"/>
        <s v="Salary SERVAUPAYROLL 20081P 85920286"/>
        <s v="UBER *EATS Sydney AU AUS Card xx8188 Value Date: 10/10/2021"/>
        <s v="7-ELEVEN 2048 DRUMMOYNE NS AUS Card xx8188 Value Date: 09/10/2021"/>
        <s v="Transfer To Sue Maree Hamilton PayID Phone from CommBank App for rodney"/>
        <s v="STEAMGAMES.COM 4259522 Hamburg DE DEU Card xx8882 AUD 42.95 Value Date: 01/10/2021"/>
        <s v="CommBank app TFR to 0451757385 iou"/>
        <s v="Cardless Cash return petrol"/>
        <s v="Cardless Cash for collection petrol"/>
        <s v="Cardless Cash for collection shopping"/>
        <s v="Direct Debit 245164 HCFHEALTHANDLIFE 057233969SG52ZKZ4X"/>
        <s v="Direct Credit 301500 Rent Trust Accou REIM GAS BILL"/>
        <s v="UBER *EATS Sydney AU AUS Card xx8882 Value Date: 27/09/2021"/>
        <s v="UBER *EATS Sydney AU AUS Card xx8882 Value Date: 26/09/2021"/>
        <s v="Transfer To CoinSpot NetBank 996304227309"/>
        <s v="COLES 0849 DRUMMOYNE AU AUS Card xx8882 Value Date: 19/09/2021"/>
        <s v="ALDI STORES - DRUMMOYN DRUMMOYNE AU Card xx8882"/>
        <s v="TELECOM BILLING SOUTH MELBOUR VI AUS Card xx8882 Value Date: 16/09/2021"/>
        <s v="COLES 0849 DRUMMOYNE AU AUS Card xx8882 Value Date: 15/09/2021"/>
        <s v="Telstra Direct Debit AUSTRALIA SA AUS Card xx8882 Value Date: 14/09/2021"/>
        <s v="Salary SERVAUPAYROLL 20235P 85920286"/>
        <s v="AGL RETAIL ENERGY NetBank BPAY 208892 70804298439409530129 Victoria Pl gas"/>
        <s v="UTS HABERFIELD CLUB HABERFIELD NS AUS Card xx8882 Value Date: 11/09/2021"/>
        <s v="UBER *EATS Sydney AU AUS Card xx8882 Value Date: 11/09/2021"/>
        <s v="LIQUORLAND 3301 DRUMMOYNE AU AUS Card xx8882 Value Date: 10/09/2021"/>
        <s v="COLES 0849 DRUMMOYNE AU AUS Card xx8882 Value Date: 10/09/2021"/>
        <s v="Transfer To CoinSpot NetBank 996303386356"/>
        <s v="AMAZON MKTPLC AU SYDNEY SOUTH NS AUS Card xx8882 Value Date: 07/09/2021"/>
        <s v="UBER *EATS Sydney AU AUS Card xx8882 Value Date: 05/09/2021"/>
        <s v="UBER *EATS Sydney AU AUS Card xx8882 Value Date: 04/09/2021"/>
        <s v="UBER *EATS Sydney AU AUS Card xx8882 Value Date: 03/09/2021"/>
        <s v="COLES 0849 DRUMMOYNE AU AUS Card xx8882 Value Date: 05/09/2021"/>
        <s v="SUMO POWER SOUTH MELBOUR AUS Card xx8882 Value Date: 02/09/2021"/>
        <s v="Salary SERVAUPAYROLL 21151P 85920286"/>
        <s v="Direct Debit 245164 HCFHEALTHANDLIFE 057233969SXTF8KW6K"/>
        <s v="7-ELEVEN 2048 DRUMMOYNE NS AUS Card xx8882 Value Date: 27/08/2021"/>
        <s v="International Transaction Fee Value Date: 22/08/2021"/>
        <s v="BANDCAMP S THE DJ 402-935-7733 CA USA Card xx8882 EUR 1.43 Value Date: 22/08/2021"/>
        <s v="Transfer To CoinSpot NetBank 996302431482"/>
        <s v="PLUGINFOX PORTLAND OR USA Card xx8882 USD 139.00 Value Date: 22/08/2021"/>
        <s v="Transfer From H Roozbehani Present from Father"/>
        <s v="Transfer To CoinSpot NetBank 996302268718"/>
        <s v="HARRIS FARM MARKETS DRUMMOYNE AU Card xx8882"/>
        <s v="Salary SERVAUPAYROLL 20414P 85920286"/>
        <s v="Telstra Direct Debit AUSTRALIA SA AUS Card xx8882 Value Date: 16/08/2021"/>
        <s v="TELECOM BILLING SOUTH MELBOUR VI AUS Card xx8882 Value Date: 16/08/2021"/>
        <s v="IGA DRUMMOYNE DRUMMOYNE AU Card xx8882"/>
        <s v="CONQUEST PTY LTD DRUMMOYNE NS AUS Card xx8882 Value Date: 10/08/2021"/>
        <s v="CITYOFSYDNEY PARKING SYDNEY AUS Card xx8882 Value Date: 10/08/2021"/>
        <s v="LIQUORLAND 3301 DRUMMOYNE AU AUS Card xx8882 Value Date: 09/08/2021"/>
        <s v="COLES 0849 DRUMMOYNE AU AUS Card xx8882 Value Date: 09/08/2021"/>
        <s v="Transfer To CoinSpot NetBank 996301576640"/>
        <s v="Transfer To CoinSpot NetBank 996301576672"/>
        <s v="WWW.DEVICEDEAL.COM.AU VERMONT VI AUS Card xx8882 Value Date: 07/08/2021"/>
        <s v="SUMO POWER SOUTH MELBOUR AUS Card xx8882 Value Date: 03/08/2021"/>
        <s v="Salary SERVAUPAYROLL 20095P 85920286"/>
        <s v="JIMS COMPUTER SERVIC GUILDFORD AU"/>
        <s v="DESTROS PHARMACY DRUMMOYNE NS AUS Card xx8882 Value Date: 31/07/2021"/>
        <s v="THE REJECT SHOP 2299 GLEBE NS AUS Card xx8882 Value Date: 31/07/2021"/>
        <s v="COLES 0849 DRUMMOYNE AU AUS Card xx8882 Value Date: 30/07/2021"/>
        <s v="Direct Debit 245164 HCFHEALTHANDLIFE 057233969SNGZEO00H"/>
        <s v="Transfer To Danny Vardanega CommBank App gamblor"/>
        <s v="Transfer From VARDANEGA DANIEL Winnings"/>
        <s v="Transfer From Homayoun Present"/>
        <s v="SIENELLA PTY LTD RODD POINT NS AUS Card xx8882 Value Date: 25/07/2021"/>
        <s v="COLES 0849 DRUMMOYNE AU AUS Card xx8882 Value Date: 24/07/2021"/>
        <s v="BUNNINGS 595000 ASHFIELD AU Card xx8882"/>
        <s v="Salary SERVAUPAYROLL 20264P 85920286"/>
        <s v="7-ELEVEN 2048 DRUMMOYNE NS AUS Card xx8882 Value Date: 20/07/2021"/>
        <s v="UBER *EATS Sydney AU AUS Card xx8882 Value Date: 16/07/2021"/>
        <s v="TELECOM BILLING SOUTH MELBOUR VI AUS Card xx8882 Value Date: 16/07/2021"/>
        <s v="Wdl ATM CAS CASHCARD DRUMMOYNENS AU"/>
        <s v="Telstra Direct Debit AUSTRALIA SA AUS Card xx8882 Value Date: 15/07/2021"/>
        <s v="FS *Akai Pro Amsterdam NL NLD Card xx8882 AUD 15.99 Value Date: 14/07/2021"/>
        <s v="COLES 0849 DRUMMOYNE AU AUS Card xx8882 Value Date: 12/07/2021"/>
        <s v="UBER *EATS Sydney AU AUS Card xx8882 Value Date: 11/07/2021"/>
        <s v="ROLAND TECHNICAL SER DEE WHY NS AUS Card xx8882 Value Date: 09/07/2021"/>
        <s v="7-ELEVEN 2048 DRUMMOYNE NS AUS Card xx8882 Value Date: 10/07/2021"/>
        <s v="Direct Debit 314011 SUMO PAYWAY3004036904"/>
        <s v="Salary SERVAUPAYROLL 20185P 85920286"/>
        <s v="SERVICE NSW SYDNEY AUS_x000a_Card xx8882_x000a_Value Date: 02/07/2021"/>
        <s v="NRMA WEB SYDNEY NS AUS_x000a_Card xx8882_x000a_Value Date: 02/07/2021"/>
        <s v="UBER *EATS Sydney AU AUS_x000a_Card xx8882_x000a_Value Date: 04/07/2021 "/>
        <s v="D&amp;B Drummoyne Drummoyne NS AUS_x000a_Tap and Pay xx2711_x000a_Value Date: 04/07/2021 "/>
        <s v="IGA DRUMMOYNE DRUMMOYNE AU_x000a_Card xx8882 "/>
        <s v="Transfer From JONATHAN OLIVER_x000a_lunch "/>
        <s v="IGA DRUMMOYNE DRUMMOYNE AU Card xx8882 "/>
        <s v="Trattoria Casa Chiswick NS AUS Card xx8882 Value Date: 30/06/2021"/>
        <s v="UBER *EATS Sydney AU AUS Card xx8882 Value Date: 29/06/2021"/>
        <s v="Direct Debit 245164 HCFHEALTHANDLIFE 057233969SAQXWRXQN"/>
        <s v="7-ELEVEN 2048 DRUMMOYNE NS AUS Card xx8882 Value Date: 29/06/2021"/>
        <s v="Transfer From MASOUMEH GHOLAMSHAHI faciliatete car rego"/>
        <s v="Transfer To RAMTEAN ROOZBEHANI NetBank removalist and cleaner"/>
        <s v=" Transfer from xx8675 NetBank"/>
        <s v="Transfer To Drummoyne Properties Pty Ltd CommBank App 2309vic"/>
        <s v="Salary SERVAUPAYROLL 21013P 85920286"/>
        <s v="UBER *EATS Sydney AU AUS Card xx8882 Value Date: 21/06/2021"/>
        <s v="UBER* TRIP SYDNEY NS AUS Card xx8882 Value Date: 19/06/2021"/>
        <s v="UBER *EATS Sydney AU AUS Card xx8882 Value Date: 19/06/2021"/>
        <s v="UBER *EATS Sydney AU AUS Card xx8882 Value Date: 18/06/2021"/>
        <s v="Transfer to xx8675 NetBank House Deposit"/>
        <s v="BAR TOSCA SYDNEY NS AUS Card xx8882 Value Date: 17/06/2021"/>
        <s v="ARC AT UNSW LTD KENSINGTON AU Card xx8882"/>
        <s v="ULTRA TUNE DRUMMOYNE AU Card xx8882"/>
        <s v="UBER *EATS Sydney AU AUS Card xx8882 Value Date: 16/06/2021"/>
        <s v="Transfer From Ms Katrina T Duncan Kat"/>
        <s v="Telstra Direct Debit AUSTRALIA SA AUS Card xx8882 Value Date: 16/06/2021"/>
        <s v="Menulog Pty Ltd Sydney AU AUS Card xx8882 Value Date: 17/06/2021"/>
        <s v="UBER *EATS Sydney AU AUS Card xx8882 Value Date: 15/06/2021"/>
        <s v="Transfer From GEOFFREY COLLINS G electric"/>
        <s v="UBER *TRIP Sydney AU AUS Card xx8882 Value Date: 13/06/2021"/>
        <s v="UBER *EATS Sydney AU AUS Card xx8882 Value Date: 14/06/2021"/>
        <s v="7-ELEVEN 2048 DRUMMOYNE NS AUS Card xx8882 Value Date: 13/06/2021"/>
        <s v="WOOLWORTHS 1248 SYDNEY NS AUS Card xx8882 Value Date: 12/06/2021"/>
        <s v="UME Restaurant Surry Hills NS AUS Card xx8882 Value Date: 12/06/2021"/>
        <s v="UBER* EATS SYDNEY NS AUS Card xx8882 Value Date: 13/06/2021"/>
        <s v="UBER *EATS Sydney AU AUS Card xx8882 Value Date: 11/06/2021"/>
        <s v="Menulog Pty Ltd Sydney AU AUS Card xx8882 Value Date: 12/06/2021"/>
        <s v="CARRINGTON 565 PTY L SURRY HILLS NS AUS Card xx8882 Value Date: 12/06/2021"/>
        <s v="UBER *EATS Sydney AU AUS Card xx8882 Value Date: 10/06/2021"/>
        <s v="CommBank app TFR to 0426276026 iou"/>
        <s v="Direct Debit 314011 SUMO PAYWAY2983079229"/>
        <s v="Transfer From RAMTEAN ROOZBEHANI old rent return"/>
        <s v="TELECOM BILLING SOUTH MELBOUR VI AUS Card xx8882 Value Date: 08/06/2021"/>
        <s v="Salary SERVAUPAYROLL 21345P 85920286"/>
        <s v="Transfer To Katrina Duncan PayID Phone from CommBank App food iou"/>
        <s v="Transfer From RAMTEAN ROOZBEHANI electricity"/>
        <s v="LINKT SYDNEY SYDNEY AUS Card xx8882 Value Date: 08/06/2021"/>
        <s v="COLES 0849 DRUMMOYNE AU AUS Tap and Pay xx2711 Value Date: 06/06/2021"/>
        <s v="SILVER SPOON BISTRO SURRY HILLS NS AUS Card xx8882 Value Date: 03/06/2021"/>
        <s v="COLES 0849 DRUMMOYNE AU AUS Card xx8882 Value Date: 06/06/2021"/>
        <s v="NSW RENTAL BOND PARRAMATTA AUS Card xx8882 Value Date: 03/06/2021"/>
        <s v="WOOLWORTHS 1248 SYDNEY NS AUS Card xx8882 Value Date: 02/06/2021"/>
        <s v="PHOTOWN Alexandria NS AUS Card xx8882 Value Date: 02/06/2021"/>
        <s v="TRANSPORTFORNSW OPAL CHIPPENDALE AUS Card xx8882 Value Date: 02/06/2021"/>
        <s v="TAXI COMBINED 133300 ALEXANDRIA NS AUS Card xx8882 Value Date: 29/05/2021"/>
        <s v="UBER *TRIP Sydney AU AUS Card xx8882 Value Date: 29/05/2021"/>
        <s v="UBER *EATS Sydney AU AUS Card xx8882 Value Date: 29/05/2021"/>
        <s v="UBER *EATS Sydney AU AUS Card xx8882 Value Date: 28/05/2021"/>
        <s v="STEAMGAMES.COM 4259522 Hamburg DE DEU Card xx8882 AUD 28.95 Value Date: 29/05/2021"/>
        <s v="Internet share"/>
        <s v="Direct Debit 245164 HCFHEALTHANDLIFE 057233969SX0QN422Z"/>
        <s v="Dick's Hotel Balmain Balmain NS AUS Card xx8882 Value Date: 29/05/2021"/>
        <s v="BWS LIQUOR 1601 DRUMMOYNE NS AUS Card xx8882 Value Date: 28/05/2021"/>
        <s v="BRIDGE HOTEL ROZELLE ROZELLE NS AUS Card xx8882 Value Date: 30/05/2021"/>
        <s v="AGR SERVICES PTY LTD SYDNEY NS AUS Card xx8882 Value Date: 28/05/2021"/>
        <s v="Transfer From GEOFFREY COLLINS geoff shake"/>
        <s v="BAR TOSCA SYDNEY NS AUS Card xx8882 Value Date: 27/05/2021"/>
        <s v="BAR TOSCA SYDNEY NS AUS Card xx8882 Value Date: 26/05/2021"/>
        <s v="Salary SERVAUPAYROLL 20343P 85920286"/>
        <s v="Menulog Pty Ltd Sydney AU AUS Card xx8882 Value Date: 25/05/2021"/>
        <s v="Menulog Pty Ltd Sydney AU AUS Card xx8882 Value Date: 23/05/2021"/>
        <s v="International Transaction Fee Value Date: 24/05/2021"/>
        <s v="BEYOU CHAIR 2362576589 DE USA Card xx8882 USD 329.00 Value Date: 24/05/2021"/>
        <s v="Transfer From RAMTEAN ROOZBEHANI food"/>
        <s v="WW METRO 1669 SURRY HILLS NS AUS Card xx8882 Value Date: 20/05/2021"/>
        <s v="BAR TOSCA SYDNEY NS AUS Card xx8882 Value Date: 20/05/2021"/>
        <s v="TRANSPORTFORNSW OPAL CHIPPENDALE AUS Card xx8882 Value Date: 20/05/2021"/>
        <s v="BAR TOSCA SYDNEY NS AUS Card xx8882 Value Date: 19/05/2021"/>
        <s v="Telstra Direct Debit AUSTRALIA SA AUS Card xx8882 Value Date: 17/05/2021"/>
        <s v="SPOTTO NSW DARLINGHURSTN NS AUS Card xx8882 Value Date: 16/05/2021"/>
        <s v="SPEEDW AY ROSEVILLE ROSEVILLE NS AUS Card xx8882 Value Date: 14/05/2021"/>
        <s v="UBER *EATS Sydney AU AUS Card xx8882 Value Date: 16/05/2021"/>
        <s v="STRIKE AUSTRALIA PTY SYDNEY NS AUS Card xx8882 Value Date: 15/05/2021"/>
        <s v="SHWARMAMA PTY LTD SURRY HILLS NS AUS Tap and Pay xx2711 Value Date: 12/05/2021"/>
        <s v="NBC-PAY &amp; DISPLAY PARK DEE WHY AUS Card xx8882 Value Date: 14/05/2021"/>
        <s v="BETTYS BURGERS AUSTRAL BONDI JUNCTIOAU Card xx8882"/>
        <s v="Barangaroo House Barangaroo AU"/>
        <s v="BAR TOSCA SYDNEY NS AUS Card xx8882 Value Date: 13/05/2021"/>
        <s v="ALDI STORES - DRUMMOYN DRUMMOYNE AUS Tap and Pay xx2711 Value Date: 11/05/2021"/>
        <s v="Transfer to CBA A/c CommBank app gig iou"/>
        <s v="TRANSPORTFORNSW OPAL CHIPPENDALE AUS Card xx8882 Value Date: 12/05/2021"/>
        <s v="Transfer From GEOFFREY COLLINS electricity"/>
        <s v="Salary SERVAUPAYROLL 20223P 85920286"/>
        <s v="Menulog Pty Ltd Sydney AU AUS Card xx8882 Value Date: 12/05/2021"/>
        <s v="Direct Debit 314011 SUMO PAYWAY2961317502"/>
        <s v="UBER *EATS Sydney AU AUS Card xx8882 Value Date: 10/05/2021"/>
        <s v="RAMTEAN  food"/>
        <s v="Menulog Pty Ltd Sydney AU AUS Card xx8882 Value Date: 11/05/2021"/>
        <s v="WW METRO 1669 SURRY HILLS NS AUS Tap and Pay xx2711 Value Date: 07/05/2021"/>
        <s v="UBER *EATS Sydney AU AUS Card xx8882 Value Date: 09/05/2021"/>
        <s v="UBER *EATS Sydney AU AUS Card xx8882 Value Date: 08/05/2021"/>
        <s v="SHWARMAMA PTY LTD SURRY HILLS NS AUS Tap and Pay xx2711 Value Date: 07/05/2021"/>
        <s v="Netbank to Complete Access CommBank app crpyto"/>
        <s v="Katrina Duncan PayID Phone from CommBank App food iou"/>
        <s v="House Deposit"/>
        <s v="BAR TOSCA SYDNEY NS AUS Tap and Pay xx2711 Value Date: 06/05/2021"/>
        <s v="Camy's Chargrill SH Surry Hills NS AUS Tap and Pay xx2711 Value Date: 05/05/2021"/>
        <s v="H Roozbehani Gift to Rodean from Dad"/>
        <s v="Oxford Hotel DRUMMOYNE AU AUS Tap and Pay xx2711 Value Date: 02/05/2021"/>
        <s v="UBER *EATS Sydney AU AUS Card xx8882 Value Date: 02/05/2021"/>
        <s v="TENKOMORI SYDNEY AUS Tap and Pay xx2711 Value Date: 30/04/2021"/>
        <s v="Katrina Duncan PayID Phone from CommBank App VR"/>
        <s v="grunt electricity"/>
        <s v="Direct Debit 245164 HCFHEALTHANDLIFE 057233969SV6VQ6565"/>
        <s v="Rio Ticket Louis Wayment"/>
        <s v="PHOTOWN Alexandria NS AUS Tap and Pay xx2711 Value Date: 29/04/2021"/>
        <s v="Camy's Chargrill SH Surry Hills NS AUS Tap and Pay xx2711 Value Date: 29/04/2021"/>
        <s v="UBER *EATS Sydney AU AUS Card xx8882 Value Date: 28/04/2021"/>
        <s v="TAXI COMBINED 133300 ALEXANDRIA NS AUS Tap and Pay xx2711 Value Date: 28/04/2021"/>
        <s v="DOORDASH*DOS SENORITAS MELBOURNE VI AUS Card xx8882 Value Date: 29/04/2021"/>
        <s v="CITY CONVENIENCE STORE HAYMARKET NS AUS Tap and Pay xx2711 Value Date: 27/04/2021"/>
        <s v="BAR BROADWAY BROADWAY AUS Tap and Pay xx2711 Value Date: 27/04/2021"/>
        <s v="TRANSPORTFORNSW OPAL CHIPPENDALE AUS Card xx8882 Value Date: 27/04/2021"/>
        <s v="Salary SERVAUPAYROLL 19431P 85920286"/>
        <s v="Rent"/>
        <s v="Kyo-To Spice Alley Chippendale NS AUS Tap and Pay xx2711 Value Date: 27/04/2021"/>
        <s v="Ground Floor Estab Sydney NS AUS Tap and Pay xx2711 Value Date: 28/04/2021"/>
        <s v="ACTIVE8 POOL TABLES KIRRAWEE NS AUS Tap and Pay xx2711 Value Date: 27/04/2021"/>
        <s v="MCDONALDS NAMBUCCA HD VALLA AUS Tap and Pay xx2711 Value Date: 23/04/2021"/>
        <s v="MCDONALDS F3 NORTHBOU JILLIBY AUS Tap and Pay xx2711 Value Date: 23/04/2021"/>
        <s v="COLES 0849 DRUMMOYNE AU AUS Tap and Pay xx2711 Value Date: 26/04/2021"/>
        <s v="BVL PARTNERSHIP PL BELLINGEN NS AUS Card xx8882 Value Date: 23/04/2021"/>
        <s v="BP NAMBUCCA TRVL CTR 7 VALLA NS AUS Tap and Pay xx2711 Value Date: 23/04/2021"/>
        <s v="UNITED DORRIGO DORRIGO NS AUS Tap and Pay xx2711 Value Date: 23/04/2021"/>
        <s v="RAMTEAN  loan"/>
        <s v="Netbank to Complete Access CommBank app"/>
        <s v="Hilltop at the Lodge Bellingen NS AUS Tap and Pay xx2711 Value Date: 25/04/2021"/>
        <s v="EBOR PUB PL EBOR AUS Tap and Pay xx2711 Value Date: 23/04/2021"/>
        <s v="CALTEX COOLONGOLOOK COOLONGOLOOK AUS Tap and Pay xx2711 Value Date: 25/04/2021"/>
        <s v="Overdraw Fee For exceeding available funds on 23 Apr"/>
        <s v="MANGO COCO THAI DESSER HAYMARKET AUS Tap and Pay xx2711 Value Date: 22/04/2021"/>
        <s v="7-ELEVEN 2048 DRUMMOYNE NS AUS Tap and Pay xx2711 Value Date: 22/04/2021"/>
        <s v="Menulog Pty Ltd Sydney AU AUS Card xx8882 Value Date: 22/04/2021"/>
        <s v="BAR TOSCA SYDNEY NS AUS Tap and Pay xx2711 Value Date: 21/04/2021"/>
        <s v="Dick Smith FKFBJM9Y Melbourne AU AUS Card xx8882 Value Date: 20/04/2021 (Kogan Fridge)"/>
        <s v="Telstra Direct Debit AUSTRALIA SA AUS Card xx8882 Value Date: 19/04/2021"/>
        <s v="RAMTEAN  fridge"/>
        <s v="Menulog Pty Ltd Sydney AU AUS Card xx8882 Value Date: 19/04/2021"/>
        <s v="COLES 0849 DRUMMOYNE AU AUS Card xx8882 Value Date: 19/04/2021"/>
        <s v="WW METRO 1669 SURRY HILLS NS AUS Card xx8882 Value Date: 16/04/2021"/>
        <s v="UBER* TRIP SYDNEY NS AUS Card xx8882 Value Date: 18/04/2021"/>
        <s v="UBER *TRIP Sydney AU AUS Card xx8882 Value Date: 17/04/2021"/>
        <s v="UBER *EATS Sydney AU AUS Card xx8882 Value Date: 17/04/2021"/>
        <s v="UBER *EATS Sydney AU AUS Card xx8882 Value Date: 16/04/2021"/>
        <s v="OXFORD WORLD SQUARE SYDNEY AU AUS Card xx8882 Value Date: 16/04/2021"/>
        <s v="geoff fridge"/>
        <s v="Coinspot Deposit 996194599870"/>
        <s v="PHOTOWN Alexandria NS AUS Card xx8882 Value Date: 15/04/2021"/>
        <s v="TRANSPORTFORNSW OPAL CHIPPENDALE AUS Card xx8882 Value Date: 15/04/2021"/>
        <s v="SHWARMAMA PTY LTD SURRY HILLS AU"/>
        <s v="Menulog Pty Ltd Sydney AU AUS Card xx8882 Value Date: 14/04/2021"/>
        <s v="BAR TOSCA SYDNEY NS AUS Card xx8882 Value Date: 14/04/2021"/>
        <s v="Salary SERVAUPAYROLL 20043P 85920286"/>
        <s v="UBER *EATS Sydney AU AUS Card xx8882 Value Date: 11/04/2021"/>
        <s v="UBER *EATS Sydney AU AUS Card xx8882 Value Date: 10/04/2021"/>
        <s v="COLES 0849 DRUMMOYNE AU AUS Tap and Pay xx2711 Value Date: 11/04/2021"/>
        <s v="UBER *EATS Sydney AU AUS Card xx8882 Value Date: 09/04/2021"/>
        <s v="RAMTEAN  foods"/>
        <s v="geoff wedges"/>
        <s v="H Roozbehani Gift"/>
        <s v="Coinspot Deposit 996194104530"/>
        <s v="MASOUMEH GHOLAMSHAHI To Rodean for business"/>
        <s v="MASOUMEH GHOLAMSHAHI the rest for investment business"/>
        <s v="MASOUMEH GHOLAMSHAHI CREDIT TO ACCOUNT"/>
        <s v="Coinspot Deposit 996194070673"/>
        <s v="Coinspot Deposit 996194069976"/>
        <s v="Jonathan K Oliver CommBank App iou"/>
        <s v="Coinspot Deposit 996194045018"/>
        <s v="BAR TOSCA SYDNEY NS AUS Card xx8882 Value Date: 07/04/2021"/>
        <s v="UBER *EATS Sydney AU AUS Card xx8882 Value Date: 05/04/2021"/>
        <s v="UBER *EATS Sydney AU AUS Card xx8882 Value Date: 04/04/2021"/>
        <s v="TENKOMORI SYDNEY AU Card xx8882"/>
        <s v="Return ETORO INTERNET AU AUS Card xx8882 Value Date: 05/04/2021"/>
        <s v="Microsoft*Microsoft 36 msbill.info AU AUS Card xx8882 Value Date: 06/04/2021"/>
        <s v="COLES 0849 DRUMMOYNE AU AUS Card xx8882 Value Date: 06/04/2021"/>
        <s v="UBER *EATS Sydney AU AUS Card xx8882 Value Date: 03/04/2021"/>
        <s v="Direct Credit 067596 OZFOREX LIMITED HELLOSTAKE.COM"/>
        <s v="Coinspot Deposit 996193760461"/>
        <s v="Jonathan K Oliver CommBank App food"/>
        <s v="RAMTEAN  CommBank App iou"/>
        <s v="RAMTEAN  CommBank App facebook ad spend"/>
        <s v="UBER *EATS Sydney AU AUS Card xx8882 Value Date: 29/03/2021"/>
        <s v="TRANSPORTFORNSW OPAL CHIPPENDALE AUS Card xx8882 Value Date: 31/03/2021"/>
        <s v="Direct Debit 245164 HCFHEALTHANDLIFE 057233969SMD0W3KGM"/>
        <s v="COLES 0849 DRUMMOYNE AU AUS Tap and Pay xx2711 Value Date: 29/03/2021"/>
        <s v="xx0814 CommBank app"/>
        <s v="UBER* EATS SYDNEY NS AUS Card xx8882 Value Date: 27/03/2021"/>
        <s v="UBER *EATS Sydney AU AUS Card xx8882 Value Date: 28/03/2021"/>
        <s v="Direct Debit 314011 SUMO PAYWAY2926416056"/>
        <s v="ETORO INTERNET AU AUS Card xx8882 Value Date: 26/03/2021"/>
        <s v="CENTENNIAL PLAZA PHR SYDNEY NS AUS Card xx8882 Value Date: 25/03/2021"/>
        <s v="BAR TOSCA SYDNEY NS AUS Card xx8882 Value Date: 26/03/2021"/>
        <s v="COLES 0849 DRUMMOYNE AU AUS Card xx8882 Value Date: 24/03/2021"/>
        <s v="WW METRO 1669 SURRY HILLS NS AUS Card xx8882 Value Date: 24/03/2021"/>
        <s v="SQ *SURRY HILLS DUMPLI Surry Hills AU"/>
        <s v="UBER *EATS Sydney AU AUS Card xx8882 Value Date: 21/03/2021"/>
        <s v="Return AIRBNB * HMKYJT9CSQ Surry Hills AU AUS Card xx8882 Value Date: 20/03/2021"/>
        <s v="geoff electricity p1"/>
        <s v="Telstra Direct Debit AUSTRALIA SA AUS Card xx8882 Value Date: 18/03/2021"/>
        <s v="ESEL Pty Ltd Lidcombe AU AUS Card xx8882 Value Date: 20/03/2021"/>
        <s v="AIRBNB * HMKYJT9CSQ Surry Hills AU AUS Card xx8882 Value Date: 18/03/2021"/>
        <s v="WW METRO 1669 SURRY HILLS NS AUS Card xx8882 Value Date: 18/03/2021"/>
        <s v="PHOTOWN Alexandria NS AUS Card xx8882 Value Date: 18/03/2021"/>
        <s v="NETFLIX.COM Melbourne AU AUS Card xx8882 Value Date: 18/03/2021"/>
        <s v="TRANSPORTFORNSW OPAL CHIPPENDALE AUS Card xx8882 Value Date: 18/03/2021"/>
        <s v="Salary SERVAUPAYROLL 19560P 85920286"/>
        <s v="Woolwich Pier Woolwich AU AUS Card xx8882 Value Date: 13/03/2021"/>
        <s v="UBER *EATS Sydney AU AUS Card xx8882 Value Date: 14/03/2021"/>
        <s v="COLES 0849 DRUMMOYNE AU AUS Card xx8882 Value Date: 15/03/2021"/>
        <s v="Unpaid Payment Fee Value Date: 15/03/2021"/>
        <s v="Return 15/03/21 Direct Debit 314011 SUMO PAYWAY2913696277 Value Date: 15/03/2021"/>
        <s v="Overdraw Fee For exceeding available funds on 15 Mar"/>
        <s v="Menulog Pty Ltd Sydney AU AUS Card xx8882 Value Date: 13/03/2021"/>
        <s v="CITY MART 525 PTY LT SYDNEY NS AUS Card xx8882 Value Date: 12/03/2021"/>
        <s v="BAR TOSCA SYDNEY NS AUS Card xx8882 Value Date: 12/03/2021"/>
        <s v="Direct Debit 314011 SUMO PAYWAY2913696277"/>
        <s v="PHOTOWN Alexandria NS AUS Tap and Pay xx2711 Value Date: 11/03/2021"/>
        <s v="WW METRO 1669 CENTRAL STATN NS AUS Card xx8882 Value Date: 10/03/2021"/>
        <s v="COLES 0849 DRUMMOYNE AU AUS Card xx8882 Value Date: 08/03/2021"/>
        <s v="7-ELEVEN 2048 DRUMMOYNE NS AUS Card xx8882 Value Date: 09/03/2021"/>
        <s v="Coinspot Deposit 996192019081"/>
        <s v="WW METRO 1669 CENTRAL STATN NS AUS Card xx8882 Value Date: 05/03/2021"/>
        <s v="UBER *TRIP Sydney AU AUS Card xx8882 Value Date: 04/03/2021"/>
        <s v="TRANSPORTFORNSW OPAL CHIPPENDALE AUS Card xx8882 Value Date: 05/03/2021"/>
        <s v="PHOTOWN Alexandria NS AUS Card xx8882 Value Date: 05/03/2021"/>
        <s v="Jonathan K Oliver CommBank App food iou"/>
        <s v="RELISH FOOD CO. PTY. L SURRY HILLS AU Card xx8882"/>
        <s v="UBER *EATS Sydney AU AUS Card xx8882 Value Date: 28/02/2021"/>
        <s v="WW METRO 1669 CENTRAL STATN NS AUS Card xx8882 Value Date: 26/02/2021"/>
        <s v="RAMTEAN  CommBank App food iou"/>
        <s v="Direct Debit 245164 HCFHEALTHANDLIFE 057233969SUJREZY8W"/>
        <s v="WW METRO 1669 CENTRAL STATN NS AUS Card xx8882 Value Date: 25/02/2021"/>
        <s v="PHOTOWN Alexandria NS AUS Card xx8882 Value Date: 25/02/2021"/>
        <s v="TRANSPORTFORNSW OPAL CHIPPENDALE AUS Card xx8882 Value Date: 25/02/2021"/>
        <s v="Direct Credit 012721 ATO ATO005000014206811"/>
        <s v="UBER* EATS SYDNEY NS AUS Card xx8882 Value Date: 21/02/2021"/>
        <s v="UBER *EATS Sydney AU AUS Card xx8882 Value Date: 20/02/2021"/>
        <s v="Oxford Hotel DRUMMOYNE AU AUS Card xx8882 Value Date: 21/02/2021"/>
        <s v="COLES 0849 DRUMMOYNE AU AUS Card xx8882 Value Date: 22/02/2021"/>
        <s v="7-ELEVEN 2048 DRUMMOYNE NS AUS Card xx8882 Value Date: 22/02/2021"/>
        <s v="WW METRO 1669 CENTRAL STATN NS AUS Card xx8882 Value Date: 19/02/2021"/>
        <s v="geoff dinner"/>
        <s v="WW METRO 1669 CENTRAL STATN NS AUS Card xx8882 Value Date: 17/02/2021"/>
        <s v="TRANSPORTFORNSW OPAL CHIPPENDALE AUS Card xx8882 Value Date: 18/02/2021"/>
        <s v="PHOTOWN Alexandria NS AUS Card xx8882 Value Date: 17/02/2021"/>
        <s v="UBER *EATS Sydney AU AUS Card xx8882 Value Date: 15/02/2021"/>
        <s v="Telstra Direct Debit AUSTRALIA SA AUS Card xx8882 Value Date: 16/02/2021"/>
        <s v="Salary SERVAUPAYROLL 20172P 85920286"/>
        <s v="UBER* EATS SYDNEY NS AUS Card xx8882 Value Date: 14/02/2021"/>
        <s v="WW METRO 1669 CENTRAL STATN NS AUS Card xx8882 Value Date: 12/02/2021"/>
        <s v="Dick's Hotel Balmain Balmain NS AUS Card xx8882 Value Date: 12/02/2021"/>
        <s v="xx0814 CommBank app stock"/>
        <s v="WW METRO 1669 CENTRAL STATN NS AUS Card xx8882 Value Date: 11/02/2021"/>
        <s v="Coinspot Deposit 135209500 815C8A09"/>
        <s v="WW METRO 1669 CENTRAL STATN NS AUS Card xx8882 Value Date: 10/02/2021"/>
        <s v="PHOTOWN Alexandria NS AUS Card xx8882 Value Date: 10/02/2021"/>
        <s v="TRANSPORTFORNSW OPAL CHIPPENDALE AUS Card xx8882 Value Date: 10/02/2021"/>
        <s v="Direct Debit 314011 SUMO PAYWAY2887933873"/>
        <s v="COLES 0849 DRUMMOYNE AU AUS Card xx8882 Value Date: 09/02/2021"/>
        <s v="UBER *EATS Sydney AU AUS Card xx8882 Value Date: 07/02/2021"/>
        <s v="WW METRO 1669 CENTRAL STATN NS AUS Card xx8882 Value Date: 05/02/2021"/>
        <s v="WW METRO 1669 CENTRAL STATN NS AUS Card xx8882 Value Date: 04/02/2021"/>
        <s v="SQ *THE TASTE OF BEES Drummoyne AU"/>
        <s v="PHOTOWN Alexandria NS AUS Card xx8882 Value Date: 04/02/2021"/>
        <s v="WW METRO 1669 CENTRAL STATN NS AUS Card xx8882 Value Date: 03/02/2021"/>
        <s v="Salary SERVAUPAYROLL 19331P 85920286"/>
        <s v="UBER* EATS SYDNEY NS AUS Card xx8882 Value Date: 31/01/2021"/>
        <s v="UBER *EATS Sydney AU AUS Card xx8882 Value Date: 31/01/2021"/>
        <s v="UBER *EATS Sydney AU AUS Card xx8882 Value Date: 30/01/2021"/>
        <s v="COLES 0849 DRUMMOYNE AU AUS Card xx8882 Value Date: 01/02/2021"/>
        <s v="BAR TOSCA SYDNEY NS AUS Card xx8882 Value Date: 29/01/2021"/>
        <s v="7-ELEVEN 2048 DRUMMOYNE NS AUS Card xx8882 Value Date: 29/01/2021"/>
        <s v="Direct Debit 245164 HCFHEALTHANDLIFE 057233969S4GPZVYTG"/>
        <s v="Coinspot Deposit 996189508621"/>
        <s v="Coinspot Deposit 996189508474"/>
        <s v="WW METRO 1669 CENTRAL STATN NS AUS Card xx8882 Value Date: 28/01/2021"/>
        <s v="WW METRO 1669 CENTRAL STATN NS AUS Card xx8882 Value Date: 27/01/2021"/>
        <s v="TRANSPORTFORNSW OPAL CHIPPENDALE AUS Card xx8882 Value Date: 28/01/2021"/>
        <s v="PHOTOWN Alexandria NS AUS Card xx8882 Value Date: 27/01/2021"/>
        <s v="POLITIX BIRKIN HEAD DRUMMOYNE NS AUS Card xx8882 Value Date: 23/01/2021"/>
        <s v="ME-AND-U 0290578500 NS AUS Card xx8882 Value Date: 25/01/2021"/>
        <s v="CONQUEST PTY LTD DRUMMOYNE NS AUS Card xx8882 Value Date: 24/01/2021"/>
        <s v="Bendooley Estate Berrima NS AUS Card xx8882 Value Date: 25/01/2021"/>
        <s v="WW METRO 1669 CENTRAL STATN NS AUS Card xx8882 Value Date: 22/01/2021"/>
        <s v="UBER *EATS Sydney AU AUS Card xx8882 Value Date: 21/01/2021"/>
        <s v="SUMO POWER SOUTH MELBOUR AUS Card xx8882 Value Date: 21/01/2021"/>
        <s v="SERVICE NSW 4007 HAYMARKET AUS Card xx8882 Value Date: 22/01/2021"/>
        <s v="Royal Hotel Bowral Bowral AU"/>
        <s v="Katrina Duncan PayID Phone from CommBank App iou"/>
        <s v="SOUTHERN HT 4872480 SYDNEY NSW AU"/>
        <s v="CENTENNIAL VINEYARDS BOWRAL AU Card xx8882"/>
        <s v="Camy's Chargrill SH Surry Hills NS AUS Tap and Pay xx2711 Value Date: 21/01/2021"/>
        <s v="WW METRO 1669 CENTRAL STATN NS AUS Card xx8882 Value Date: 20/01/2021"/>
        <s v="PHOTOWN Alexandria NS AUS Card xx8882 Value Date: 20/01/2021"/>
        <s v="TRANSPORTFORNSW OPAL CHIPPENDALE AUS Card xx8882 Value Date: 20/01/2021"/>
        <s v="TOP FRUIT MARKET DRUMMOYNE NS AUS Card xx8882 Value Date: 19/01/2021"/>
        <s v="Telstra Direct Debit AUSTRALIA SA AUS Card xx8882 Value Date: 18/01/2021"/>
        <s v="SUMO POWER SOUTH MELBOUR AUS Card xx8882 Value Date: 18/01/2021"/>
        <s v="Salary SERVAUPAYROLL 20092P 85920286"/>
        <s v="MASOUMEH GHOLAMSHAHI Dinner order"/>
        <s v="GM CABS PTY LTD MASCOT AUS Card xx8882 Value Date: 17/01/2021"/>
        <s v="LEGION CAB SY 131451 DARLINGHURST NS AUS Card xx8882 Value Date: 16/01/2021"/>
        <s v="HOLEY MOLEY AUSTRALI POTTS POINT NS AUS Card xx8882 Value Date: 16/01/2021"/>
        <s v="UBER* EATS SYDNEY NS AUS Card xx8882 Value Date: 15/01/2021"/>
        <s v="Withdrawal   ATMCAS POTTS POINT NSW NS AU"/>
        <s v="ROZELLE PHARMACY PTY ROZELLE AU Card xx8882"/>
        <s v="Potts Point Hotel Potts Point AU"/>
        <s v="COLES 0849 DRUMMOYNE AU AUS Card xx8882 Value Date: 11/01/2021"/>
        <s v="WW METRO 1669 CENTRAL STATN NS AUS Card xx8882 Value Date: 11/01/2021"/>
        <s v="UBER *EATS Sydney AU AUS Card xx8882 Value Date: 10/01/2021"/>
        <s v="UBER* EATS SYDNEY NS AUS Card xx8882 Value Date: 08/01/2021"/>
        <s v="MANNYS Alexandria NS AUS Card xx8882 Value Date: 09/01/2021 (Behringer Ultragain, Presonous USB interface for Grunt, HOSA Snake cable, Toslink cables, Coax cables, Akai Fire)"/>
        <s v="Direct Credit 398088 OPTUS BILLING 62103618682"/>
        <s v="RAMTEAN  music equipment"/>
        <s v="food iou"/>
        <s v="KHANS IGA GERRINGONG GERRINGONG AUS Card xx8882 Value Date: 06/01/2021"/>
        <s v="BLOOMS THE CHEMIST LEICHHARDT AU Card xx8882"/>
        <s v="Salary SERVAUPAYROLL 20103P 85920286"/>
        <s v="OVOLO WOOLOOMOOLOO WOOLLOOMOOLOO NS AUS Card xx8882 Value Date: 02/01/2021"/>
        <s v="UBER *TRIP Sydney AU AUS Card xx8882 Value Date: 02/01/2021"/>
        <s v="JB HI FI LEICHHARDT NS AUS Card xx8882 Value Date: 03/01/2021"/>
        <s v="Direct Debit 245164 HCFHEALTHANDLIFE 057233969SOIBTBIBY"/>
        <s v="Withdrawal   ATMETX DASH ATM FORBES ST SYDNEY AU"/>
        <s v="THE LORD NELSON BREW THE ROCKS NSWAU"/>
        <s v="GLENMORE ROOFTOP HOT THE ROCKS AU Card xx8882"/>
        <s v="UBER *EATS Sydney AU AUS Card xx8882 Value Date: 29/12/2020"/>
        <s v="TELSTRA PAYBYPHONE MELBOURNE VI AUS Card xx8882 Value Date: 30/12/2020"/>
        <s v="LIQUORLAND 3301 DRUMMOYNE AU AUS Card xx8882 Value Date: 30/12/2020"/>
        <s v="COLES 0849 DRUMMOYNE AU AUS Card xx8882 Value Date: 30/12/2020"/>
        <s v="UBER *EATS Sydney AU AUS Card xx8882 Value Date: 28/12/2020"/>
        <s v="JB HI FI LEICHHARDT NS AUS Card xx8882 Value Date: 26/12/2020 (Drone Accessories: SD Card + Propellors)"/>
        <s v="7-ELEVEN 2205 WEST PENNANT NS AUS Card xx8882 Value Date: 25/12/2020"/>
        <s v="Thendro Pty Ltd Melbourne AUS Card xx8882 Value Date: 23/12/2020"/>
        <s v="PRIME QUALITY MEATS LEICHHARDT NS AUS Card xx8882 Value Date: 23/12/2020"/>
        <s v="JB HI FI LEICHHARDT NS AUS Card xx8882 Value Date: 23/12/2020 (Drone + Propellors [$1491.15 EFTPOS + 600 paid in cash])"/>
        <s v="Dick Smith (CStand Bracket Monitor Mount Arm + Laptop Tray Holder Adapter LCD Screen Desktop) Q47NEXG7 Melbourne AU AUS Card xx8882 Value Date: 24/12/2020 "/>
        <s v="CATCH BENTLEIGH EAS VI AUS Card xx8882 Value Date: 24/12/2020 (DJI Mavic 2 Fly more Pack)"/>
        <s v="UBER* EATS SYDNEY NS AUS Card xx8882 Value Date: 23/12/2020"/>
        <s v="COLES 0846 LEICHHARDT AU AUS Card xx8882 Value Date: 23/12/2020"/>
        <s v="SDRO INFRNGMNT PAYME MAITLAND NS AUS Card xx8882 Value Date: 21/12/2020"/>
        <s v="Salary SERVAUPAYROLL 20204P 85920286"/>
        <s v="RevenueNSW Fine BPAY 36848 89460952529832 Revenue NSW"/>
        <s v="RAMTEAN  grunt fine"/>
        <s v="CLRK RUBER HABERFLD HABERFIELD AUS Card xx8882 Value Date: 20/12/2020 (Rubber for microphone repair)"/>
        <s v="CITYOFSYDNEY PARKING SYDNEY AUS Card xx8882 Value Date: 21/12/2020"/>
        <s v="UBER* EATS SYDNEY NS AUS Card xx8882 Value Date: 20/12/2020"/>
        <s v="UBER *EATS Sydney AU AUS Card xx8882 Value Date: 20/12/2020"/>
        <s v="HARRIS FARM MARKETS LEICHHARDT AU Card xx8882"/>
        <s v="BP CONNECT 9562 ROZELLE NS AUS Card xx8882 Value Date: 18/12/2020"/>
        <s v="Sanders Subramani CommBank App sherwins bucks rodean"/>
        <s v="LEICHHARDT MUNICIPAL C LEICHHARDT AU AUS Card xx8882 Value Date: 18/12/2020"/>
        <s v="Withdrawal   ATMETX COOGEE PAVILION 1 COOGEE AU"/>
        <s v="ST VIN DE PAUL SOC NSW GLEBE AU Card xx8882"/>
        <s v="IKEA PTY LTD TEMPE NS AUS Card xx8882 Value Date: 17/12/2020  - standup desk (mum)"/>
        <s v="ST VIN DE PAUL SOC NSW ROZELLE AU Card xx8882"/>
        <s v="MASOUMEH GHOLAMSHAHI Your BD present &amp; my chair"/>
        <s v="UBER* EATS SYDNEY NS AUS Card xx8882 Value Date: 13/12/2020"/>
        <s v="UBER* EATS SYDNEY NS AUS Card xx8882 Value Date: 08/12/2020"/>
        <s v="OXFORD OPERATIONS PTY MILSONS POINTAU Card xx8882"/>
        <s v="Salary SERVAUPAYROLL 19211P 85920286"/>
        <s v="Withdrawal   ATMCBA ATM ROZELLE B NSW 224302 AUS"/>
        <s v="UBER* EATS SYDNEY NS AUS Card xx8882 Value Date: 06/12/2020"/>
        <s v="Netbank to Complete Access Chair HrmnMiller Beyou"/>
        <s v="Direct Debit 494894 OPTUS BILLING 62103618682"/>
        <s v="COLES 0849 DRUMMOYNE AU AUS Card xx8882 Value Date: 05/12/2020"/>
        <s v="7-ELEVEN 2048 DRUMMOYNE NS AUS Card xx8882 Value Date: 03/12/2020"/>
        <s v="SUMO POWER SOUTH MELBOUR AUS Card xx8882 Value Date: 01/12/2020"/>
        <s v="RAMTEAN  mum dinner"/>
        <s v="UBER *EATS Sydney AU AUS Card xx8882 Value Date: 30/11/2020"/>
        <s v="THE MALAYA RESTAURANT SYDNEY AU"/>
        <s v="UBER* EATS SYDNEY NS AUS Card xx8882 Value Date: 28/11/2020"/>
        <s v="UBER *EATS Sydney AU AUS Card xx8882 Value Date: 28/11/2020"/>
        <s v="Menulog Pty Ltd Sydney AU AUS Card xx8882 Value Date: 30/11/2020"/>
        <s v="DOORDASH*GRINGOS FRESH MELBOURNE VI AUS Card xx8882 Value Date: 29/11/2020"/>
        <s v="UBER *EATS Sydney AU AUS Card xx8882 Value Date: 27/11/2020"/>
        <s v="MCDONALDS STANMORE STANMORE AUS Tap and Pay xx2711 Value Date: 25/11/2020"/>
        <s v="geoff electricity"/>
        <s v="Direct Debit 245164 HCFHEALTHANDLIFE 057233969SC3MXCA6R"/>
        <s v="geoff geoff Value Date: 30/11/2020"/>
        <s v="Direct Credit 012721 ATO ATO008000014141635"/>
        <s v="RAMTEAN  CommBank App server"/>
        <s v="IGA DRUMMOYNE QPS DRUMMOYNE AUS Tap and Pay xx2711 Value Date: 25/11/2020"/>
        <s v="Coinspot Deposit 996185680350"/>
        <s v="Salary SERVAUPAYROLL 19454P 85920286"/>
        <s v="General&amp;Co Lobby Bar Lilyfield NS AUS Tap and Pay xx2711 Value Date: 24/11/2020"/>
        <s v="COLES EXPRESS 1617 DRUMMOYNE AU AUS Tap and Pay xx2711 Value Date: 24/11/2020"/>
        <s v="Coinspot Deposit 996185613633"/>
        <s v="UBER* EATS SYDNEY NS AUS Card xx8882 Value Date: 23/11/2020"/>
        <s v="UBER* EATS SYDNEY NS AUS Card xx8882 Value Date: 22/11/2020"/>
        <s v="UBER *EATS Sydney AU AUS Card xx8882 Value Date: 21/11/2020"/>
        <s v="7-ELEVEN 2048 DRUMMOYNE NS AUS Tap and Pay xx2711 Value Date: 19/11/2020"/>
        <s v="Withdrawal   ATMCBA ATM DRUMMOYNE B NSW 215702 AUS"/>
        <s v="SDRO INFRNGMNT PAYME MAITLAND NS AUS Card xx8882 Value Date: 17/11/2020"/>
        <s v="GM CABS PTY LTD MASCOT AUS Card xx8882 Value Date: 15/11/2020"/>
        <s v="COLES EXPRESS 1588 STANMORE AU AUS Card xx8882 Value Date: 17/11/2020"/>
        <s v="COLES 0849 DRUMMOYNE AU AUS Card xx8882 Value Date: 17/11/2020"/>
        <s v="UBER* EATS SYDNEY NS AUS Card xx8882 Value Date: 16/11/2020"/>
        <s v="UBER *EATS Sydney AU AUS Card xx8882 Value Date: 15/11/2020"/>
        <s v="UBER *EATS Sydney AU AUS Card xx8882 Value Date: 14/11/2020"/>
        <s v="Withdrawal   ATMCAS STANMORE NSW NS AU"/>
        <s v="UBER *EATS Sydney AU AUS Card xx8882 Value Date: 13/11/2020"/>
        <s v="International Transaction Fee Value Date: 12/11/2020"/>
        <s v="ExpressVPN 13106018492 GI GIB Card xx8882 USD 99.95 Value Date: 12/11/2020"/>
        <s v="STEVES SELECT MEATS DRUMMOYNE AU Card xx8882"/>
        <s v="Withdrawal   ATMCAS 7-11 DRUMMOYNE DRUMMOYN NS AU"/>
        <s v="UBER* EATS SYDNEY NS AUS Card xx8882 Value Date: 11/11/2020"/>
        <s v="SUMO POWER South Melbour AUS Card xx8882 Value Date: 10/11/2020"/>
        <s v="UBER* EATS SYDNEY NS AUS Card xx8882 Value Date: 09/11/2020"/>
        <s v="UBER *EATS Sydney AU AUS Card xx8882 Value Date: 08/11/2020"/>
        <s v="RAMTEAN  CommBank app foods"/>
        <s v="UBER* EATS SYDNEY NS AUS Card xx8882 Value Date: 07/11/2020"/>
        <s v="UBER *EATS Sydney AU AUS Card xx8882 Value Date: 05/11/2020"/>
        <s v="Justin Bradley CommBank App iou thx"/>
        <s v="Reversal of transaction Louis Wayment Account closed"/>
        <s v="Louis Wayment CommBank App iou pizza"/>
        <s v="NETFLIX COM MELBOURNE AUS Card xx8882 Value Date: 04/11/2020"/>
        <s v="BEATPORT 720-974-9500 CO USA Card xx8882 AUD 1.86 Value Date: 05/11/2020"/>
        <s v="Menulog Pty Ltd Sydney AU AUS Card xx8882 Value Date: 01/11/2020"/>
        <s v="DESTROS PHARMACY DRUMMOYNE NS AUS Card xx8882 Value Date: 30/10/2020"/>
        <s v="Direct Debit 245164 HCFHEALTHANDLIFE 057233969S1VWI1HTS"/>
        <s v="Trattoria Casa Chiswick NS AUS Card xx8882 Value Date: 29/10/2020"/>
        <s v="COLES 0849 DRUMMOYNE AU AUS Card xx8882 Value Date: 28/10/2020"/>
        <s v="Salary SERVAUPAYROLL 20245P 85920286"/>
        <s v="UBER *EATS Sydney AU AUS Card xx8882 Value Date: 25/10/2020"/>
        <s v="UBER *EATS Sydney AU AUS Card xx8882 Value Date: 24/10/2020"/>
        <s v="DOORDASH*DOS SENORITAS MELBOURNE VI AUS Card xx8882 Value Date: 24/10/2020"/>
        <s v="UBER *EATS Sydney AU AUS Card xx8882 Value Date: 21/10/2020"/>
        <s v="geoff CommBank app Geoff"/>
        <s v="LINKT SYDNEY SYDNEY AUS Card xx8882 Value Date: 20/10/2020"/>
        <s v="UBER* EATS SYDNEY NS AUS Card xx8882 Value Date: 17/10/2020"/>
        <s v="Return CRAZYDOMAINSHOSTING 61290372826 SG SGP Card xx8882 AUD 20.12 Value Date: 15/10/2020"/>
        <s v="ALDI STORES - DRUMMOYN DRUMMOYNE AUS Tap and Pay xx2711 Value Date: 14/10/2020"/>
        <s v="RAMTEAN  CommBank App food"/>
        <s v="Coinspot Deposit tax return 17 18"/>
        <s v="Jonathan K Oliver CommBank App kfc"/>
        <s v="UBER *EATS Sydney AU AUS Card xx8882 Value Date: 10/10/2020"/>
        <s v="COLES 0849 DRUMMOYNE AU AUS Tap and Pay xx2711 Value Date: 14/10/2020"/>
        <s v="Salary SERVAUPAYROLL 19434P 85920286"/>
        <s v="UBER *EATS Sydney AU AUS Card xx8882 Value Date: 11/10/2020"/>
        <s v="CUPITT ULLADULLA NS AUS Card xx8882 Value Date: 08/10/2020"/>
        <s v="geoff CommBank app geoff rod"/>
        <s v="WOOLWORTHS 1136 ULLADULLA NS AUS Card xx8882 Value Date: 06/10/2020"/>
        <s v="WOOLWORTHS      1136 ULLADULLA NS AUS Card xx8882 Value Date: 06/10/2020"/>
        <s v="NETFLIX COM MELBOURNE AUS Card xx8882 Value Date: 04/10/2020"/>
        <s v="NETFLIX COM MELBOURNE  AUS Card xx8882 Value Date: 04/10/2020"/>
        <s v="UBER* EATS SYDNEY NS AUS Card xx8882 Value Date: 04/10/2020"/>
        <s v="UBER   *EATS Sydney AU AUS Card xx8882 Value Date: 03/10/2020"/>
        <s v="LIQUORLAND 3301 DRUMMOYNE AU AUS Card xx8882 Value Date: 05/10/2020"/>
        <s v="Kieran Krohn CommBank App iou"/>
        <s v="INSPORT DRUMMOYNE NS AUS Card xx8882 Value Date: 03/10/2020"/>
        <s v="AUTHENTICS FACTORY O DRUMMOYNE NS AUS Card xx8882 Value Date: 03/10/2020"/>
        <s v="UBER* EATS SYDNEY NS AUS Card xx8882 Value Date: 03/10/2020"/>
        <s v="TILLY &amp; MO               LAKE CONJOLA AU Card xx8882"/>
        <s v="SUMO POWER South Melbour  AUS Card xx8882 Value Date: 02/10/2020"/>
        <s v="LAKE CONJOLA LIQUOR      LAKE CONJOLA AU Card xx8882"/>
        <s v="MYRA NOOR PTY LTD        DRUMMOYNE    AU Card xx8882"/>
        <s v="METRO PETROLEUM PUNCHB   PUNCHBOWL    AU"/>
        <s v="Hungry Jacks             South Nowra  AU"/>
        <s v="CHARGRILL CHARLIES       Drummoyne    AU"/>
        <s v="ALDI STORES - DRUMMOYN   DRUMMOYNE    AU Card xx8882"/>
        <s v="Withdrawal   ATMCBA ATM  DRUMMOYNE B    NSW 215702   AUS"/>
        <s v="TOP FRUIT MARKET DRUMMOYNE NS AUS Card xx8882 Value Date: 01/10/2020"/>
        <s v="RALPH LAUREN AUSTRA DRUMMOYNE         AU"/>
        <s v="IGA DRUMMOYNE            DRUMMOYNE    AU Card xx8882"/>
        <s v="COLES 0849 DRUMMOYNE AU AUS Card xx8882 Value Date: 01/10/2020"/>
        <s v="UBER   *EATS Sydney AU AUS Card xx8882 Value Date: 28/09/2020"/>
        <s v="Salary SERVAUPAYROLL 19352P 85920286"/>
        <s v="NELSON HOTEL BONDI JUNCTIO NS AUS Card xx8882 Value Date: 26/09/2020"/>
        <s v="GM CABS PTY LTD MASCOT  AUS Card xx8882 Value Date: 26/09/2020"/>
        <s v="Direct Debit 245164 HCF 5723396980626A0000"/>
        <s v="UBER* TRIP SYDNEY NS AUS Card xx8882 Value Date: 26/09/2020"/>
        <s v="UBER   *EATS Sydney AU AUS Card xx8882 Value Date: 27/09/2020"/>
        <s v="UBER* EATS SYDNEY NS AUS Card xx8882 Value Date: 26/09/2020"/>
        <s v="7-ELEVEN 2048 DRUMMOYNE NS AUS Card xx8882 Value Date: 25/09/2020"/>
        <s v="Coinspot Deposit accomodation"/>
        <s v="UBER   *EATS Sydney AU AUS Card xx8882 Value Date: 20/09/2020"/>
        <s v="UBER   *EATS Sydney AU AUS Card xx8882 Value Date: 19/09/2020"/>
        <s v="UBER* EATS SYDNEY NS AUS Card xx8882 Value Date: 18/09/2020"/>
        <s v="Louis Wayment CommBank App food"/>
        <s v="COLES 0849 DRUMMOYNE AU AUS Card xx8882 Value Date: 16/09/2020"/>
        <s v="UBER* EATS SYDNEY NS AUS Card xx8882 Value Date: 15/09/2020"/>
        <s v="Salary SERVAUPAYROLL 19281P 85920286"/>
        <s v="UBER* EATS SYDNEY NS AUS Card xx8882 Value Date: 13/09/2020"/>
        <s v="UBER   *EATS Sydney AU AUS Card xx8882 Value Date: 12/09/2020"/>
        <s v="COLES 0849 DRUMMOYNE AU AUS Card xx8882 Value Date: 14/09/2020"/>
        <s v="SUMO POWER South Melbour  AUS Card xx8882 Value Date: 05/09/2020"/>
        <s v="UBER* EATS SYDNEY NS AUS Card xx8882 Value Date: 05/09/2020"/>
        <s v="DESTROS PHARMACY DRUMMOYNE NS AUS Card xx8882 Value Date: 07/09/2020"/>
        <s v="CommBank app iou"/>
        <s v="COLES 0849 DRUMMOYNE AU AUS Card xx8882 Value Date: 07/09/2020"/>
        <s v="COLES 0849 DRUMMOYNE AU AUS Card xx8882 Value Date: 06/09/2020"/>
        <s v="NETFLIX COM MELBOURNE  AUS Card xx8882 Value Date: 04/09/2020"/>
        <s v="MASOUMEH GHOLAMSHAHI Shoping for mum second time"/>
        <s v="CHISWICK CELLARS         CHISWICK     AU Card xx8882"/>
        <s v="Mr Louis Robert Reynolds W Pizza tip"/>
        <s v="CommBank app food iou"/>
        <s v="BART JR Redfern NS AUS Card xx8882 Value Date: 03/09/2020"/>
        <s v="7-ELEVEN 2048 DRUMMOYNE NS AUS Card xx8882 Value Date: 03/09/2020"/>
        <s v="CRAZYDOMAINSHOSTING 61290372826 SG SGP Card xx8882 AUD 21.95 Value Date: 01/09/2020"/>
        <s v="Salary SERVAUPAYROLL 19443P 85920286"/>
        <s v="UberUAE_EATS Sydney AU AUS Card xx8882 Value Date: 30/08/2020"/>
        <s v="UBER   *EATS Sydney AU AUS Card xx8882 Value Date: 29/08/2020"/>
        <s v="Direct Debit 245164 HCF 5723396980595A0000"/>
        <s v="COLES 0849 DRUMMOYNE AU AUS Card xx8882 Value Date: 25/08/2020"/>
        <s v="UBER   *EATS Sydney AU AUS Card xx8882 Value Date: 23/08/2020"/>
        <s v="MASOUMEH GHOLAMSHAHI Shoping for mum"/>
        <s v="7-ELEVEN 2048 DRUMMOYNE NS AUS Card xx8882 Value Date: 23/08/2020"/>
        <s v="BWS LIQUOR      1601 DRUMMOYNE NS AUS Card xx8882 Value Date: 22/08/2020"/>
        <s v="HARRIS FARM MARKETS      DRUMMOYNE    AU Card xx8882"/>
        <s v="UBER   *EATS Sydney AU AUS Card xx8882 Value Date: 15/08/2020"/>
        <s v="Menulog Pty Ltd Sydney AU AUS Card xx8882 Value Date: 16/08/2020"/>
        <s v="Menulog Pty Ltd Sydney AU AUS Card xx8882 Value Date: 15/08/2020"/>
        <s v="FISHHEADS AT BYRON BYRON BAY NS AUS Card xx8882 Value Date: 14/08/2020"/>
        <s v="COLES 0849 DRUMMOYNE AU AUS Card xx8882 Value Date: 17/08/2020"/>
        <s v="Menulog Pty Ltd Sydney AU AUS Card xx8882 Value Date: 14/08/2020"/>
        <s v="FISHHEADS AT BYRON BYRON BAY NS AUS Card xx8882 Value Date: 13/08/2020"/>
        <s v="THE HIDEOUT BYRON BAY BYRON BAY AU AUS Card xx8882 Value Date: 13/08/2020"/>
        <s v="OZAKMAN BROTHERS PL BYRON BAY NS AUS Card xx8882 Value Date: 12/08/2020"/>
        <s v="Northern Bar Byron Bay NS AUS Card xx8882 Value Date: 13/08/2020"/>
        <s v="KIERAN ROSS KROHN Dinner"/>
        <s v="BWS LIQUOR W1601         DRUMMOYNE    AU Card xx8882"/>
        <s v="MCDONALDS NAMBUCCA HD VALLA        NSWAU"/>
        <s v="Direct Credit 462125 APRA Limited AU Royalty"/>
        <s v="CELLAR BYRON PLAZA BYRON BAY NS AUS Card xx8882 Value Date: 11/08/2020"/>
        <s v="BP NAMBUCCA TRVL CT VALLA             AU"/>
        <s v="YAMBA YHA BACKPACKER YAMBA NS AUS Card xx8882 Value Date: 10/08/2020"/>
        <s v="BYRON BAY HOT BREAD      BYRON BAY    AU Card xx8882"/>
        <s v="SQ *THE TASTE OF BEES Drummoyne AU AUS Card xx8882 Value Date: 09/08/2020"/>
        <s v="KFC TAREE SERVICE CE GLENTHORNE NS AUS Card xx8882 Value Date: 09/08/2020"/>
        <s v="CENTRE COM SUNSHINE VI AUS Card xx8882 Value Date: 08/08/2020"/>
        <s v="WOOLWORTHS 2611 BYRON    BYRON BAY    AU Card xx8882"/>
        <s v="DOORDASH*DOS SENORITAS MELBOURNE VI AUS Card xx8882 Value Date: 06/08/2020"/>
        <s v="COLES 0849 DRUMMOYNE AU AUS Card xx8882 Value Date: 08/08/2020"/>
        <s v="YAMBA BOWLING AND RECR   YAMBA        AU Card xx8882"/>
        <s v="SLICE PIZZERIA           BYRON BAY    AU"/>
        <s v="YAMBA TAVERN PTY LTD     YAMBA        AU Card xx8882"/>
        <s v="MCDONALDS TAREE SOUTH GLENTHORNE   NSWAU"/>
        <s v="THE GUITAR FACTORY A     PARRAMATTA   AU Card xx8882 (Rack Mount)"/>
        <s v="MCDONALDS DRUMMOYNE   DRUMMOYNE    NSWAU"/>
        <s v="Jaycar                   Chippendale  AU"/>
        <s v="SUMO POWER South Melbour  AUS Card xx8882 Value Date: 03/08/2020"/>
        <s v="Salary SERVAUPAYROLL 21390P 85920286"/>
        <s v="NETFLIX.COM Melbourne AU AUS Card xx8882 Value Date: 03/08/2020"/>
        <s v="UBER   *TRIP Sydney AU AUS Card xx8882 Value Date: 01/08/2020"/>
        <s v="MANNYS                   Alexandria   AU - Furman Merit Series M Power Conditioner"/>
        <s v="Direct Debit 245164 HCF 5723396980565A0000"/>
        <s v="SYDNEY FINE FOOD&amp;WINE    WAVERTON     AU Card xx8882"/>
        <s v="Withdrawal   ATMETX IGA DRUMMOYNE      DRUMMOYNE      AU"/>
        <s v="GM CABS PTY LTD MASCOT  AUS Card xx8882 Value Date: 26/07/2020"/>
        <s v="GM CABS PTY LTD MASCOT  AUS Card xx8882 Value Date: 25/07/2020"/>
        <s v="COLES 0849 DRUMMOYNE AU AUS Card xx8882 Value Date: 28/07/2020"/>
        <s v="BOURBON OPERATIONS POTTS POINT  AUS Card xx8882 Value Date: 25/07/2020"/>
        <s v="Sue Maree Hamilton PayID Phone from CommBank App Thereses gift"/>
        <s v="Coinspot Deposit CommBank app food iou"/>
        <s v="Salary SERVAUPAYROLL 19322P 85920286"/>
        <s v="Menulog Pty Ltd Sydney AU AUS Card xx8882 Value Date: 18/07/2020"/>
        <s v="Kieran Krohn CommBank App kieran bday"/>
        <s v="DOORDASH*DOS SENORITAS MELBOURNE VI AUS Card xx8882 Value Date: 19/07/2020"/>
        <s v="COLES 0849 DRUMMOYNE AU AUS Card xx8882 Value Date: 20/07/2020"/>
        <s v="Louis Wayment iou Value Date: 20/07/2020 - return as account closed"/>
        <s v="BAHAR PERSIAN FOOD RYDE NS AUS Card xx8882 Value Date: 16/07/2020"/>
        <s v="Louis iou"/>
        <s v="PA RYDE ISE SUPERMARK RYDE NSW        AU"/>
        <s v="GM CABS PTY LTD MASCOT  AUS Card xx8882 Value Date: 11/07/2020"/>
        <s v="Jonny food"/>
        <s v="Micky's Cafe Paddington NS AUS Card xx8882 Value Date: 11/07/2020"/>
        <s v="DOORDASH*DOS SENORITAS MELBOURNE VI AUS Card xx8882 Value Date: 10/07/2020"/>
        <s v="STEPHEN DONOHOE CREDIT TO ACCOUNT - Mickys Café"/>
        <s v="KIERAN ROSS KROHN Dinner - Mickys Café"/>
        <s v="MANNYS                   Alexandria   AU"/>
        <s v="SUMO POWER South Melbour  AUS Card xx8882 Value Date: 04/07/2020"/>
        <s v="Salary SERVAUPAYROLL 19564P 85920286"/>
        <s v="LIV*THE CHIPPO HOTEL CHIPPENDALE  AUS Card xx8882 Value Date: 04/07/2020"/>
        <s v="UBER   *TRIP Sydney AU AUS Card xx8882 Value Date: 04/07/2020"/>
        <s v="COLES 0849 DRUMMOYNE AU AUS Card xx8882 Value Date: 06/07/2020"/>
        <s v="NETFLIX.COM Melbourne AU AUS Card xx8882 Value Date: 03/07/2020"/>
        <s v="HARRIS FARM MARKETS      DRUMMOYNE    AU"/>
        <s v="COLES 0849 DRUMMOYNE AU AUS Card xx8882 Value Date: 30/06/2020"/>
        <s v="Milkwood Bakery Berry NS AUS Card xx8882 Value Date: 28/06/2020"/>
        <s v="Direct Debit 245164 HCF 5723396980534A0000"/>
        <s v="iou - Dan Arnamnart"/>
        <s v="7-ELEVEN 2320 ALBION PARK R NS AUS Card xx8882 Value Date: 26/06/2020"/>
        <s v="STEVES SELECT MEATS      DRUMMOYNE    AU Card xx8882"/>
        <s v="RAMTEAN ROOZBEHA CommBank app berry nice"/>
        <s v="Ms Katrina T Duncan Kat"/>
        <s v="GREAT SOUTHERN HOTEL     BERRY        AU Card xx8882"/>
        <s v="BERRY IGA PLUS LIQUO     BERRY        AU Card xx8882"/>
        <s v="BWS LIQUOR W1735         ALBION PARK RAU Card xx8882"/>
        <s v="Salary SERVAUPAYROLL 19392P 85920286"/>
        <s v="Rodean food berry - Daniel Arnamnart"/>
        <s v="MANNYS Alexandria NS AUS Card xx8882 Value Date: 23/06/2020 - MPC Live"/>
        <s v="iou - Grunt"/>
        <s v="GM CABS PTY LTD MASCOT  AUS Card xx8882 Value Date: 21/06/2020"/>
        <s v="COLES 0849 DRUMMOYNE AU AUS Card xx8882 Value Date: 22/06/2020"/>
        <s v="SMP*Chiswick Cellars Chiswick AU AUS Card xx8882 Value Date: 18/06/2020"/>
        <s v="Withdrawal   ATMRed NP-Five Star Toba  Potts Poin     AU"/>
        <s v="iou - Kirkby IOU"/>
        <s v="COLES 0849 DRUMMOYNE AU AUS Card xx8882 Value Date: 16/06/2020"/>
        <s v="iou - Berry - Ashleigh Smith"/>
        <s v="DOORDASH*SAKURA ON WHE MELBOURNE VI AUS Card xx8882 Value Date: 12/06/2020"/>
        <s v="Louis Wayment Burger tip"/>
        <s v="Salary SERVAUPAYROLL 19210P 85920286"/>
        <s v="COLES 0849 DRUMMOYNE AU AUS Card xx8882 Value Date: 09/06/2020"/>
        <s v="7-ELEVEN 2048 DRUMMOYNE NS AUS Card xx8882 Value Date: 07/06/2020"/>
        <s v="NETFLIX COM MELBOURNE  AUS Card xx8882 Value Date: 04/06/2020"/>
        <s v="SUMO POWER South Melbour  AUS Card xx8882 Value Date: 02/06/2020"/>
        <s v="COLES 0849 DRUMMOYNE AU AUS Card xx8882 Value Date: 02/06/2020"/>
        <s v="JB HI FI LEICHHARDT NS AUS Card xx8882 Value Date: 30/05/2020"/>
        <s v="7-ELEVEN 2048 DRUMMOYNE NS AUS Tap and Pay xx2711 Value Date: 31/05/2020"/>
        <s v="COLES 0846 LEICHHARDT AU AUS Card xx8882 Value Date: 30/05/2020"/>
        <s v="Direct Debit 245164 HCF 5723396980502A0000"/>
        <s v="Salary SERVAUPAYROLL 19404P 85920286"/>
        <s v="SQ *THE TASTE OF BEES Drummoyne AU AUS Card xx8882 Value Date: 23/05/2020"/>
        <s v="COLES 0849 DRUMMOYNE AU AUS Card xx8882 Value Date: 25/05/2020"/>
        <s v="SERVICE NSW SYDNEY  AUS Card xx8882 Value Date: 22/05/2020"/>
        <s v="SDRO INFRNGMNT PAYME MAITLAND NS AUS Card xx8882 Value Date: 22/05/2020 - Parking ticket: Loading Zone"/>
        <s v="PAYPAL *CHINATERA EBAY 4029357733 AU AUS Card xx8882 Value Date: 16/05/2020 - USB Gender Converter for Keyboard to Synth"/>
        <s v="Menulog Pty Ltd Sydney AU AUS Card xx8882 Value Date: 17/05/2020"/>
        <s v="DOORDASH*JASMIN 1 MELBOURNE VI AUS Card xx8882 Value Date: 16/05/2020"/>
        <s v="COLES 0849 DRUMMOYNE AU AUS Card xx8882 Value Date: 18/05/2020"/>
        <s v="DOORDASH*DOS SENORITAS MELBOURNE VI AUS Card xx8882 Value Date: 15/05/2020"/>
        <s v="Salary SERVAUPAYROLL 20220P 85920286"/>
        <s v="Menulog Pty Ltd Sydney AU AUS Card xx8882 Value Date: 09/05/2020"/>
        <s v="COLES 0849 DRUMMOYNE AU AUS Card xx8882 Value Date: 11/05/2020"/>
        <s v="SUMO POWER South Melbour  AUS Card xx8882 Value Date: 05/05/2020"/>
        <s v="NETFLIX.COM Melbourne AU AUS Card xx8882 Value Date: 04/05/2020"/>
        <s v="MANNYS                   Alexandria   AU - MIDI Thru Box"/>
        <s v="Big Music Australia Crows Nest NS AUS Card xx8882 Value Date: 05/05/2020 - MIDI Cables"/>
        <s v="MANNYS                   Alexandria   AU - Headphone Splitter"/>
        <s v="Jaycar Electronics       Sydney       AU - Various adaptors and cables for studio setup"/>
        <s v="DHL Express AU Brisbane AU AUS Card xx8882 Value Date: 03/05/2020 - Import Duties for Squarp Pyramid"/>
        <s v="WOOLWORTHS 1318          CROWS NEST   AU Card xx8882"/>
        <s v="Direct Debit 245164 HCF 5723396980473A0000"/>
        <s v="Salary SERVAUPAYROLL 20503P 85920286"/>
        <s v="AMAZON MKTPLC AU SYDNEY SOUTH NS AUS Card xx8882 Value Date: 28/04/2020"/>
        <s v="SQUARP INSTRUMENTS PARIS FR FRA Card xx8882 EUR 619.00 Value Date: 25/04/2020"/>
        <s v="International Transaction Fee Value Date: 25/04/2020"/>
        <s v="COLES 0849 DRUMMOYNE AU AUS Card xx8882 Value Date: 27/04/2020"/>
        <s v="Katrina IOU - Grunt present"/>
        <s v="Elektron Machinedrum - PAYPAL *JOSHOLINI EBAY 4029357733 AU AUS Card xx8882 Value Date: 23/04/2020"/>
        <s v="Homayoun Roozbehani Roozbeh Gift from Homayoun"/>
        <s v="COLES 0849 DRUMMOYNE AU AUS Card xx8882 Value Date: 19/04/2020"/>
        <s v="7-ELEVEN 2048 DRUMMOYNE NS AUS Card xx8882 Value Date: 19/04/2020"/>
        <s v="IGA DRUMMOYNE      QPS DRUMMOYNE  AUS Tap and Pay xx2711 Value Date: 16/04/2020"/>
        <s v="7-ELEVEN 2048 DRUMMOYNE NS AUS Tap and Pay xx2711 Value Date: 17/04/2020"/>
        <s v="SUMO POWER South Melbour  AUS Card xx8882 Value Date: 15/04/2020"/>
        <s v="NRMA WEB SYDNEY NS AUS Card xx8882 Value Date: 15/04/2020"/>
        <s v="Salary SERVAUPAYROLL 19411P 85920286"/>
        <s v="SP * SOFTWARE.ORG.AU - SPRING FARM NS AUS Card xx8882 Value Date: 09/04/2020"/>
        <s v="Katrina Duncan iou + food"/>
        <s v="UberUAE_EATS Sydney AU AUS Card xx8882 Value Date: 04/04/2020"/>
        <s v="RAMTEAN ROOZBEHA CommBank app food"/>
        <s v="COLES 0849 DRUMMOYNE AU AUS Card xx8882 Value Date: 04/04/2020"/>
        <s v="7-ELEVEN 2048 DRUMMOYNE NS AUS Card xx8882 Value Date: 03/04/2020"/>
        <s v="SQ *THE TASTE OF BEES Drummoyne AU AUS Card xx8882 Value Date: 30/03/2020"/>
        <s v="Salary SERVAUPAYROLL 20221P 85920286"/>
        <s v="DOORDASH*PABLOS KITCHE MELBOURNE VI AUS Card xx8882 Value Date: 30/03/2020"/>
        <s v="COLES 0839 BROADWAY AU AUS Card xx8882 Value Date: 31/03/2020"/>
        <s v="ADVANCE OPEN TECHNOL BROADWAY NS AUS Card xx8882 Value Date: 31/03/2020"/>
        <s v="SQ *THE TASTE OF BEES Drummoyne AU AUS Card xx8882 Value Date: 29/03/2020"/>
        <s v="DOORDASH*JASMIN 1 MELBOURNE VI AUS Card xx8882 Value Date: 28/03/2020"/>
        <s v="Direct Debit 245164 HCF 5723396980443A0000"/>
        <s v="7-ELEVEN 2048 DRUMMOYNE NS AUS Tap and Pay xx2711 Value Date: 28/03/2020"/>
        <s v="OFFICEWORKS 0209 GLEBE AU AUS Card xx8882 Value Date: 27/03/2020"/>
        <s v="IKEA TEMPE TEMPE NS AUS Card xx8882 Value Date: 27/03/2020 - food"/>
        <s v="UberUAE_EATS Sydney AU AUS Card xx8882 Value Date: 25/03/2020"/>
        <s v="DOORDASH*DOS SENORITAS MELBOURNE VI AUS Card xx8882 Value Date: 26/03/2020"/>
        <s v="PHOTOWN Alexandria NS AUS Card xx8882 Value Date: 25/03/2020"/>
        <s v="NETFLIX COM MELBOURNE  AUS Card xx8882 Value Date: 24/03/2020"/>
        <s v="IKEA TEMPE               TEMPE        AU - standup desk"/>
        <s v="Return MY CHOICE SOFTWARE LLC 800-3181439 CA USA Card xx8882 USD 89.99 Value Date: 22/03/2020"/>
        <s v="MY CHOICE SOFTWARE LLC 800-3181439 CA USA Card xx8882 USD 89.99 Value Date: 21/03/2020"/>
        <s v="International Transaction Fee Value Date: 21/03/2020"/>
        <s v="UberUAE_EATS Sydney AU AUS Card xx8882 Value Date: 22/03/2020"/>
        <s v="UBER   *EATS Sydney AU AUS Card xx8882 Value Date: 21/03/2020"/>
        <s v="SOFTWARE MART AUS TRUGANINA VI AUS Card xx8882 Value Date: 21/03/2020"/>
        <s v="PHOTOWN Alexandria NS AUS Card xx8882 Value Date: 23/03/2020"/>
        <s v="DOORDASH*DOS SENORITAS MELBOURNE VI AUS Card xx8882 Value Date: 22/03/2020"/>
        <s v="7-ELEVEN 2048 DRUMMOYNE NS AUS Card xx8882 Value Date: 23/03/2020"/>
        <s v="WOOLWORTHS 1669          SURRY HILLS  AU Card xx8882"/>
        <s v="TRANSPORTFORNSW OPAL CHIPPENDALE  AUS Card xx8882 Value Date: 23/03/2020"/>
        <s v="PHOTOWN Alexandria NS AUS Card xx8882 Value Date: 20/03/2020"/>
        <s v="DOORDASH*DOS SENORITAS MELBOURNE VI AUS Card xx8882 Value Date: 20/03/2020"/>
        <s v="Camy's Chargrill SH      Surry Hills  AU"/>
        <s v="UBER   *EATS Sydney AU AUS Card xx8882 Value Date: 18/03/2020"/>
        <s v="ASH ADAMS SURRY HILL SURRY HILLS NS AUS Card xx8882 Value Date: 19/03/2020"/>
        <s v="Salary SERVAUPAYROLL 20072P 85920286"/>
        <s v="PHOTOWN Alexandria NS AUS Card xx8882 Value Date: 17/03/2020"/>
        <s v="UberUAE_EATS Sydney AU AUS Card xx8882 Value Date: 15/03/2020"/>
        <s v="UBER   *EATS Sydney AU AUS Card xx8882 Value Date: 15/03/2020"/>
        <s v="UBER   *EATS Sydney AU AUS Card xx8882 Value Date: 14/03/2020"/>
        <s v="TRANSPORTFORNSW OPAL CHIPPENDALE  AUS Card xx8882 Value Date: 17/03/2020"/>
        <s v="Camy's Chargrill SH Surry Hills NS AUS Tap and Pay xx2711 Value Date: 16/03/2020"/>
        <s v="PHOTOWN Alexandria NS AUS Card xx8882 Value Date: 13/03/2020"/>
        <s v="HudsonMeatsDrummoyne     Drummoyne    AU"/>
        <s v="GOLDEN PIDE SURRY HILLS NS AUS Card xx8882 Value Date: 11/03/2020"/>
        <s v="geoff food"/>
        <s v="SQ *THE HORDERN CON1 Moore Park AU AUS Card xx8882 Value Date: 11/03/2020"/>
        <s v="PLAYBILL MERCHNDS MOORE PARK NS AUS Card xx8882 Value Date: 11/03/2020"/>
        <s v="PHOTOWN Alexandria NS AUS Card xx8882 Value Date: 12/03/2020"/>
        <s v="ARCADIA LIQUORS REDFERN NS AUS Card xx8882 Value Date: 11/03/2020"/>
        <s v="UberUAE_EATS Sydney AU AUS Card xx8882 Value Date: 10/03/2020"/>
        <s v="UBER   *EATS Sydney AU AUS Card xx8882 Value Date: 10/03/2020"/>
        <s v="INGOGO LTD SYDNEY NS AUS Tap and Pay xx2711 Value Date: 07/03/2020"/>
        <s v="INGOGO LTD SYDNEY NS AUS Card xx8882 Value Date: 07/03/2020"/>
        <s v="GM CABS PTY LTD MASCOT  AUS Card xx8882 Value Date: 08/03/2020"/>
        <s v="UberUAE_EATS Sydney AU AUS Card xx8882 Value Date: 09/03/2020"/>
        <s v="UBER   *TRIP Sydney AU AUS Card xx8882 Value Date: 07/03/2020"/>
        <s v="UBER   *EATS Sydney AU AUS Card xx8882 Value Date: 08/03/2020"/>
        <s v="TRANSPORTFORNSW TAP SYDNEY  AUS Tap and Pay xx2711 Value Date: 07/03/2020"/>
        <s v="TRANSPORTFORNSW OPAL CHIPPENDALE  AUS Card xx8882 Value Date: 09/03/2020"/>
        <s v="TASTE OF SAIGON          SURRY HILLS  AU Card xx8882"/>
        <s v="GALLAGHERS GBS PTY LTD   MOORE PARK   AU Card xx8882"/>
        <s v="BRIDGE HOTEL ROZELLE ROZELLE NS AUS Card xx8882 Value Date: 08/03/2020"/>
        <s v="UberUAE_EATS Sydney AU AUS Card xx8882 Value Date: 07/03/2020"/>
        <s v="UBER   *EATS Sydney AU AUS Card xx8882 Value Date: 06/03/2020"/>
        <s v="TRANSPORTFORNSW TAP SYDNEY  AUS Tap and Pay xx2711 Value Date: 06/03/2020"/>
        <s v="SPOTTO NSW             Sydney         AU"/>
        <s v="SHWARMAMA PTY LTD SURRY HILLS NS AUS Tap and Pay xx2711 Value Date: 05/03/2020"/>
        <s v="PHOTOWN Alexandria NS AUS Tap and Pay xx2711 Value Date: 06/03/2020"/>
        <s v="HARRIS FARM MARKETSQPS DRUMMOYNE  AUS Tap and Pay xx2711 Value Date: 05/03/2020"/>
        <s v="CENTENNIAL PLAZA PHR SYDNEY NS AUS Tap and Pay xx2711 Value Date: 05/03/2020"/>
        <s v="BEATPORT 720-974-9500 CO USA Card xx8882 AUD 28.99 Value Date: 06/03/2020"/>
        <s v="THE TUDOR REDFERN        REDFERN      AU Card xx8882"/>
        <s v="Kat Duncan Food"/>
        <s v="CALTEX ROZELLE           ROZELLE      AU Card xx8882"/>
        <s v="Direct Debit 314011 SUMO PAYWAY2651387958"/>
        <s v="BAR TOSCA SYDNEY NS AUS Card xx8882 Value Date: 04/03/2020"/>
        <s v="Kieran Krohn CommBank App holiday bookings"/>
        <s v="ART GALLERY OF NSW SYDNEY NS AUS Card xx8882 Value Date: 29/02/2020"/>
        <s v="WILLIAM HOTEL EAST SYDNEY NS AUS Card xx8882 Value Date: 29/02/2020"/>
        <s v="UBER   *TRIP Sydney AU AUS Card xx8882 Value Date: 29/02/2020"/>
        <s v="UBER   *EATS Sydney AU AUS Card xx8882 Value Date: 01/03/2020"/>
        <s v="PHOTOWN Alexandria NS AUS Card xx8882 Value Date: 02/03/2020"/>
        <s v="ADOBE PR CREATIVE CLD 1800614863 IR IRL Card xx8882 AUD 29.99 Value Date: 28/02/2020"/>
        <s v="WW TOWN HALL  W1248      SYDNEY       AU Card xx8882"/>
        <s v="Tokyo Bird               Surry Hills  AU"/>
        <s v="Direct Debit 245164 HCF 5723396980411A0000"/>
        <s v="Withdrawal   ATMCBA ATM  DRUMMOYNE A    NSW 215701   AUS"/>
        <s v="SQ *BLOC145                   Redfern AU"/>
        <s v="TRANSPORTFORNSW OPAL CHIPPENDALE  AUS Card xx8882 Value Date: 27/02/2020"/>
        <s v="SPAR REDFERN             REDFERN      AU Card xx8882"/>
        <s v="PHOTOWN Alexandria NS AUS Card xx8882 Value Date: 27/02/2020"/>
        <s v="UBER   *EATS Sydney AU AUS Card xx8882 Value Date: 25/02/2020"/>
        <s v="Kieran Krohn CommBank App airbnb"/>
        <s v="ADDLY PTY LTD            SURRY HILLS  AU Card xx8882"/>
        <s v="PHOTOWN Alexandria NS AUS Tap and Pay xx2711 Value Date: 25/02/2020"/>
        <s v="NETFLIX COM MELBOURNE  AUS Card xx8882 Value Date: 24/02/2020"/>
        <s v="LAKIN J Josie"/>
        <s v="iou"/>
        <s v="GM CABS PTY LTD MASCOT  AUS Card xx8882 Value Date: 21/02/2020"/>
        <s v="CommBank app pari gift"/>
        <s v="UBER   *EATS Sydney AU AUS Card xx8882 Value Date: 23/02/2020"/>
        <s v="SQ *THE TASTE OF BEES Drummoyne AU AUS Card xx8882 Value Date: 22/02/2020"/>
        <s v="7-ELEVEN 2048 DRUMMOYNE NS AUS Card xx8882 Value Date: 22/02/2020"/>
        <s v="TRANSPORTFORNSW OPAL CHIPPENDALE  AUS Card xx8882 Value Date: 21/02/2020"/>
        <s v="Goros                    Surry Hills  AU"/>
        <s v="grunt uber"/>
        <s v="PHOTOWN Alexandria NS AUS Card xx8882 Value Date: 20/02/2020"/>
        <s v="DESTROS PHARMACY DRUMMOYNE NS AUS Card xx8882 Value Date: 20/02/2020"/>
        <s v="grunt armaforce"/>
        <s v="Direct Credit 463131 APRA NZ Limited NZ Royalty"/>
        <s v="AURORA HOTEL             Surry Hills  AU"/>
        <s v="Salary SERVAUPAYROLL 20393P 85920286"/>
        <s v="PHOTOWN Alexandria NS AUS Card xx8882 Value Date: 18/02/2020"/>
        <s v="INGOGO LTD SYDNEY NS AUS Card xx8882 Value Date: 16/02/2020"/>
        <s v="UBER TRIP HELP.UBER.CO 14518236738 AU AUS Card xx8882 Value Date: 15/02/2020"/>
        <s v="UBER   *EATS Sydney AU AUS Card xx8882 Value Date: 15/02/2020"/>
        <s v="SHWARMAMA PTY LTD        SURRY HILLS  AU"/>
        <s v="PHOTOWN Alexandria NS AUS Card xx8882 Value Date: 17/02/2020"/>
        <s v="TRANSPORTFORNSW OPAL CHIPPENDALE  AUS Card xx8882 Value Date: 17/02/2020"/>
        <s v="PHOTOWN Alexandria NS AUS Card xx8882 Value Date: 14/02/2020"/>
        <s v="CommBank app social budget"/>
        <s v="Entertainment and Rec - Transfer To Megan Cartwright IOU "/>
        <s v="Coinspot Deposit"/>
        <s v="Transfer To Kat Duncan IOU"/>
        <s v="Withdrawal   ATMWES ODEON PLZA O/S     DRUMMOYNENS    AU"/>
        <s v="TASTE BAKERY &amp; RESTAU SURRY HILLS  AUS Card xx8882 Value Date: 12/02/2020"/>
        <s v="REDFERN AND CO OPERATI   REDFERN      AU Card xx8882"/>
        <s v="JB HI FI STRAND ARCA SYDNEY NS AUS Card xx8882 Value Date: 11/02/2020"/>
        <s v="7-ELEVEN 2048 DRUMMOYNE NS AUS Card xx8882 Value Date: 12/02/2020"/>
        <s v="UBER   *EATS Sydney AU AUS Card xx8882 Value Date: 09/02/2020"/>
        <s v="Return UBER   *EATS Sydney AU AUS Card xx8882 Value Date: 10/02/2020"/>
        <s v="NewsLink SYD912 Sydney NS AUS Card xx8882 Value Date: 11/02/2020"/>
        <s v="ASH ADAMS SURRY HILL SURRY HILLS NS AUS Card xx8882 Value Date: 11/02/2020"/>
        <s v="TRANSPORTFORNSW OPAL CHIPPENDALE  AUS Card xx8882 Value Date: 11/02/2020"/>
        <s v="BAR TOSCA SYDNEY NS AUS Card xx8882 Value Date: 10/02/2020"/>
        <s v="UberUAE_EATS Sydney AU AUS Card xx8882 Value Date: 08/02/2020"/>
        <s v="TASTE BAKERY &amp; RESTAU SURRY HILLS  AUS Card xx8882 Value Date: 05/02/2020"/>
        <s v="SUMO POWER South Melbour  AUS Card xx8882 Value Date: 06/02/2020"/>
        <s v="Withdrawal   ATMCBA ATM  300ELIZABETH B NSW 203302   AUS"/>
        <s v="CommBank app food"/>
        <s v="TRANSPORTFORNSW OPAL CHIPPENDALE  AUS Card xx8882 Value Date: 05/02/2020"/>
        <s v="CENTENNIAL PLAZA PHR SYDNEY NS AUS Card xx8882 Value Date: 03/02/2020"/>
        <s v="UberUAE_EATS Sydney AU AUS Card xx8882 Value Date: 01/02/2020"/>
        <s v="UBER   *EATS Sydney AU AUS Card xx8882 Value Date: 02/02/2020"/>
        <s v="UBER   *EATS Sydney AU AUS Card xx8882 Value Date: 01/02/2020"/>
        <s v="Return No account or incorrect account no Megan Cartwright iou Value Date: 03/02/2020"/>
        <s v="BAR TOSCA SYDNEY NS AUS Card xx8882 Value Date: 31/01/2020"/>
        <s v="(T) DE Reject Return Fee"/>
        <s v="Direct Debit 245164 HCF 5723396980383A0000"/>
        <s v="TASTE BAKERY &amp; RESTAU SURRY HILLS  AUS Card xx8882 Value Date: 28/01/2020"/>
        <s v="MLEKO PTY LTD SURRY HILLS NS AUS Card xx8882 Value Date: 30/01/2020"/>
        <s v="ADOBE PR CREATIVE CLD 1800614863 IR IRL Card xx8882 AUD 29.99 Value Date: 30/01/2020"/>
        <s v="TRANSPORTFORNSW OPAL CHIPPENDALE  AUS Card xx8882 Value Date: 30/01/2020"/>
        <s v="GM CABS PTY LTD MASCOT  AUS Card xx8882 Value Date: 27/01/2020"/>
        <s v="UBER   *EATS Sydney AU AUS Card xx8882 Value Date: 27/01/2020"/>
        <s v="UberUAE_EATS Sydney AU AUS Card xx8882 Value Date: 26/01/2020"/>
        <s v="UBER   *TRIP Sydney AU AUS Card xx8882 Value Date: 26/01/2020"/>
        <s v="UBER   *TRIP Sydney AU AUS Card xx8882 Value Date: 25/01/2020"/>
        <s v="UBER   *EATS Sydney AU AUS Card xx8882 Value Date: 26/01/2020"/>
        <s v="NETFLIX COM MELBOURNE  AUS Card xx8882 Value Date: 24/01/2020"/>
        <s v="GM CABS PTY LTD MASCOT  AUS Tap and Pay xx6067 Value Date: 24/01/2020"/>
        <s v="BP CONNECT 0964     REDFERN           AU Value Date: 27/01/2020"/>
        <s v="Bank Hotel               Newtown      AU"/>
        <s v="RANA MEHDI HASSAN MINTO NS AUS Card xx8882 Value Date: 23/01/2020"/>
        <s v="LINKT SYDNEY SYDNEY  AUS Card xx8882 Value Date: 24/01/2020"/>
        <s v="TRANSPORTFORNSW OPAL CHIPPENDALE  AUS Card xx8882 Value Date: 23/01/2020"/>
        <s v="MLEKO PTY LTD SURRY HILLS NS AUS Card xx8882 Value Date: 22/01/2020"/>
        <s v="CommBank app "/>
        <s v="BMSH PTY LTD             SURRY HILLS  AU Card xx8882"/>
        <s v="SUMO POWER South Melbour  AUS Card xx8882 Value Date: 19/01/2020"/>
        <s v="Salary DHS PAYROLL 17340P 85920286"/>
        <s v="IGA EVERYDAY ENMORE PT   ENMORE       AU Cash Out $100.50"/>
        <s v="UberUAE_EATS Sydney AU AUS Card xx8882 Value Date: 19/01/2020"/>
        <s v="UBER   *EATS Sydney AU AUS Card xx8882 Value Date: 18/01/2020"/>
        <s v="ACTIVE8 POOL TABLES KIRRAWEE NS AUS Card xx8882 Value Date: 19/01/2020"/>
        <s v="TASTE BAKERY &amp; RESTAU SURRY HILLS  AUS Card xx8882 Value Date: 16/01/2020"/>
        <s v="TASTE BAKERY &amp; RESTAU SURRY HILLS  AUS Card xx8882 Value Date: 15/01/2020"/>
        <s v="media spend"/>
        <s v="ASH ADAMS SURRY HILL SURRY HILLS NS AUS Card xx8882 Value Date: 17/01/2020"/>
        <s v="OXFORD OPERATIONS PTY    MILSONS POINTAU Card xx8882"/>
        <s v="TRANSPORTFORNSW OPAL CHIPPENDALE  AUS Card xx8882 Value Date: 17/01/2020"/>
        <s v="UberUAE_EATS Sydney AU AUS Card xx8882 Value Date: 12/01/2020"/>
        <s v="UBER   *EATS Sydney AU AUS Card xx8882 Value Date: 11/01/2020"/>
        <s v="TRANSPORTFORNSW OPAL CHIPPENDALE  AUS Card xx8882 Value Date: 13/01/2020"/>
        <s v="UberUAE_EATS Sydney AU AUS Card xx8882 Value Date: 10/01/2020"/>
        <s v="UBER   *TRIP Sydney AU AUS Card xx8882 Value Date: 09/01/2020"/>
        <s v="UBER   *EATS Sydney AU AUS Card xx8882 Value Date: 09/01/2020"/>
        <s v="SUNPAC LTD PORT VILA  VUT Card xx8882 VUV 4140 Value Date: 09/01/2020"/>
        <s v="SUNPAC LTD PORT VILA  VUT Card xx8882 VUV 3960 Value Date: 09/01/2020"/>
        <s v="POPPY'S ON THE LAGOO PORT VILA VU VUT Card xx8882 VUV 3622 Value Date: 09/01/2020"/>
        <s v="POPPY'S ON THE LAGOO PORT VILA VU VUT Card xx8882 VUV 14335 Value Date: 09/01/2020"/>
        <s v="International Transaction Fee Value Date: 09/01/2020"/>
        <s v="grunt food"/>
        <s v="Salary DHS PAYROLL 19404P 85920286"/>
        <s v="grunt iou"/>
        <s v="Withdrawal   ATMTROPICAL MARKET        PORT VILA      VU VUV12800"/>
        <s v="Heinemann Duty Free Mascot NS AUS Card xx8882 Value Date: 03/01/2020"/>
        <s v="UBER   *TRIP Sydney AU AUS Card xx8882 Value Date: 31/12/2019"/>
        <s v="TK MAXX TOP RYDE RYDE  AUS Card xx8882 Value Date: 30/12/2019"/>
        <s v="Guzman y Gomez Crows Nest NS AUS Card xx8882 Value Date: 31/12/2019"/>
        <s v="BOOST JUICE PTY LTD      MASCOT       AU Card xx8882"/>
        <s v="AIRPORT RETAIL ENTERPR   MASCOT       AU"/>
        <s v="Direct Debit 245164 HCF 5723396980352A0000"/>
        <s v="UberUAE_EATS Sydney AU AUS Card xx8882 Value Date: 29/12/2019"/>
        <s v="HAPS HOTELS PTY LTD GLADESVILLE NS AUS Card xx8882 Value Date: 27/12/2019"/>
        <s v="ACTIVE8 POOL TABLES KIRRAWEE NS AUS Tap and Pay xx6067 Value Date: 29/12/2019"/>
        <s v="ACTIVE8 POOL TABLES KIRRAWEE NS AUS Card xx8882 Value Date: 29/12/2019"/>
        <s v="UberUAE_EATS Sydney AU AUS Card xx8882 Value Date: 27/12/2019"/>
        <s v="UberUAE_EATS Sydney AU AUS Card xx8882 Value Date: 26/12/2019"/>
        <s v="UBER   *TRIP Sydney AU AUS Card xx8882 Value Date: 27/12/2019"/>
        <s v="JB HI FI LEICHHARDT NS AUS Card xx8882 Value Date: 24/12/2019"/>
        <s v="EB GAMES DRUMMOYNE  AUS Card xx8882 Value Date: 27/12/2019"/>
        <s v="TAROCASH PTY LTD 154     RYDE         AU Card xx8882"/>
        <s v="OXFORD SHOP PTY LTD      RYDE         AU Card xx8882"/>
        <s v="boat ticket - Dosem Airway boatcruise"/>
        <s v="Withdrawal   ATMCAS THE OXFORD DRUMMOYNDRUM     NS    AU"/>
        <s v="POST LEICHHARDT POSTLE LEICHHARDT WA AUS Card xx8882 Value Date: 24/12/2019"/>
        <s v="NETFLIX COM MELBOURNE  AUS Card xx8882 Value Date: 24/12/2019"/>
        <s v="INGOGO LTD SYDNEY NS AUS Card xx8882 Value Date: 23/12/2019"/>
        <s v="HAIR CO 96 PTY LTD BROADWAY NS AUS Card xx8882 Value Date: 23/12/2019"/>
        <s v="ROSE TURKISH GOZLEME H   DRUMMOYNE    AU Card xx8882"/>
        <s v="UberUAE_EATS Sydney AU AUS Card xx8882 Value Date: 22/12/2019"/>
        <s v="UBER   *TRIP Sydney AU AUS Card xx8882 Value Date: 21/12/2019"/>
        <s v="UBER   *TRIP Sydney AU AUS Card xx8882 Value Date: 20/12/2019"/>
        <s v="UBER   *EATS Sydney AU AUS Card xx8882 Value Date: 22/12/2019"/>
        <s v="AUTHENTICS FACTORY O DRUMMOYNE NS AUS Card xx8882 Value Date: 21/12/2019"/>
        <s v="TASTE BAKERY &amp; RESTAU SURRY HILLS  AUS Card xx8882 Value Date: 18/12/2019"/>
        <s v="Salary DHS PAYROLL 16590P 85920286"/>
        <s v="grunt xmas shopping"/>
        <s v="food"/>
        <s v="BALMAIN HTL PROPERTY BALMAIN AU AUS Card xx8882 Value Date: 20/12/2019"/>
        <s v="HYPEDC BIRKENHEAD   DRUMMOYNE         AU"/>
        <s v="CONNOR CLOTHING PTY      DRUMMOYNE    AU Card xx8882"/>
        <s v="WOLLONGONG NIGHTSPOT     WOLLONGONG   AU Card xx8882"/>
        <s v="PLINE PH TOWN HALL SYDNEY  AUS Card xx8882 Value Date: 14/12/2019"/>
        <s v="MCDONALDS SYD AIR GAT MASCOT       NSWAU"/>
        <s v="BOURBON OPERATIONS POTTS POINT  AUS Card xx8882 Value Date: 14/12/2019"/>
        <s v="UBER   *TRIP Sydney AU AUS Card xx8882 Value Date: 14/12/2019"/>
        <s v="TRANSPORTFORNSW OPAL CHIPPENDALE  AUS Card xx8882 Value Date: 17/12/2019"/>
        <s v="TAXI COMBINED 133300 ALEXANDRIA NS AUS Card xx8882 Value Date: 14/12/2019"/>
        <s v="UberUAE_EATS Sydney AU AUS Card xx8882 Value Date: 14/12/2019"/>
        <s v="SUMO POWER South Melbour  AUS Card xx8882 Value Date: 11/12/2019"/>
        <s v="Homayoun Roozbehani Christmas gift"/>
        <s v="SYDNEY CONSTELLATION C   KOGARAH BAY  AU Card xx8882"/>
        <s v="MILITARY ROAD 23 PTY L   POTTS POINT  AU Card xx8882"/>
        <s v="UBER   *EATS Sydney AU AUS Card xx8882 Value Date: 09/12/2019"/>
        <s v="TRANSPORTFORNSW OPAL CHIPPENDALE  AUS Card xx8882 Value Date: 11/12/2019"/>
        <s v="THE DRUMM BRKNHD HTL DRUMMOYNE NS AUS Card xx8882 Value Date: 08/12/2019"/>
        <s v="Salary DHS PAYROLL 20210P 85920286"/>
        <s v="DHS - Lianna Going Away Gift"/>
        <s v="UBER   *EATS Sydney AU AUS Card xx8882 Value Date: 07/12/2019"/>
        <s v="mum present"/>
        <s v="Domain Registration To Grunt"/>
        <s v="BIRKENHEAD GRILL DRUMMOYNE NS AUS Card xx8882 Value Date: 08/12/2019"/>
        <s v="UNIVERSAL AUDIO 8314401176 CA USA Card xx8882 USD 274.00 Value Date: 05/12/2019"/>
        <s v="UberUAE_EATS Sydney AU AUS Card xx8882 Value Date: 07/12/2019"/>
        <s v="UberUAE_EATS Sydney AU AUS Card xx8882 Value Date: 06/12/2019"/>
        <s v="International Transaction Fee Value Date: 05/12/2019"/>
        <s v="CALTEX DRUMMOYNE         DRUMMOYNE    AU Card xx8882"/>
        <s v="MASOUMEH GHOLAMSHAHI the rest of ur BD present"/>
        <s v="TRANSPORTFORNSW OPAL CHIPPENDALE  AUS Card xx8882 Value Date: 04/12/2019"/>
        <s v="Homayoun Roozbehani Happy Birthday Rodean"/>
        <s v="TASTE BAKERY &amp; RESTAU SURRY HILLS  AUS Card xx8882 Value Date: 28/11/2019"/>
        <s v="Sneaky Burger            Wollongong   AU"/>
        <s v="MASOUMEH GHOLAMSHAHI Paying back ur money"/>
        <s v="Direct Debit 245164 HCF 5723396980320A0000"/>
        <s v="TRANSPORTFORNSW OPAL CHIPPENDALE  AUS Card xx8882 Value Date: 27/11/2019"/>
        <s v="Salary DHS PAYROLL 20195P 85920286"/>
        <s v="UberUAE_EATS Sydney AU AUS Card xx8882 Value Date: 24/11/2019"/>
        <s v="UBER   *EATS Sydney AU AUS Card xx8882 Value Date: 23/11/2019"/>
        <s v="NETFLIX.COM Melbourne AU AUS Card xx8882 Value Date: 24/11/2019"/>
        <s v="COLES EXPRESS 1617 DRUMMOYNE AU AUS Card xx8882 Value Date: 25/11/2019"/>
        <s v="COLES 4788 FIVE DOCK AU AUS Card xx8882 Value Date: 25/11/2019"/>
        <s v="TASTE BAKERY &amp; RESTAU SURRY HILLS  AUS Card xx8882 Value Date: 21/11/2019"/>
        <s v="TRANSPORTFORNSW OPAL CHIPPENDALE  AUS Card xx8882 Value Date: 21/11/2019"/>
        <s v="CommBank app elec bill"/>
        <s v="UberUAE_EATS Sydney AU AUS Card xx8882 Value Date: 17/11/2019"/>
        <s v="TASTE BAKERY &amp; RESTAU SURRY HILLS  AUS Card xx8882 Value Date: 14/11/2019"/>
        <s v="KEG  BREW HOTEL SURRY HILLS NS AUS Card xx8882 Value Date: 15/11/2019"/>
        <s v="BAR TOSCA SYDNEY NS AUS Card xx8882 Value Date: 15/11/2019"/>
        <s v="Direct Credit 245127 HCF 57233969DC-DRCR"/>
        <s v="TASTE BAKERY &amp; RESTAU SURRY HILLS  AUS Card xx8882 Value Date: 12/11/2019"/>
        <s v="TRANSPORTFORNSW OPAL CHIPPENDALE  AUS Card xx8882 Value Date: 14/11/2019"/>
        <s v="BAR TOSCA SYDNEY NS AUS Card xx8882 Value Date: 13/11/2019"/>
        <s v="UberUAE_EATS Sydney AU AUS Card xx8882 Value Date: 12/11/2019"/>
        <s v="Salary DHS PAYROLL 19235P 85920286"/>
        <s v="UberUAE_EATS Sydney AU AUS Card xx8882 Value Date: 10/11/2019"/>
        <s v="UberUAE_EATS Sydney AU AUS Card xx8882 Value Date: 09/11/2019"/>
        <s v="PAYPAL *MENTALNUTRI 4029357733 AU AUS Card xx8882 Value Date: 08/11/2019"/>
        <s v="IYASHI REMEDIES CO P/L DRUMMOYNE NS AUS Card xx8882 Value Date: 08/11/2019"/>
        <s v="UNIVERSAL AUDIO 8314401176 CA USA Card xx8882 USD 249.00 Value Date: 06/11/2019"/>
        <s v="TRANSPORTFORNSW OPAL CHIPPENDALE  AUS Card xx8882 Value Date: 08/11/2019"/>
        <s v="SMP*Ze Pickle Surry Hills AU AUS Card xx8882 Value Date: 05/11/2019"/>
        <s v="International Transaction Fee Value Date: 06/11/2019"/>
        <s v="CDKEYS.COM CDK2156  GBR Card xx8882 AUD 34.19 Value Date: 06/11/2019"/>
        <s v="TASTE BAKERY &amp; RESTAU SURRY HILLS  AUS Card xx8882 Value Date: 04/11/2019"/>
        <s v="Shift Eatery             Surry Hills  AU"/>
        <s v="GM CABS PTY LTD MASCOT  AUS Card xx8882 Value Date: 05/11/2019"/>
        <s v="UNIVERSAL HOTELS DARLINGHURST  AUS Card xx8882 Value Date: 02/11/2019"/>
        <s v="INGOGO LTD SYDNEY NS AUS Card xx8882 Value Date: 02/11/2019"/>
        <s v="UBER   *EATS Sydney AU AUS Card xx8882 Value Date: 03/11/2019"/>
        <s v="TRANSPORTFORNSW OPAL CHIPPENDALE  AUS Card xx8882 Value Date: 04/11/2019"/>
        <s v="KADMUS ON THE GO P/L DRUMMOYNE NS AUS Card xx8882 Value Date: 31/10/2019"/>
        <s v="GM CABS PTY LTD MASCOT  AUS Card xx8882 Value Date: 01/11/2019"/>
        <s v="jono food"/>
        <s v="TASTE BAKERY &amp; RESTAU SURRY HILLS  AUS Card xx8882 Value Date: 29/10/2019"/>
        <s v="Withdrawal   ATMCUS EZYMART OXFORD     DARLINGHUNS    AU Value Date: 02/11/2019"/>
        <s v="The Forresters           Surry Hills  AU"/>
        <s v="Non CBA ATM Withdrawal Fee Value Date: 02/11/2019"/>
        <s v="El Loco Excelsior Surry Hills NS AUS Card xx8882 Value Date: 30/10/2019"/>
        <s v="Direct Debit 245164 HCF 5723396980291A0000"/>
        <s v="Salary DHS PAYROLL 20035P 85920286"/>
        <s v="UBER   *EATS Sydney AU AUS Card xx8882 Value Date: 26/10/2019"/>
        <s v="TRANSPORTFORNSW TAP SYDNEY  AUS Tap and Pay xx6067 Value Date: 26/10/2019"/>
        <s v="TRANSPORTFORNSW TAP SYDNEY  AUS Tap and Pay xx6067 Value Date: 25/10/2019"/>
        <s v="TRANSPORTFORNSW OPAL CHIPPENDALE  AUS Card xx8882 Value Date: 28/10/2019"/>
        <s v="SMP*Chiswick Cellars Chiswick AU AUS Card xx8882 Value Date: 24/10/2019"/>
        <s v="Cash Dep Branch 300 ELIZABETH ST SYDNEY"/>
        <s v="Camy's Chargrill SH Surry Hills NS AUS Tap and Pay xx6067 Value Date: 24/10/2019"/>
        <s v="Vanuatu Hotel Payment to mum (Return Account Closed Soheyla Gholamshahi hotel Value Date: 24/10/2019)"/>
        <s v="TASTE BAKERY &amp; RESTAU SURRY HILLS  AUS Card xx8882 Value Date: 21/10/2019"/>
        <s v="TASTE BAKERY &amp; RESTAU SURRY HILLS  AUS Card xx8882 Value Date: 18/10/2019"/>
        <s v="Vanuatu Hotel Payment to mum"/>
        <s v="UBER   *EATS Sydney AU AUS Card xx8882 Value Date: 19/10/2019"/>
        <s v="NETFLIX.COM Melbourne AU AUS Card xx8882 Value Date: 20/10/2019"/>
        <s v="7-ELEVEN 2048 DRUMMOYNE NS AUS Card xx8882 Value Date: 19/10/2019"/>
        <s v="TRANSPORTFORNSW OPAL CHIPPENDALE  AUS Card xx8882 Value Date: 21/10/2019"/>
        <s v="BMSH PTY LTD SURRY HILLS  AUS Tap and Pay xx6067 Value Date: 17/10/2019"/>
        <s v="TASTE BAKERY &amp; RESTAU SURRY HILLS  AUS Card xx8882 Value Date: 15/10/2019"/>
        <s v="UBER   *EATS Sydney AU AUS Card xx8882 Value Date: 15/10/2019"/>
        <s v="SQUARESPACE INC. 6465803456 NY USA Card xx8882 USD 17.60 Value Date: 15/10/2019"/>
        <s v="International Transaction Fee Value Date: 15/10/2019"/>
        <s v="Salary DHS PAYROLL 19281P 85920286"/>
        <s v="UBER   *EATS Sydney AU AUS Card xx8882 Value Date: 13/10/2019"/>
        <s v="TRANSPORTFORNSW OPAL CHIPPENDALE  AUS Card xx8882 Value Date: 15/10/2019"/>
        <s v="JB HI FI LEICHHARDT NS AUS Card xx8882 Value Date: 12/10/2019"/>
        <s v="7-ELEVEN 2048 DRUMMOYNE NS AUS Card xx8882 Value Date: 13/10/2019"/>
        <s v="TASTE BAKERY &amp; RESTAU SURRY HILLS  AUS Card xx8882 Value Date: 10/10/2019"/>
        <s v="UBER   *EATS Sydney AU AUS Card xx8882 Value Date: 09/10/2019"/>
        <s v="grunt blueprint gig money"/>
        <s v="TRANSPORTFORNSW OPAL CHIPPENDALE  AUS Card xx8882 Value Date: 09/10/2019"/>
        <s v="TASTE BAKERY &amp; RESTAU SURRY HILLS  AUS Card xx8882 Value Date: 08/10/2019"/>
        <s v="UNIVERSAL CIVIC PTY SYDNEY  AUS Card xx8882 Value Date: 06/10/2019"/>
        <s v="UberUAE_EATS Sydney AU AUS Card xx8882 Value Date: 07/10/2019"/>
        <s v="UberUAE_EATS Sydney AU AUS Card xx8882 Value Date: 05/10/2019"/>
        <s v="Gozleme King Darling Sydney NS AUS Card xx8882 Value Date: 06/10/2019"/>
        <s v="CITY MART RANDWICK SYDNEY NS AUS Card xx8882 Value Date: 07/10/2019"/>
        <s v="Cafe Del Mar Sydney NS AUS Card xx8882 Value Date: 06/10/2019"/>
        <s v="UBER   *EATS Sydney AU AUS Card xx8882 Value Date: 04/10/2019"/>
        <s v="UBER   *EATS Sydney AU AUS Card xx8882 Value Date: 03/10/2019"/>
        <s v="TASTE BAKERY &amp; RESTAU SURRY HILLS  AUS Card xx8882 Value Date: 02/10/2019"/>
        <s v="Withdrawal   ATMANZ THE STAR SYDNEY 235PYRMONT        AU"/>
        <s v="SPORTS 24 7 THE STAR     PYRMONT      AU Card xx8882"/>
        <s v="JACKS HAIRDRESSING SYDNEY NS AUS Card xx8882 Value Date: 02/10/2019"/>
        <s v="UberUAE_EATS Sydney AU AUS Card xx8882 Value Date: 01/10/2019"/>
        <s v="TASTE BAKERY &amp; RESTAU SURRY HILLS  AUS Card xx8882 Value Date: 30/09/2019"/>
        <s v="Salary HAYSPERS 676442"/>
        <s v="RYDGES SYDNEY CENTRAL    SURRY HILLS  AU Card xx8882"/>
        <s v="TRANSPORTFORNSW OPAL CHIPPENDALE  AUS Card xx8882 Value Date: 02/10/2019"/>
        <s v="GORO'S                   SURRY HILLS  AU Card xx8882"/>
        <s v="UBER   *EATS Sydney AU AUS Card xx8882 Value Date: 29/09/2019"/>
        <s v="UBER   *EATS Sydney AU AUS Card xx8882 Value Date: 28/09/2019"/>
        <s v="UberUAE_EATS Sydney AU AUS Card xx8882 Value Date: 28/09/2019"/>
        <s v="UBER   *EATS Sydney AU AUS Card xx8882 Value Date: 27/09/2019"/>
        <s v="TASTE BAKERY &amp; RESTAU SURRY HILLS  AUS Card xx8882 Value Date: 26/09/2019"/>
        <s v="Direct Debit 245164 HCF 5723396980259A0000"/>
        <s v="TRANSPORTFORNSW OPAL CHIPPENDALE  AUS Card xx8882 Value Date: 25/09/2019"/>
        <s v="GM CABS PTY LTD MASCOT  AUS Card xx8882 Value Date: 21/09/2019"/>
        <s v="UberUAE_EATS Sydney AU AUS Card xx8882 Value Date: 22/09/2019"/>
        <s v="BALMAIN HTL PROPERTY BALMAIN AU AUS Card xx8882 Value Date: 21/09/2019"/>
        <s v="Withdrawal   ATMCBA ATM  300ELIZABETH C NSW 203303   AUS"/>
        <s v="WW METRO        1669 CENTRAL STAT NSW AU"/>
        <s v="TRANSPORTFORNSW OPAL CHIPPENDALE  AUS Card xx8882 Value Date: 18/09/2019"/>
        <s v="TASTE BAKERY &amp; RESTAU SURRY HILLS  AUS Card xx8882 Value Date: 16/09/2019"/>
        <s v="THE ORCHARD TAVERN CHATSWOOD  AUS Card xx8882 Value Date: 14/09/2019"/>
        <s v="UBER   *EATS SYDNEY NS AUS Card xx8882 Value Date: 15/09/2019"/>
        <s v="STRIKE AUSTRALIA PTY CHATSWOOD NS AUS Card xx8882 Value Date: 14/09/2019"/>
        <s v="SMP*Makanai Chatwsood Chatswood AU AUS Card xx8882 Value Date: 14/09/2019"/>
        <s v="PLAYTIME CHATSWOOD CHATSWOOD NS AUS Card xx8882 Value Date: 14/09/2019"/>
        <s v="SILVER SPOON BISTRO SURRY HILLS NS AUS Card xx8882 Value Date: 12/09/2019"/>
        <s v="UBER   *EATS SYDNEY NS AUS Card xx8882 Value Date: 11/09/2019"/>
        <s v="TASTE BAKERY &amp; RESTAU SURRY HILLS  AUS Card xx8882 Value Date: 10/09/2019"/>
        <s v="Withdrawal   ATMCAS 7-11 DRUMMOYNE     DRUMMOYN NS    AU"/>
        <s v="TRANSPORTFORNSW OPAL CHIPPENDALE  AUS Card xx8882 Value Date: 12/09/2019"/>
        <s v="Direct Credit 333732 INDESIGN PUB INDE FRONT DJ"/>
        <s v="UberUAE_EATS Sydney AU AUS Card xx8882 Value Date: 08/09/2019"/>
        <s v="UberUAE_EATS Sydney AU AUS Card xx8882 Value Date: 07/09/2019"/>
        <s v="850 RMS NCC1 NEWCASTLE  AUS Card xx8882 Value Date: 06/09/2019"/>
        <s v="geoff pay"/>
        <s v="Untied                   Millers PointAU"/>
        <s v="TRANSPORTFORNSW OPAL CHIPPENDALE  AUS Card xx8882 Value Date: 05/09/2019"/>
        <s v="TASTE BAKERY &amp; RESTAU SURRY HILLS  AUS Card xx8882 Value Date: 03/09/2019"/>
        <s v="Store Dj Invoice - 635671 - Behringer Ultrapatch"/>
        <s v="Return HYPEDC PITT ST MALL SYDNEY NS AUS Card xx8882 Value Date: 04/09/2019"/>
        <s v="GFM*GOFUNDME AUSTRALIA Sydney AU AUS Card xx8882 Value Date: 04/09/2019"/>
        <s v="CRAZYDOMAINSHOSTING 61290372826 SG SGP Card xx8882 AUD 21.95 Value Date: 03/09/2019"/>
        <s v="KADMUS PTY LTD           DRUMMOYNE    AU Card xx8882"/>
        <s v="UBER   *EATS SYDNEY NS AUS Card xx8882 Value Date: 01/09/2019"/>
        <s v="UberUAE_EATS Sydney AU AUS Card xx8882 Value Date: 31/08/2019"/>
        <s v="UberUAE_EATS Sydney AU AUS Card xx8882 Value Date: 30/08/2019"/>
        <s v="International Transaction Fee Value Date: 30/08/2019"/>
        <s v="GM CABS PTY LTD MASCOT  AUS Card xx8882 Value Date: 30/08/2019"/>
        <s v="BANDCAMP LATE NIGHT TA BANDCAMP.CO CA USA Card xx8882 GBP 8.99 Value Date: 30/08/2019"/>
        <s v="BANDCAMP KHRUANGBIN BANDCAMP.CO CA USA Card xx8882 GBP 8.99 Value Date: 30/08/2019"/>
        <s v="Direct Debit 245164 HCF 5723396980229A0000"/>
        <s v="TRANSPORTFORNSW OPAL CHIPPENDALE  AUS Card xx8882 Value Date: 30/08/2019"/>
        <s v="MCDONALDS LIVERPOOL S LIVERPOOL SOU  AUS Tap and Pay xx6067 Value Date: 27/08/2019"/>
        <s v="El Loco @ Slip Inn Sydney NS AUS Card xx8882 Value Date: 29/08/2019"/>
        <s v="GM CABS PTY LTD MASCOT  AUS Tap and Pay xx6067 Value Date: 27/08/2019"/>
        <s v="WOOLWORTHS 1669 SURRY HILLS NS AUS Tap and Pay xx6067 Value Date: 27/08/2019"/>
        <s v="UBER   *EATS SYDNEY NS AUS Card xx8882 Value Date: 26/08/2019"/>
        <s v="TASTE BAKERY &amp; RESTAU SURRY HILLS  AUS Card xx8882 Value Date: 23/08/2019"/>
        <s v="GM CABS PTY LTD MASCOT  AUS Tap and Pay xx6067 Value Date: 25/08/2019"/>
        <s v="GM CABS PTY LTD MASCOT  AUS Card xx8882 Value Date: 23/08/2019"/>
        <s v="Direct Debit 342190 FITNESS PLAY SH 172011202"/>
        <s v="7-ELEVEN 2048 DRUMMOYNE NS AUS Tap and Pay xx6067 Value Date: 27/08/2019"/>
        <s v="UBER   *EATS SYDNEY NS AUS Card xx8882 Value Date: 25/08/2019"/>
        <s v="7-ELEVEN 2048 DRUMMOYNE NS AUS Card xx8882 Value Date: 24/08/2019"/>
        <s v="UBER   *TRIP SYDNEY NS AUS Card xx8882 Value Date: 23/08/2019"/>
        <s v="LIV*THE WILD ROVER SURRY HILLS  AUS Card xx8882 Value Date: 22/08/2019"/>
        <s v="A BASAULA AND S SHAHI NEWTOWN AU AUS Card xx8882 Value Date: 23/08/2019"/>
        <s v="iou food"/>
        <s v="MYER  SYDNEY CITY SYDNEY NS AUS Card xx8882 Value Date: 22/08/2019"/>
        <s v="HYPEDC PITT ST MALL SYDNEY NS AUS Card xx8882 Value Date: 22/08/2019"/>
        <s v="LAS VEGAS GAMING INT     NEWTOWN      AU Card xx8882"/>
        <s v="JACKS HAIRDRESSING SYDNEY NS AUS Card xx8882 Value Date: 19/08/2019"/>
        <s v="UBER   *EATS SYDNEY NS AUS Card xx8882 Value Date: 18/08/2019"/>
        <s v="TRANSPORTFORNSW OPAL CHIPPENDALE  AUS Card xx8882 Value Date: 20/08/2019"/>
        <s v="UberUAE_EATS Sydney AU AUS Card xx8882 Value Date: 16/08/2019"/>
        <s v="TASTE BAKERY &amp; RESTAU SURRY HILLS  AUS Card xx8882 Value Date: 14/08/2019"/>
        <s v="Elec Bill"/>
        <s v="TAXI COMBINED 133300 ALEXANDRIA NS AUS Card xx8882 Value Date: 12/08/2019"/>
        <s v="TASTE BAKERY &amp; RESTAU SURRY HILLS  AUS Card xx8882 Value Date: 09/08/2019"/>
        <s v="RIBS AND BURGERS DRUMM   DRUMMOYNE    AU Card xx8882"/>
        <s v="GM CABS PTY LTD MASCOT  AUS Card xx8882 Value Date: 11/08/2019"/>
        <s v="Direct Debit 342190 FITNESS PLAY SH 169500209"/>
        <s v="UBER   *TRIP SYDNEY NS AUS Card xx8882 Value Date: 11/08/2019"/>
        <s v="UBER   *EATS SYDNEY NS AUS Card xx8882 Value Date: 11/08/2019"/>
        <s v="TRANSPORTFORNSW OPAL CHIPPENDALE  AUS Card xx8882 Value Date: 13/08/2019"/>
        <s v="Menulog Pty Ltd Sydney AU AUS Card xx8882 Value Date: 10/08/2019"/>
        <s v="El Loco Excelsior Surry Hills NS AUS Card xx8882 Value Date: 12/08/2019"/>
        <s v="7-ELEVEN 2048 DRUMMOYNE NS AUS Card xx8882 Value Date: 11/08/2019"/>
        <s v="UberUAE_EATS Sydney AU AUS Card xx8882 Value Date: 10/08/2019"/>
        <s v="Thaifood"/>
        <s v="TASTE BAKERY &amp; RESTAU SURRY HILLS  AUS Card xx8882 Value Date: 07/08/2019"/>
        <s v="International Transaction Fee Value Date: 08/08/2019"/>
        <s v="BEATPORT 720-974-9500 CO USA Card xx8882 AUD 7.44 Value Date: 10/08/2019"/>
        <s v="2334271OntarioLtd 855-2348273 ON CAN Card xx8882 USD 327.69 Value Date: 08/08/2019 (Zeus Arc)"/>
        <s v="ZEUS SURRY HILLS PTY L   SURRY HILLS  AU Card xx8882"/>
        <s v="KOUKLA GROUP PTY LTD     SURRY HILLS  AU Card xx8882"/>
        <s v="sunday lunch order"/>
        <s v="Withdrawal   ATMRed CEXP DRUMMOYNE NT  Drummoyne      AU"/>
        <s v="TASTE BAKERY &amp; RESTAU SURRY HILLS  AUS Card xx8882 Value Date: 06/08/2019"/>
        <s v="UberUAE_EATS Sydney AU AUS Card xx8882 Value Date: 05/08/2019"/>
        <s v="TRANSPORTFORNSW OPAL CHIPPENDALE  AUS Card xx8882 Value Date: 07/08/2019"/>
        <s v="UberUAE_EATS Sydney AU AUS Card xx8882 Value Date: 02/08/2019"/>
        <s v="TASTE BAKERY &amp; RESTAU SURRY HILLS  AUS Card xx8882 Value Date: 01/08/2019"/>
        <s v="TASTE BAKERY &amp; RESTAU SURRY HILLS  AUS Card xx8882 Value Date: 30/07/2019"/>
        <s v="TRANSPORTFORNSW OPAL CHIPPENDALE  AUS Card xx8882 Value Date: 01/08/2019"/>
        <s v="SALT MEATS CHEESE DRUMMOYNE NS AUS Card xx8882 Value Date: 29/07/2019"/>
        <s v="GM CABS PTY LTD MASCOT  AUS Card xx8882 Value Date: 28/07/2019"/>
        <s v="Direct Debit 342190 FITNESS PLAY SH 167079573"/>
        <s v="Direct Debit 245164 HCF 5723396980199A0000"/>
        <s v="BIG D S DINER NEWTOW NEWTOWN  AUS Card xx8882 Value Date: 26/07/2019"/>
        <s v="UBER   *TRIP SYDNEY NS AUS Card xx8882 Value Date: 28/07/2019"/>
        <s v="Town Hall Hotel Newtown NS AUS Card xx8882 Value Date: 26/07/2019"/>
        <s v="The Strand Hotel Darlinghurst NS AUS Card xx8882 Value Date: 27/07/2019"/>
        <s v="TASTE BAKERY &amp; RESTAU SURRY HILLS  AUS Card xx8882 Value Date: 25/07/2019"/>
        <s v="Louisa"/>
        <s v="A HANKIN COMPANY WICKHAM NS AUS Card xx8882 Value Date: 26/07/2019"/>
        <s v="77 CONVENIENCE STOR DARLINGHURST      AU Cash Out $76.95"/>
        <s v="TASTE BAKERY &amp; RESTAU SURRY HILLS  AUS Card xx8882 Value Date: 23/07/2019"/>
        <s v="STANLEYS BAR PTY LTD     DARLINGHURST AU Card xx8882"/>
        <s v="CENTENNIAL PLAZA PHR SYDNEY NS AUS Card xx8882 Value Date: 24/07/2019"/>
        <s v="TRANSPORTFORNSW OPAL CHIPPENDALE  AUS Card xx8882 Value Date: 25/07/2019"/>
        <s v="TASTE BAKERY &amp; RESTAU SURRY HILLS  AUS Card xx8882 Value Date: 22/07/2019"/>
        <s v="LIME APPLE 132227      SYDNEY    NSW  AU"/>
        <s v="GM CABS PTY LTD MASCOT  AUS Card xx8882 Value Date: 20/07/2019"/>
        <s v="UBER TRIP HELP.UBER.CO 14518236738 AU AUS Card xx8882 Value Date: 21/07/2019"/>
        <s v="UBER TRIP HELP.UBER.CO 14518236738 AU AUS Card xx8882 Value Date: 20/07/2019"/>
        <s v="UBER   *TRIP SYDNEY NS AUS Card xx8882 Value Date: 21/07/2019"/>
        <s v="UBER TRIP HELP.UBER.CO 14518236738 AU AUS Card xx8882 Value Date: 18/07/2019"/>
        <s v="TASTE BAKERY &amp; RESTAU SURRY HILLS  AUS Card xx8882 Value Date: 17/07/2019"/>
        <s v="Internet Share 2 months"/>
        <s v="East Village Sydney Darlinghurst NS AUS Card xx8882 Value Date: 20/07/2019"/>
        <s v="SILVER SERVIC 13310    Sydney         AU"/>
        <s v="BP PLANNING PTY LTD      BALMAIN      AU Card xx8882"/>
        <s v="TRANSPORTFORNSW OPAL CHIPPENDALE  AUS Card xx8882 Value Date: 18/07/2019"/>
        <s v="LINKT SYDNEY SYDNEY  AUS Card xx8882 Value Date: 18/07/2019"/>
        <s v="Direct Debit 165969 FITNESS PLAY SH 20198238122"/>
        <s v="UberUAE_EATS Sydney AU AUS Card xx8882 Value Date: 14/07/2019"/>
        <s v="UBER   *EATS SYDNEY NS AUS Card xx8882 Value Date: 12/07/2019"/>
        <s v="SALT MEATS CHEESE DRUMMOYNE NS AUS Card xx8882 Value Date: 13/07/2019"/>
        <s v="IYASHI REMEDIES CO P/L DRUMMOYNE NS AUS Card xx8882 Value Date: 13/07/2019"/>
        <s v="7-ELEVEN 2048 DRUMMOYNE NS AUS Card xx8882 Value Date: 13/07/2019"/>
        <s v="SMP*Bar Tosca Surry Hills AU AUS Card xx8882 Value Date: 11/07/2019"/>
        <s v="TRANSPORTFORNSW OPAL CHIPPENDALE  AUS Card xx8882 Value Date: 12/07/2019"/>
        <s v="SMP*Bar Tosca Surry Hills AU AUS Card xx8882 Value Date: 10/07/2019"/>
        <s v="DUMPLING HUT AUS PL SURRY HILLS NS AUS Card xx8882 Value Date: 09/07/2019"/>
        <s v="Withdrawal   ATMANZ GOROS              SURRY HIL      AU"/>
        <s v="UBER   *EATS SYDNEY NS AUS Card xx8882 Value Date: 07/07/2019"/>
        <s v="TRANSPORTFORNSW OPAL CHIPPENDALE  AUS Card xx8882 Value Date: 08/07/2019"/>
        <s v="TASTE BAKERY &amp; RESTAU SURRY HILLS  AUS Card xx8882 Value Date: 05/07/2019"/>
        <s v="TASTE BAKERY &amp; RESTAU SURRY HILLS  AUS Card xx8882 Value Date: 04/07/2019"/>
        <s v="UBER   *EATS SYDNEY NS AUS Card xx8882 Value Date: 03/07/2019"/>
        <s v="maccas 06/07/2019"/>
        <s v="GM CABS PTY LTD MASCOT  AUS Card xx8882 Value Date: 29/06/2019"/>
        <s v="Direct Debit 165969 FITNESS PLAY SH 20197729127"/>
        <s v="UNI OF SYDNEY UNIO UNIVERSITY OF NS AUS Card xx8882 Value Date: 29/06/2019"/>
        <s v="UBER TRIP HELP.UBER.CO 14518236738 AU AUS Card xx8882 Value Date: 28/06/2019"/>
        <s v="TRANSPORTFORNSW OPAL CHIPPENDALE  AUS Card xx8882 Value Date: 01/07/2019"/>
        <s v="TASTE BAKERY &amp; RESTAU SURRY HILLS  AUS Card xx8882 Value Date: 27/06/2019"/>
        <s v="POWERDIRECT PTY LTD NORTH SYDNEY  AUS Card xx8882 Value Date: 27/06/2019"/>
        <s v="AGL SALES P/L 0308 MELBOURNE  AUS Card xx8882 Value Date: 27/06/2019"/>
        <s v="Direct Debit 245164 HCF 5723396980166A0000"/>
        <s v="DUMPLING HUT AUS PL SURRY HILLS NS AUS Card xx8882 Value Date: 25/06/2019"/>
        <s v="Withdrawal   ATMBOQ NEWTOWN            NEWTOWN  NS    AU Value Date: 29/06/2019"/>
        <s v="MELANIE AND ANNIE PT     HAYMARKET    AU Card xx8882"/>
        <s v="DUMPLING HUT AUS PL SURRY HILLS NS AUS Card xx8882 Value Date: 24/06/2019"/>
        <s v="UNIVERSAL HOTELS PTY DARLINGHURST  AUS Card xx8882 Value Date: 22/06/2019"/>
        <s v="TRANSPORTFORNSW OPAL CHIPPENDALE  AUS Card xx8882 Value Date: 26/06/2019"/>
        <s v="GM CABS PTY LTD MASCOT  AUS Card xx8882 Value Date: 22/06/2019"/>
        <s v="CASH DEPOSIT CBA ATM  300ELIZABETH A NSW 203301   AUS"/>
        <s v="Goodbar Paddington NS AUS Card xx8882 Value Date: 23/06/2019"/>
        <s v="SKYBUS COACH SERVICE     MELBOURNE AIRAU Card xx8882"/>
        <s v="NJ GROUP PTY LTD         MELBOURNE AIRAU Card xx8882"/>
        <s v="Camy's Chargrill SH Surry Hills NS AUS Card xx8882 Value Date: 20/06/2019"/>
        <s v="Camy's Chargrill SH Surry Hills NS AUS Card xx8882 Value Date: 19/06/2019"/>
        <s v="7-ELEVEN 2048 DRUMMOYNE NS AUS Card xx8882 Value Date: 19/06/2019"/>
        <s v="TRANSPORTFORNSW OPAL     CHIPPENDALE  AU Card xx8882"/>
        <s v="DUMPLING HUT AUS PL SURRY HILLS NS AUS Card xx8882 Value Date: 17/06/2019"/>
        <s v="Direct Debit 165969 FITNESS PLAY SH 20197196210"/>
        <s v="Camy's Chargrill SH Surry Hills NS AUS Card xx8882 Value Date: 18/06/2019"/>
        <s v="RAMTEAN ROOZBEHA CommBank app rabies vaccine"/>
        <s v="Direct Credit 371474 RENTALBONDBOARD S162210-X 1 / 9"/>
        <s v="BKNG SNSTN BKRY CF DRUMMOYNE NS AUS Card xx8882 Value Date: 15/06/2019"/>
        <s v="DUMPLING HUT AUS PL SURRY HILLS NS AUS Card xx8882 Value Date: 13/06/2019"/>
        <s v="Camy's Chargrill SH Surry Hills NS AUS Card xx8882 Value Date: 14/06/2019"/>
        <s v="Refund of Disputes Fees and or interest"/>
        <s v="Sunday food"/>
        <s v="TWG AT JOAN SUTHERLAND SYDNEY  AUS Tap and Pay xx6067 Value Date: 10/06/2019"/>
        <s v="Camy's Chargrill SH Surry Hills NS AUS Card xx8882 Value Date: 12/06/2019"/>
        <s v="MENYA CHINATOWN HAYMARKET NS AUS Card xx8882 Value Date: 10/06/2019"/>
        <s v="Camy's Chargrill SH Surry Hills NS AUS Card xx8882 Value Date: 11/06/2019"/>
        <s v="Annandale Hotel          Annandale    AU"/>
        <s v="TFNSW RAIL OPAL          HAYMARKET    AU Card xx8882"/>
        <s v="Cash Dep Branch 300ElizabethSt Syd"/>
        <s v="Camy's Chargrill SH Surry Hills NS AUS Card xx8882 Value Date: 07/06/2019"/>
        <s v="TWG AT JOAN SUTHERLAND   SYDNEY       AU Card xx8882"/>
        <s v="Opera Bar                Sydney       AU"/>
        <s v="WW METRO 1360            BORONIA PARK AU Card xx8882"/>
        <s v="SUTTONS MOTORS ARNCL ARNCLIFFE NS AUS Card xx8882 Value Date: 05/06/2019"/>
        <s v="HFM BORONIA PARK         BORONIA PARK AU Card xx8882"/>
        <s v="Camy's Chargrill SH Surry Hills NS AUS Card xx8882 Value Date: 06/06/2019"/>
        <s v="DUMPLING HUT AUS PL SURRY HILLS NS AUS Tap and Pay xx6067 Value Date: 04/06/2019"/>
        <s v="Camy's Chargrill SH Surry Hills NS AUS Card xx8882 Value Date: 05/06/2019"/>
        <s v="RMSTOLLNOTICEPH13186 PARRAMATTA  AUS Card xx8882 Value Date: 31/05/2019"/>
        <s v="MCDONALDS DRUMMOYNE DRUMMOYNE  AUS Card xx8882 Value Date: 01/06/2019"/>
        <s v="Direct Debit 165969 FITNESS PLAY SH 20196685299"/>
        <s v="UBER   *EATS SYDNEY NS AUS Card xx8882 Value Date: 01/06/2019"/>
        <s v="SQ *THE TASTE OF BEES Drummoyne AU AUS Card xx8882 Value Date: 02/06/2019"/>
        <s v="Return UBER   *EATS SYDNEY NS AUS Card xx8882 Value Date: 02/06/2019"/>
        <s v="GREAT LIGHTING AUSTR LEICHHARDT NS AUS Card xx8882 Value Date: 03/06/2019"/>
        <s v="COLES 4788 FIVE DOCK AU AUS Card xx8882 Value Date: 03/06/2019"/>
        <s v="Camy's Chargrill SH Surry Hills NS AUS Card xx8882 Value Date: 03/06/2019"/>
        <s v="7-ELEVEN 2048 DRUMMOYNE NS AUS Card xx8882 Value Date: 31/05/2019"/>
        <s v="PRIME QUALITY MEATS LEICHHARDT NS AUS Card xx8882 Value Date: 29/05/2019"/>
        <s v="DUMPLING HUT AUS PL SURRY HILLS NS AUS Card xx8882 Value Date: 31/05/2019"/>
        <s v="BOND CLEANING IN YOUR ASHMORE AU AUS Card xx8882 Value Date: 01/06/2019"/>
        <s v="Direct Debit 245164 HCF 5723396980138A0000"/>
        <s v="BUNNINGS 595000          ASHFIELD     AU Card xx8882 - home supplies"/>
        <s v="Withdrawal   ATMCBA ATM  PETERSHAM A    NSW 222701   AUS"/>
        <s v="ref340 96a Audley"/>
        <s v="PRIME QUALITY MEATS LEICHHARDT NS AUS Card xx8882 Value Date: 28/05/2019"/>
        <s v="PETERSHAM PHARMACY       PETERSHAM    AU Card xx8882"/>
        <s v="CommBank app"/>
        <s v="Camy's Chargrill SH Surry Hills NS AUS Card xx8882 Value Date: 30/05/2019"/>
        <s v="CENTENNIAL PLAZA PHR SYDNEY NS AUS Card xx8882 Value Date: 28/05/2019"/>
        <s v="SILVER SPOON BISTRO SURRY HILLS NS AUS Card xx8882 Value Date: 24/05/2019"/>
        <s v="DMD FUELS PTY LTD        PETERSHAM    AU Card xx8882"/>
        <s v="COLES 0846 LEICHHARDT AU AUS Card xx8882 Value Date: 28/05/2019"/>
        <s v="CIVIC HOTEL SYDNEY  AUS Tap and Pay xx6067 Value Date: 25/05/2019"/>
        <s v="CIVIC HOTEL SYDNEY  AUS Card xx8882 Value Date: 25/05/2019"/>
        <s v="CIVIC HOTEL SYDNEY  AUS Card xx8882 Value Date: 24/05/2019"/>
        <s v="UBER EATS HELP.UBER.CO 14518236738 AU AUS Card xx8882 Value Date: 26/05/2019"/>
        <s v="UBER   *TRIP SYDNEY NS AUS Card xx8882 Value Date: 26/05/2019"/>
        <s v="UBER   *EATS SYDNEY NS AUS Card xx8882 Value Date: 26/05/2019"/>
        <s v="TAXI4UR SERVICE PTYLTD CROYDON PARK NS AUS Card xx8882 Value Date: 25/05/2019"/>
        <s v="TAXI COMBINED 133300 ALEXANDRIA NS AUS Card xx8882 Value Date: 25/05/2019"/>
        <s v="MED CAFE PETERSHAM NS AUS Card xx8882 Value Date: 25/05/2019"/>
        <s v="KENNARDS SELF STORAGE    PETERSHAM    AU Card xx8882"/>
        <s v="CULTIVATE (T1) PTY L DARLINGHURST NS AUS Card xx8882 Value Date: 26/05/2019"/>
        <s v="CULTIVATE (T1) PTY L DARLINGHURST NS AUS Card xx8882 Value Date: 25/05/2019"/>
        <s v="Camy's Chargrill SH Surry Hills NS AUS Card xx8882 Value Date: 27/05/2019"/>
        <s v="LEGION CAB SY 131451 DARLINGHURST NS AUS Card xx8882 Value Date: 24/05/2019"/>
        <s v="THE FAT CHOOK LEICHHAR   LEICHHARDT   AU Card xx8882"/>
        <s v="MR CRACKLES              DARLINGHURST AU Card xx8882"/>
        <s v="YULIA ANGESTI &amp; MICH LEICHHARDT NS AUS Card xx8882 Value Date: 22/05/2019 (Norton Seafoods)"/>
        <s v="Withdrawal   ATMWES RAILWAY SQ O/S     RAILWAY SNS    AU"/>
        <s v="The Winery               Surry Hills  AU"/>
        <s v="Camy's Chargrill SH Surry Hills NS AUS Card xx8882 Value Date: 23/05/2019"/>
        <s v="7-ELEVEN 2153 PETERSHAM NS AUS Card xx8882 Value Date: 23/05/2019"/>
        <s v="Withdrawal   ATMWES CIVIC HOTEL        SYDNEY         AU"/>
        <s v="COLES 0846 LEICHHARDT AU AUS Card xx8882 Value Date: 21/05/2019"/>
        <s v="PRIME QUALITY MEATS LEICHHARDT NS AUS Card xx8882 Value Date: 19/05/2019"/>
        <s v="MASSAGE LINK BROADWA ULTIMO NS AUS Card xx8882 Value Date: 18/05/2019"/>
        <s v="Direct Debit 165969 FITNESS PLAY SH 20196177772"/>
        <s v="Camy's Chargrill SH Surry Hills NS AUS Card xx8882 Value Date: 21/05/2019"/>
        <s v="NETFLIX.COM Melbourne AU AUS Card xx8882 Value Date: 19/05/2019"/>
        <s v="HARRIS FARM MARKETS      LEICHHARDT   AU Card xx8882"/>
        <s v="H&amp;M AUSTRALIA 0011 SYDNEY NS AUS Card xx8882 Value Date: 18/05/2019"/>
        <s v="Camy's Chargrill SH Surry Hills NS AUS Card xx8882 Value Date: 20/05/2019"/>
        <s v="PRIME QUALITY MEATS LEICHHARDT NS AUS Card xx8882 Value Date: 15/05/2019"/>
        <s v="COLES 0846 LEICHHARDT AU AUS Card xx8882 Value Date: 17/05/2019"/>
        <s v="CITYOFSYDNEY PARKING SYDNEY  AUS Card xx8882 Value Date: 16/05/2019"/>
        <s v="Camy's Chargrill SH Surry Hills NS AUS Card xx8882 Value Date: 17/05/2019"/>
        <s v="LINKT SYDNEY SYDNEY  AUS Card xx8882 Value Date: 17/05/2019"/>
        <s v="JUST CUTS BROADWAY BROADWAY NSW       AU"/>
        <s v="JOJOS VENTURE PTY LT     PETERSHAM    AU Card xx8882"/>
        <s v="CAFE SYDNEY NSW Sydney NS AUS Card xx8882 Value Date: 16/05/2019"/>
        <s v="TASTE BAKERY &amp; RESTAU SURRY HILLS  AUS Card xx8882 Value Date: 14/05/2019"/>
        <s v="PRIME QUALITY MEATS LEICHHARDT NS AUS Card xx8882 Value Date: 13/05/2019"/>
        <s v="COLES 0846 LEICHHARDT AU AUS Card xx8882 Value Date: 15/05/2019"/>
        <s v="Camy's Chargrill SH Surry Hills NS AUS Card xx8882 Value Date: 15/05/2019"/>
        <s v="YULIA ANGESTI &amp; MICH LEICHHARDT NS AUS Card xx8882 Value Date: 13/05/2019 (Norton Seafoods)"/>
        <s v="TASTE BAKERY &amp; RESTAU SURRY HILLS  AUS Card xx8882 Value Date: 13/05/2019"/>
        <s v="Homayoun Roozbehani Dads Present"/>
        <s v="UBER EATS HELP.UBER.CO 14518236738 AU AUS Card xx8882 Value Date: 12/05/2019"/>
        <s v="UBER EATS HELP.UBER.CO 14518236738 AU AUS Card xx8882 Value Date: 11/05/2019"/>
        <s v="UBER   *EATS SYDNEY NS AUS Card xx8882 Value Date: 11/05/2019"/>
        <s v="COLES 0846 LEICHHARDT AU AUS Card xx8882 Value Date: 13/05/2019"/>
        <s v="TASTE BAKERY &amp; RESTAU SURRY HILLS  AUS Card xx8882 Value Date: 10/05/2019"/>
        <s v="POWERDIRECT PTY LTD NORTH SYDNEY  AUS Card xx8882 Value Date: 09/05/2019"/>
        <s v="SCORPION TECH       MACQUARIE PAR     AU - Nvidia P2000 Graphics Card"/>
        <s v="SCORPION TECH       MACQUARIE PAR     AU"/>
        <s v="PRIME QUALITY MEATS LEICHHARDT NS AUS Card xx8882 Value Date: 07/05/2019"/>
        <s v="PHOTO SHOP STUDIO ASHFIELD NS AUS Card xx8882 Value Date: 09/05/2019"/>
        <s v="LEICHHARDT DSCNT CHE LEICHHARDT NS AUS Card xx8882 Value Date: 07/05/2019"/>
        <s v="BOND CLEANING IN YOUR ASHMORE AU AUS Card xx8882 Value Date: 09/05/2019"/>
        <s v="7-ELEVEN 2153 PETERSHAM NS AUS Card xx8882 Value Date: 09/05/2019"/>
        <s v="Withdrawal   ATMWES MADISON HOTEL      SURRY H        AU"/>
        <s v="TASTE BAKERY &amp; RESTAU SURRY HILLS  AUS Card xx8882 Value Date: 06/05/2019"/>
        <s v="PLINE PH LEICHHARDT LEICHHARDT  AUS Card xx8882 Value Date: 06/05/2019"/>
        <s v="ONE TONG PTY LTD    SYDNEY            AU"/>
        <s v="MADISON HOTEL            SURRY HILLS  AU Card xx8882"/>
        <s v="EVENING STAR OPERATI     SURRY HILLS  AU Card xx8882"/>
        <s v="CENTENNIAL PLAZA PHR SYDNEY NS AUS Card xx8882 Value Date: 07/05/2019"/>
        <s v="YULIA ANGESTI &amp; MICH LEICHHARDT NS AUS Card xx8882 Value Date: 06/05/2019 (Norton Seafoods)"/>
        <s v="MCDONALDS DRUMMOYNE DRUMMOYNE  AUS Card xx8882 Value Date: 05/05/2019"/>
        <s v="Direct Debit 165969 FITNESS PLAY SH 20195621644"/>
        <s v="COLES 0846 LEICHHARDT AU AUS Card xx8882 Value Date: 07/05/2019"/>
        <s v="Camy's Chargrill SH Surry Hills NS AUS Card xx8882 Value Date: 07/05/2019"/>
        <s v="COLES 0846 LEICHHARDT AU AUS Card xx8882 Value Date: 06/05/2019"/>
        <s v="TASTE BAKERY &amp; RESTAU SURRY HILLS  AUS Card xx8882 Value Date: 02/05/2019"/>
        <s v="PRIME QUALITY MEATS LEICHHARDT NS AUS Card xx8882 Value Date: 01/05/2019"/>
        <s v="LEICHHARDT CHEMIST LEICHHARDT NS AUS Card xx8882 Value Date: 03/05/2019"/>
        <s v="COLES 0846 LEICHHARDT AU AUS Card xx8882 Value Date: 03/05/2019"/>
        <s v="TASTE BAKERY &amp; RESTAU SURRY HILLS  AUS Card xx8882 Value Date: 29/04/2019"/>
        <s v="Belong * Service PADDINGTON NS AUS Card xx8882 Value Date: 01/05/2019"/>
        <s v="WARWICK L EVERINGHAM LEICHHARDT  AUS Tap and Pay xx6067 Value Date: 27/04/2019"/>
        <s v="SUSHI OTAKU SURRY HILLS NS AUS Card xx8882 Value Date: 30/04/2019"/>
        <s v="AUTO TCH CR &amp; TRCK R PETERSHAM NOR NS AUS Card xx8882 Value Date: 26/04/2019"/>
        <s v="LEICHHARDT CHEMIST LEICHHARDT NS AUS Tap and Pay xx6067 Value Date: 27/04/2019"/>
        <s v="Direct Debit 245164 HCF 5723396980107A0000"/>
        <s v="COLES 0846 LEICHHARDT AU AUS Card xx8882 Value Date: 29/04/2019"/>
        <s v="TASTE BAKERY &amp; RESTAU SURRY HILLS  AUS Card xx8882 Value Date: 24/04/2019"/>
        <s v="SERVICE NSW SYDNEY  AUS Card xx8882 Value Date: 26/04/2019 - Car Registration"/>
        <s v="NRMA WEB SYDNEY NS AUS Card xx8882 Value Date: 26/04/2019"/>
        <s v="COLES 0846 LEICHHARDT AU AUS Tap and Pay xx6067 Value Date: 27/04/2019"/>
        <s v="Camy's Chargrill SH Surry Hills NS AUS Card xx8882 Value Date: 26/04/2019"/>
        <s v="SYDNEY OPERA HOUSE TRU SYDNEY NS AUS Card xx8882 Value Date: 24/04/2019"/>
        <s v="Sushi Hub Balmain Balmain NS AUS Card xx8882 Value Date: 25/04/2019"/>
        <s v="REVENUE NSWFINE MAITLAND  AUS Card xx8882 Value Date: 23/04/2019"/>
        <s v="RELISH FOODS LEICHHARDT NS AUS Card xx8882 Value Date: 23/04/2019"/>
        <s v="PRIME QUALITY MEATS LEICHHARDT NS AUS Card xx8882 Value Date: 23/04/2019"/>
        <s v="Dick's Hotel Balmain Balmain NS AUS Card xx8882 Value Date: 25/04/2019"/>
        <s v="CIVIC HOTEL SYDNEY  AUS Card xx8882 Value Date: 21/04/2019"/>
        <s v="CIVIC HOTEL SYDNEY  AUS Card xx8882 Value Date: 20/04/2019"/>
        <s v="Netbank to Complete Access "/>
        <s v="Direct Debit 165969 FITNESS PLAY SH 20195072088"/>
        <s v="WWW.INGOGO SYDNEY NS AUS Card xx8882 Value Date: 21/04/2019"/>
        <s v="Withdrawal   ATMCBA ATM  BALMAIN D      NSW 211004   AUS"/>
        <s v="MENYA CHINATOWN HAYMARKET NS AUS Card xx8882 Value Date: 18/04/2019"/>
        <s v="ACT HOLDINGS PTY LTD     ROZELLE      AU Card xx8882"/>
        <s v="7-ELEVEN 2153 PETERSHAM NS AUS Card xx8882 Value Date: 18/04/2019"/>
        <s v="7-ELEVEN 2048 DRUMMOYNE NS AUS Card xx8882 Value Date: 21/04/2019"/>
        <s v="White Cockatoo Hotel Petersham NS AUS Card xx8882 Value Date: 20/04/2019"/>
        <s v="UBER EATS HELP.UBER.CO 14518236738 AU AUS Card xx8882 Value Date: 21/04/2019"/>
        <s v="UBER EATS HELP.UBER.CO 14518236738 AU AUS Card xx8882 Value Date: 19/04/2019"/>
        <s v="UBER   *EATS SYDNEY NS AUS Card xx8882 Value Date: 22/04/2019"/>
        <s v="Republic Bar, Taylors Sydney NS AUS Card xx8882 Value Date: 20/04/2019"/>
        <s v="PRIME QUALITY MEATS LEICHHARDT NS AUS Card xx8882 Value Date: 17/04/2019"/>
        <s v="REVENUE NSWFINE MAITLAND  AUS Card xx8882 Value Date: 16/04/2019"/>
        <s v="Withdrawal   ATMANZ NEWTOWN RAILWAY STANEWTOWN        AU"/>
        <s v="TFNSW RAIL OPAL          PETERSHAM    AU Card xx8882"/>
        <s v="SOFTWARE PRO WORLD LONDON LN GBR Card xx8882 USD 47.49 Value Date: 14/04/2019"/>
        <s v="International Transaction Fee Value Date: 14/04/2019"/>
        <s v="COLES 0846 LEICHHARDT AU AUS Card xx8882 Value Date: 15/04/2019"/>
        <s v="TASTE BAKERY &amp; RESTAU SURRY HILLS  AUS Card xx8882 Value Date: 11/04/2019"/>
        <s v="RESIDENT ADVISOR TICKE LONDON GB GBR Card xx8882 AUD 27.10 Value Date: 12/04/2019"/>
        <s v="COLES 0846 LEICHHARDT AU AUS Card xx8882 Value Date: 12/04/2019"/>
        <s v="Camy's Chargrill SH Surry Hills NS AUS Card xx8882 Value Date: 12/04/2019"/>
        <s v="H Roozbehani Present from Dad"/>
        <s v="Camy's Chargrill SH Surry Hills NS AUS Card xx8882 Value Date: 10/04/2019"/>
        <s v="YULIA ANGESTI &amp; MICH LEICHHARDT NS AUS Card xx8882 Value Date: 07/04/2019 (Norton Seafoods)"/>
        <s v="EAST SUSHI PTY LTD LEICHHARDT NS AUS Card xx8882 Value Date: 07/04/2019"/>
        <s v="Direct Debit 165969 FITNESS PLAY SH 20194503683"/>
        <s v="COLES 0846 LEICHHARDT AU AUS Card xx8882 Value Date: 09/04/2019"/>
        <s v="UBER EATS HELP.UBER.CO 14518236738 AU AUS Card xx8882 Value Date: 06/04/2019"/>
        <s v="PRIME QUALITY MEATS LEICHHARDT NS AUS Card xx8882 Value Date: 03/04/2019"/>
        <s v="Newslink SYD903 Sydney NS AUS Card xx8882 Value Date: 05/04/2019"/>
        <s v="NEIGHBORHOOD MASSAGE     LEICHHARDT   AU Card xx8882"/>
        <s v="Camy's Chargrill SH Surry Hills NS AUS Card xx8882 Value Date: 05/04/2019"/>
        <s v="ALDI STORES - LEICHHAR   LEICHHARDT   AU Card xx8882"/>
        <s v="Camy's Chargrill SH Surry Hills NS AUS Card xx8882 Value Date: 04/04/2019"/>
        <s v="TRANSPORT FOR NSW        CHIPPENDALE  AU Card xx8882"/>
        <s v="STRAWBERY HILLS HOTEL SURRY HILLS  AUS Card xx8882 Value Date: 31/03/2019"/>
        <s v="KABUTO PTY LTD           BALMAIN      AU Card xx8882"/>
        <s v="GM CABS PTY LTD MASCOT  AUS Card xx8882 Value Date: 31/03/2019"/>
        <s v="COLES 0846 LEICHHARDT AU AUS Card xx8882 Value Date: 01/04/2019"/>
        <s v="UBER   *EATS SYDNEY NS AUS Card xx8882 Value Date: 31/03/2019"/>
        <s v="UBER   *EATS SYDNEY NS AUS Card xx8882 Value Date: 29/03/2019"/>
        <s v="Camy's Chargrill SH Surry Hills NS AUS Card xx8882 Value Date: 01/04/2019"/>
        <s v="Belong * Service PADDINGTON NS AUS Card xx8882 Value Date: 01/04/2019"/>
        <s v="7-ELEVEN 2127 SURRY HILLS NS AUS Card xx8882 Value Date: 31/03/2019"/>
        <s v="Soheyla petrol Value Date: 01/04/2019"/>
        <s v="Clock Hotel Surry Hills NS AUS Card xx8882 Value Date: 30/03/2019"/>
        <s v="Direct Debit 245164 HCF 5723396980075A0000"/>
        <s v="BP LANE COVE 2212   LANE COVE         AU"/>
        <s v="COLES 0846 LEICHHARDT AU AUS Card xx8882 Value Date: 27/03/2019"/>
        <s v="Clock Hotel              Surry Hills  AU"/>
        <s v="Camy's Chargrill SH Surry Hills NS AUS Card xx8882 Value Date: 28/03/2019"/>
        <s v="UBER   *EATS SYDNEY NS AUS Card xx8882 Value Date: 26/03/2019"/>
        <s v="petrol"/>
        <s v="P AND J WADE CHEMISTS LANE COVE NSW   AU"/>
        <s v="Camy's Chargrill SH Surry Hills NS AUS Card xx8882 Value Date: 27/03/2019"/>
        <s v="PRIME QUALITY MEATS LEICHHARDT NS AUS Card xx8882 Value Date: 23/03/2019"/>
        <s v="Direct Debit 165969 FITNESS PLAY SH 20193946527"/>
        <s v="UBER   *EATS SYDNEY NS AUS Card xx8882 Value Date: 24/03/2019"/>
        <s v="KEG &amp; BREW HOTEL SURRY HILLS NS AUS Card xx8882 Value Date: 22/03/2019"/>
        <s v="CRAZYDOMAINSHOSTING 61290372826 SG SGP Card xx8882 AUD 31.88 Value Date: 24/03/2019"/>
        <s v="7-ELEVEN 2105 LEICHHARDT NS AUS Card xx8882 Value Date: 23/03/2019"/>
        <s v="KEG &amp; BREW HOTEL SURRY HILLS NS AUS Card xx8882 Value Date: 18/03/2019"/>
        <s v="UBER   *EATS SYDNEY NS AUS Card xx8882 Value Date: 15/03/2019"/>
        <s v="Camy's Chargrill SH Surry Hills NS AUS Card xx8882 Value Date: 15/03/2019"/>
        <s v="NRMA LTD SYDNEY OLYMPI NS AUS Card xx8882 Value Date: 13/03/2019"/>
        <s v="Homayoun Roozbehani Present from Dad"/>
        <s v="Direct Debit 165969 FITNESS PLAY SH 20193379091"/>
        <s v="COLES 0846 LEICHHARDT AU AUS Card xx8882 Value Date: 11/03/2019"/>
        <s v="UBER EATS HELP.UBER.CO 14518236738 AU AUS Card xx8882 Value Date: 09/03/2019"/>
        <s v="UBER   *EATS SYDNEY NS AUS Card xx8882 Value Date: 10/03/2019"/>
        <s v="Camy's Chargrill SH Surry Hills NS AUS Card xx8882 Value Date: 11/03/2019"/>
        <s v="COLES 0846 LEICHHARDT AU AUS Card xx8882 Value Date: 06/03/2019"/>
        <s v="SNEAKY BURGER CO         ALBION PARK  AU Card xx8882"/>
        <s v="MCDONALDS F3 NORTHBOU JILLIBY  AUS Card xx8882 Value Date: 01/03/2019"/>
        <s v="GM CABS PTY LTD MASCOT  AUS Card xx8882 Value Date: 03/03/2019"/>
        <s v="COLES 0846 LEICHHARDT AU AUS Card xx8882 Value Date: 04/03/2019"/>
        <s v="Withdrawal   ATMCBA ATM  GLEBE B        NSW 217202   AUS"/>
        <s v="JACKS HAIRDRESSING SYDNEY NS AUS Card xx8882 Value Date: 01/03/2019"/>
        <s v="TFNSW RAIL               HAYMARKET    AU"/>
        <s v="Direct Credit 481128 Tax Today (Parra PAR1903030744346"/>
        <s v="Camy's Chargrill SH Surry Hills NS AUS Card xx8882 Value Date: 28/02/2019"/>
        <s v="Belong * Service PADDINGTON NS AUS Card xx8882 Value Date: 28/02/2019"/>
        <s v="Direct Debit 245164 HCF 5723396980047A0000"/>
        <s v="COLES 0846 LEICHHARDT AU AUS Card xx8882 Value Date: 26/02/2019"/>
        <s v="NV PETERS INMNT PL BROADWAY NS AUS Card xx8882 Value Date: 23/02/2019"/>
        <s v="Direct Debit 165969 FITNESS PLAY SH 20192763390"/>
        <s v="7-ELEVEN 2048 DRUMMOYNE NS AUS Card xx8882 Value Date: 25/02/2019"/>
        <s v="REBEL BROADWAY BROADWAY NS AUS Card xx8882 Value Date: 23/02/2019"/>
        <s v="SUSHI OTAKU SURRY HILLS NS AUS Card xx8882 Value Date: 22/02/2019"/>
        <s v="COLES 0839 BROADWAY AU AUS Card xx8882 Value Date: 23/02/2019"/>
        <s v="MCDONALDS DRUMMOYNE DRUMMOYNE  AUS Card xx8882 Value Date: 19/02/2019"/>
        <s v="COLES 0846 LEICHHARDT AU AUS Card xx8882 Value Date: 20/02/2019"/>
        <s v="CHARLIES DELI            PETERSHAM    AU Card xx8882"/>
        <s v="Return UBER   *EATS SYDNEY NS AUS Card xx8882 Value Date: 20/02/2019"/>
        <s v="NORTONS ON NORTON LEICHHARDT NS AUS Card xx8882 Value Date: 18/02/2019"/>
        <s v="EAST SUSHI PTY LTD LEICHHARDT NS AUS Card xx8882 Value Date: 18/02/2019"/>
        <s v="YULIA ANGESTI &amp; MICH LEICHHARDT NS AUS Card xx8882 Value Date: 16/02/2019 (Norton Seafoods)"/>
        <s v="UBER   *EATS SYDNEY NS AUS Card xx8882 Value Date: 19/02/2019"/>
        <s v="PRIME QUALITY MEATS LEICHHARDT NS AUS Card xx8882 Value Date: 16/02/2019"/>
        <s v="The Grounds Alexandria NS AUS Card xx8882 Value Date: 16/02/2019"/>
        <s v="COLES 0846 LEICHHARDT AU AUS Card xx8882 Value Date: 16/02/2019"/>
        <s v="Direct Debit 165969 FITNESS PLAY SH 20192110090"/>
        <s v="COLES 0846 LEICHHARDT AU AUS Card xx8882 Value Date: 11/02/2019"/>
        <s v="Belong * Service PADDINGTON NS AUS Card xx8882 Value Date: 12/02/2019"/>
        <s v="UBER   *TRIP 4ECZJ SYDNEY NS AUS Card xx8882 Value Date: 09/02/2019"/>
        <s v="THE GRUMPY BAKER NEW NEWTOWN NS AUS Card xx8882 Value Date: 09/02/2019"/>
        <s v="FOODWORKS PETERSHAM      PETERSHAM    AU Card xx8882"/>
        <s v="7-ELEVEN 2118 CAMPERDOWN NS AUS Card xx8882 Value Date: 10/02/2019"/>
        <s v="Withdrawal   ATMCUS AB HOTEL           GLEBE    NS    AU"/>
        <s v="Withdrawal   ATMCAS 7-11 CAMPERDOWN    CAMPERD  NS    AU"/>
        <s v="PETERSHAM LIQUOR MART    PETERSHAM    AU Card xx8882"/>
        <s v="Camy's Chargrill SH Surry Hills NS AUS Card xx8882 Value Date: 07/02/2019"/>
        <s v="Camy's Chargrill SH Surry Hills NS AUS Card xx8882 Value Date: 06/02/2019"/>
        <s v="YULIA ANGESTI &amp; MICH LEICHHARDT NS AUS Card xx8882 Value Date: 02/02/2019 (Norton Seafoods)"/>
        <s v="EAST SUSHI PTY LTD LEICHHARDT NS AUS Card xx8882 Value Date: 02/02/2019"/>
        <s v="COLES 0846 LEICHHARDT AU AUS Card xx8882 Value Date: 04/02/2019"/>
        <s v="UBER EATS HELP.UBER.CO 14518236738 AU AUS Card xx8882 Value Date: 03/02/2019"/>
        <s v="JB HI FI LEICHHARDT NS AUS Card xx8882 Value Date: 02/02/2019"/>
        <s v="UBER   *EATS SYDNEY NS AUS Card xx8882 Value Date: 01/02/2019"/>
        <s v="PRIME QUALITY MEATS LEICHHARDT NS AUS Card xx8882 Value Date: 31/01/2019"/>
        <s v="COLES 0846 LEICHHARDT AU AUS Card xx8882 Value Date: 31/01/2019"/>
        <s v="Direct Debit 245164 HCF 5723396980018A0000"/>
        <s v="Camy's Chargrill SH Surry Hills NS AUS Card xx8882 Value Date: 30/01/2019"/>
        <s v="WWW.INGOGO SYDNEY NS AUS Card xx8882 Value Date: 28/01/2019"/>
        <s v="UBER   *EATS SYDNEY NS AUS Card xx8882 Value Date: 28/01/2019"/>
        <s v="TRANSPORT FOR NSW CHIPPENDALE  AUS Tap and Pay xx4622 Value Date: 25/01/2019"/>
        <s v="HAPPY KITCHEN 4 U SURRY HILLS  AUS Tap and Pay xx4622 Value Date: 25/01/2019"/>
        <s v="H&amp;M AUSTRALIA 0011 SYDNEY NS AUS Card xx8882 Value Date: 27/01/2019"/>
        <s v="Direct Debit 165969 FITNESS PLAY SH 20191449235"/>
        <s v="BMSH PTY LTD SURRY HILLS  AUS Tap and Pay xx4622 Value Date: 24/01/2019"/>
        <s v="WOOLWORTHS 1669 SURRY HILLS NS AUS Tap and Pay xx4622 Value Date: 24/01/2019"/>
        <s v="UBER   *EATS SYDNEY NS AUS Card xx8882 Value Date: 26/01/2019"/>
        <s v="Different Drummer Glebe NS AUS Card xx8882 Value Date: 27/01/2019"/>
        <s v="BMSH PTY LTD SURRY HILLS  AUS Tap and Pay xx4622 Value Date: 23/01/2019"/>
        <s v="RSL CABS 9581 1111     SYDNEY    NSW  AU"/>
        <s v="AGINCOURT HOTEL          SYDNEY       AU Card xx8882"/>
        <s v="Toxteth Hotel            Glebe        AU"/>
        <s v="RIVERSDALE PUB CO NO     BALMAIN      AU Card xx8882"/>
        <s v="GUZMAN Y GOMEZ BROADWA   BROADWAY     AU Card xx8882"/>
        <s v="AGINCOURT HOTEL          SYDNEY       AU Card xx8882 Value Date: 28/01/2019"/>
        <s v="JOJOS VENTURE PTY LT     PETERSHAM    AU"/>
        <s v="WOOLWORTHS 1669 SURRY HILLS NS AUS Tap and Pay xx4622 Value Date: 23/01/2019"/>
        <s v="DMD FUELS PTY LTD  QPS PETERSHAM  AUS Tap and Pay xx4622 Value Date: 22/01/2019"/>
        <s v="COLES 0846 LEICHHARDT AU AUS Tap and Pay xx4622 Value Date: 22/01/2019"/>
        <s v="WOOLWORTHS 1669 SURRY HILLS NS AUS Tap and Pay xx4622 Value Date: 22/01/2019"/>
        <s v="COLES 0846 LEICHHARDT AU AUS Tap and Pay xx4622 Value Date: 21/01/2019"/>
        <s v="Camy's Chargrill SH Surry Hills NS AUS Tap and Pay xx4622 Value Date: 22/01/2019"/>
        <s v="BMSH PTY LTD SURRY HILLS  AUS Tap and Pay xx4622 Value Date: 21/01/2019"/>
        <s v="WOOLWORTHS 1669 SURRY HILLS NS AUS Tap and Pay xx4622 Value Date: 21/01/2019"/>
        <s v="UBER   *EATS SYDNEY NS AUS Card xx0052 Value Date: 20/01/2019"/>
        <s v="SONY AUSTRALIA CASTLE HILL NS AUS Tap and Pay xx4622 Value Date: 19/01/2019"/>
        <s v="NETFLIX.COM Melbourne AU AUS Card xx0052 Value Date: 20/01/2019"/>
        <s v="7-ELEVEN 2048 DRUMMOYNE NS AUS Tap and Pay xx4622 Value Date: 19/01/2019"/>
        <s v="WOOLWORTHS 1669 SURRY HILLS NS AUS Tap and Pay xx4622 Value Date: 18/01/2019"/>
        <s v="TRANSPORT FOR NSW CHIPPENDALE  AUS Tap and Pay xx4622 Value Date: 17/01/2019"/>
        <s v="Camy's Chargrill SH Surry Hills NS AUS Tap and Pay xx4622 Value Date: 18/01/2019"/>
        <s v="BMSH PTY LTD SURRY HILLS  AUS Tap and Pay xx4622 Value Date: 17/01/2019"/>
        <s v="Store DJ Invoice - 889096 - Cables"/>
        <s v="BMSH PTY LTD SURRY HILLS  AUS Tap and Pay xx4622 Value Date: 16/01/2019"/>
        <s v="WOOLWORTHS 1669 SURRY HILLS NS AUS Tap and Pay xx4622 Value Date: 16/01/2019"/>
        <s v="YULIA ANGESTI &amp; MICH LEICHHARDT NS AUS Tap and Pay xx4622 Value Date: 12/01/2019"/>
        <s v="WOOLWORTHS 1669 SURRY HILLS NS AUS Tap and Pay xx4622 Value Date: 15/01/2019"/>
        <s v="UBER   *EATS SYDNEY NS AUS Card xx0052 Value Date: 15/01/2019"/>
        <s v="NORTON PLAZA LEICHHARDT NS AUS Tap and Pay xx4622 Value Date: 14/01/2019"/>
        <s v="Direct Debit 165969 FITNESS PLAY SH 2019814730"/>
        <s v="COLES 0846 LEICHHARDT AU AUS Tap and Pay xx4622 Value Date: 14/01/2019"/>
        <s v="Camy's Chargrill SH Surry Hills NS AUS Tap and Pay xx4622 Value Date: 15/01/2019"/>
        <s v="WOOLWORTHS 1669 SURRY HILLS NS AUS Tap and Pay xx4622 Value Date: 14/01/2019"/>
        <s v="YOUI - PREMIUM SIPPY DOWNS  AUS Card xx0052 Value Date: 14/01/2019"/>
        <s v="WOOLWORTHS 1669 SURRY HILLS NS AUS Tap and Pay xx4622 Value Date: 11/01/2019"/>
        <s v="WOOLWORTHS 1669 SURRY HILLS NS AUS Tap and Pay xx4622 Value Date: 10/01/2019"/>
        <s v="UBER   *EATS SYDNEY NS AUS Card xx0052 Value Date: 10/01/2019"/>
        <s v="TRANSPORT FOR NSW CHIPPENDALE  AUS Tap and Pay xx4622 Value Date: 09/01/2019"/>
        <s v="JACKS HAIRDRESSING SYDNEY NS AUS Tap and Pay xx4622 Value Date: 10/01/2019"/>
        <s v="HAPPY KITCHEN 4 U SURRY HILLS  AUS Tap and Pay xx4622 Value Date: 11/01/2019"/>
        <s v="COLES 0846 LEICHHARDT AU AUS Tap and Pay xx4622 Value Date: 12/01/2019"/>
        <s v="Sando Bar Surry Hills NS AUS Tap and Pay xx4622 Value Date: 10/01/2019"/>
        <s v="BMSH PTY LTD SURRY HILLS  AUS Tap and Pay xx4622 Value Date: 09/01/2019"/>
        <s v="NEW MILLENNIUM 2 PTY L SURRY HILLS  AUS Tap and Pay xx4622 Value Date: 08/01/2019 (Camys Chicken)"/>
        <s v="GRILLD LEICHHARDT LEICHHARDT  AUS Tap and Pay xx4622 Value Date: 07/01/2019"/>
        <s v="WOOLWORTHS 1669 SURRY HILLS NS AUS Tap and Pay xx4622 Value Date: 08/01/2019"/>
        <s v="HARRIS FARM MARKETSQPS LEICHHARDT  AUS Tap and Pay xx4622 Value Date: 07/01/2019"/>
        <s v="BMSH PTY LTD SURRY HILLS  AUS Tap and Pay xx4622 Value Date: 07/01/2019"/>
        <s v="WOOLWORTHS 1669 SURRY HILLS NS AUS Tap and Pay xx4622 Value Date: 07/01/2019"/>
        <s v="POWERDIRECT P/L      BPAY 254714 70563072709406088924 elec bill"/>
        <s v="EAST SUSHI PTY LTD LEICHHARDT NS AUS Tap and Pay xx4622 Value Date: 02/01/2019"/>
        <s v="COLES 0846 LEICHHARDT AU AUS Tap and Pay xx4622 Value Date: 04/01/2019"/>
        <s v="COLES 0846               LEICHHARDT   AU"/>
        <s v="CHISWICK CELLARS CHISWICK NS AUS Tap and Pay xx4622 Value Date: 03/01/2019"/>
        <s v="PRIME QUALITY MEATS LEICHHARDT NS AUS Tap and Pay xx4622 Value Date: 31/12/2018"/>
        <s v="HARRIS FARM MARKETSQPS LEICHHARDT  AUS Tap and Pay xx4622 Value Date: 02/01/2019"/>
        <s v="YULIA ANGESTI &amp; MICH LEICHHARDT NS AUS Tap and Pay xx4622 Value Date: 31/12/2018"/>
        <s v="UBER   *EATS SYDNEY NS AUS Card xx0052 Value Date: 30/12/2018"/>
        <s v="Return UBER   *EATS SYDNEY NS AUS Card xx0052 Value Date: 30/12/2018"/>
        <s v="EAST SUSHI PTY LTD LEICHHARDT NS AUS Tap and Pay xx4622 Value Date: 28/12/2018"/>
        <s v="Direct Debit 165969 FITNESS PLAY SH 2019175306"/>
        <s v="COLES 0846 LEICHHARDT AU AUS Tap and Pay xx4622 Value Date: 30/12/2018"/>
        <s v="Belong * Service PADDINGTON NS AUS Card xx0052 Value Date: 01/01/2019"/>
        <s v="Direct Debit 245164 HCF 5723396979986A0000"/>
        <s v="UBER   *EATS SYDNEY NS AUS Card xx0052 Value Date: 28/12/2018"/>
        <s v="UBER EATS HELP.UBER.CO 14518236738 AU AUS Card xx0052 Value Date: 26/12/2018"/>
        <s v="JB HI FI LEICHHARDT NS AUS Tap and Pay xx4622 Value Date: 24/12/2018"/>
        <s v="7-ELEVEN 2153            PETERSHAM    AU"/>
        <s v="UBER   *TRIP MHC7G SYDNEY NS AUS Card xx0052 Value Date: 22/12/2018"/>
        <s v="PETERSHAM LIQUOR MART PETERSHAM  AUS Tap and Pay xx4622 Value Date: 22/12/2018"/>
        <s v="OUTPUT INC 8186726902 CA USA Card xx0052 USD 10.00 Value Date: 25/12/2018"/>
        <s v="NEXTRA NORTON PLAZA LEICHHARDT NS AUS Tap and Pay xx4622 Value Date: 24/12/2018"/>
        <s v="International Transaction Fee Value Date: 25/12/2018"/>
        <s v="EAST SUSHI PTY LTD LEICHHARDT NS AUS Tap and Pay xx4622 Value Date: 23/12/2018"/>
        <s v="COLES 0846 LEICHHARDT AU AUS Tap and Pay xx4622 Value Date: 23/12/2018"/>
        <s v="TRANSPORT FOR NSW CHIPPENDALE  AUS Tap and Pay xx4622 Value Date: 20/12/2018"/>
        <s v="present"/>
        <s v="NEW MILLENNIUM 2 PTY L SURRY HILLS  AUS Tap and Pay xx4622 Value Date: 21/12/2018 (Camys Chicken)"/>
        <s v="NEW MILLENNIUM 2 PTY L SURRY HILLS  AUS Tap and Pay xx4622 Value Date: 20/12/2018 (Camys Chicken)"/>
        <s v="Homayoun Roozbehani Merry x-mass and happy new year"/>
        <s v="FOODWORKS PETERSHAM PETERSHAM  AUS Tap and Pay xx4622 Value Date: 21/12/2018"/>
        <s v="WWW.INGOGO               SYDNEY       AU"/>
        <s v="7-ELEVEN 2048            DRUMMOYNE    AU"/>
        <s v="UBER EATS HELP.UBER.CO 14518236738 AU AUS Card xx0052 Value Date: 19/12/2018"/>
        <s v="PRIME QUALITY MEATS LEICHHARDT NS AUS Tap and Pay xx4622 Value Date: 18/12/2018"/>
        <s v="NEW MILLENNIUM 2 PTY L SURRY HILLS  AUS Tap and Pay xx4622 Value Date: 19/12/2018 (Camys Chicken)"/>
        <s v="AGL SALES PTY LTD SYDNEY  AUS Card xx0052 Value Date: 19/12/2018"/>
        <s v="YULIA ANGESTI &amp; MICH LEICHHARDT NS AUS Tap and Pay xx4622 Value Date: 18/12/2018"/>
        <s v="HAPPY KITCHEN 4 U SURRY HILLS  AUS Tap and Pay xx4622 Value Date: 18/12/2018"/>
        <s v="WARWICK L EVERINGHAM LEICHHARDT  AUS Tap and Pay xx4622 Value Date: 16/12/2018"/>
        <s v="PRIME QUALITY MEATS LEICHHARDT NS AUS Tap and Pay xx4622 Value Date: 16/12/2018"/>
        <s v="NEW MILLENNIUM 2 PTY L SURRY HILLS  AUS Tap and Pay xx4622 Value Date: 17/12/2018 (Camys Chicken)"/>
        <s v="Direct Debit 165969 FITNESS PLAY SH 201822938643"/>
        <s v="FOSAUX PTY LTD SURRY HILLS  AUS Tap and Pay xx4622 Value Date: 14/12/2018"/>
        <s v="COLES 0846 LEICHHARDT AU AUS Tap and Pay xx4622 Value Date: 16/12/2018"/>
        <s v="UBER EATS HELP.UBER.CO 14518236738 AU AUS Card xx0052 Value Date: 15/12/2018"/>
        <s v="NEW MILLENNIUM 2 PTY L SURRY HILLS  AUS Tap and Pay xx4622 Value Date: 13/12/2018 (Camys Chicken)"/>
        <s v="MASSAGE LINK BROADWA ULTIMO NS AUS Tap and Pay xx4622 Value Date: 13/12/2018"/>
        <s v="COLES 0846 LEICHHARDT AU AUS Tap and Pay xx4622 Value Date: 14/12/2018"/>
        <s v="YOUI - PREMIUM SIPPY DOWNS  AUS Card xx0052 Value Date: 14/12/2018"/>
        <s v="HAPPY KITCHEN 4 U SURRY HILLS  AUS Tap and Pay xx4622 Value Date: 12/12/2018"/>
        <s v="TFNSW RAIL HAYMARKET  AUS Tap and Pay xx4622 Value Date: 10/12/2018"/>
        <s v="NEW MILLENNIUM 2 PTY L SURRY HILLS  AUS Tap and Pay xx4622 Value Date: 10/12/2018 (Camys Chicken)"/>
        <s v="BMSH PTY LTD SURRY HILLS  AUS Tap and Pay xx4622 Value Date: 11/12/2018"/>
        <s v="PRIME QUALITY MEATS LEICHHARDT NS AUS Tap and Pay xx4622 Value Date: 08/12/2018"/>
        <s v="EAST SUSHI PTY LTD LEICHHARDT NS AUS Tap and Pay xx4622 Value Date: 08/12/2018"/>
        <s v="COLES 0846 LEICHHARDT AU AUS Tap and Pay xx4622 Value Date: 10/12/2018"/>
        <s v="OXFORD TAVERN PETERSHAM NS AUS Tap and Pay xx4622 Value Date: 09/12/2018"/>
        <s v="UBER   *EATS Q3PBY SYDNEY NS AUS Card xx0052 Value Date: 07/12/2018"/>
        <s v="HAPPY KITCHEN 4 U SURRY HILLS  AUS Tap and Pay xx4622 Value Date: 07/12/2018"/>
        <s v="HAPPY KITCHEN 4 U SURRY HILLS  AUS Tap and Pay xx4622 Value Date: 06/12/2018"/>
        <s v="GM CABS PTY LTD MASCOT  AUS Tap and Pay xx4622 Value Date: 06/12/2018"/>
        <s v="COLES 0846 LEICHHARDT AU AUS Tap and Pay xx4622 Value Date: 08/12/2018"/>
        <s v="Redfern Surf Club Alexandria NS AUS Tap and Pay xx4622 Value Date: 06/12/2018"/>
        <s v="Redfern Surf Club Alexandria NS AUS Card xx0052 Value Date: 06/12/2018"/>
        <s v="HAPPY KITCHEN 4 U SURRY HILLS  AUS Tap and Pay xx4622 Value Date: 05/12/2018"/>
        <s v="Withdrawal   ATMCBA ATM  PETERSHAM B    NSW 222702   AUS"/>
        <s v="NEW MILLENNIUM 2 PTY L SURRY HILLS  AUS Tap and Pay xx4622 Value Date: 04/12/2018 (Camys Chicken)"/>
        <s v="DELISH TRAN CAFE         SURRY HILLS  AU"/>
        <s v="COLES 0846 LEICHHARDT AU AUS Tap and Pay xx4622 Value Date: 04/12/2018"/>
        <s v="YULIA ANGESTI &amp; MICH LEICHHARDT NS AUS Tap and Pay xx4622 Value Date: 01/12/2018"/>
        <s v="WOOLWORTHS 1669 SURRY HILLS NS AUS Tap and Pay xx4622 Value Date: 04/12/2018"/>
        <s v="Redfern Surf Club        Alexandria   AU"/>
        <s v="PRIME QUALITY MEATS LEICHHARDT NS AUS Tap and Pay xx4622 Value Date: 01/12/2018"/>
        <s v="Homayoun Roozbehani Happy Birthday"/>
        <s v="Direct Debit 165969 FITNESS PLAY SH 201822262502"/>
        <s v="UBER   *EATS SC3TL SYDNEY NS AUS Card xx0052 Value Date: 02/12/2018"/>
        <s v="JB HI FI BROADWAY BROADWAY NS AUS Tap and Pay xx4622 Value Date: 02/12/2018"/>
        <s v="Belong * Service PADDINGTON NS AUS Card xx0052 Value Date: 01/12/2018"/>
        <s v="APPLE STORE R523 BROADWAY AU AUS Tap and Pay xx4622 Value Date: 02/12/2018"/>
        <s v="7-ELEVEN 2153 PETERSHAM NS AUS Tap and Pay xx4622 Value Date: 02/12/2018"/>
        <s v="TRANSPORT FOR NSW CHIPPENDALE  AUS Tap and Pay xx4622 Value Date: 29/11/2018"/>
        <s v="PRIME QUALITY MEATS LEICHHARDT NS AUS Tap and Pay xx4622 Value Date: 28/11/2018"/>
        <s v="COLES 0846 LEICHHARDT AU AUS Tap and Pay xx4622 Value Date: 01/12/2018"/>
        <s v="BMSH PTY LTD SURRY HILLS  AUS Tap and Pay xx4622 Value Date: 30/11/2018"/>
        <s v="Direct Debit 245164 HCF 5723396979956A0000"/>
        <s v="WOOLWORTHS 1669 SURRY HILLS NS AUS Tap and Pay xx4622 Value Date: 29/11/2018"/>
        <s v="NETFLIX.COM Melbourne AU AUS Card xx0052 Value Date: 28/11/2018"/>
        <s v="COLES 0846 LEICHHARDT AU AUS Tap and Pay xx4622 Value Date: 28/11/2018"/>
        <s v="BMSH PTY LTD SURRY HILLS  AUS Tap and Pay xx4622 Value Date: 27/11/2018"/>
        <s v="YULIA ANGESTI &amp; MICH LEICHHARDT NS AUS Tap and Pay xx4622 Value Date: 25/11/2018"/>
        <s v="PRIME QUALITY MEATS LEICHHARDT NS AUS Tap and Pay xx4622 Value Date: 23/11/2018"/>
        <s v="JEEVES AU PTY LTD LEICHHARDT NS AUS Tap and Pay xx4622 Value Date: 25/11/2018"/>
        <s v="FOODWORKS PETERSHAM PETERSHAM  AUS Tap and Pay xx4622 Value Date: 26/11/2018"/>
        <s v="EAST SUSHI PTY LTD LEICHHARDT NS AUS Tap and Pay xx4622 Value Date: 25/11/2018"/>
        <s v="COLES 0846 LEICHHARDT AU AUS Tap and Pay xx4622 Value Date: 25/11/2018"/>
        <s v="YULIA ANGESTI &amp; MICH LEICHHARDT NS AUS Tap and Pay xx4622 Value Date: 23/11/2018"/>
        <s v="WOOLWORTHS 1669 SURRY HILLS NS AUS Tap and Pay xx4622 Value Date: 23/11/2018"/>
        <s v="MLEKO BAR ESSPRESSO SYDNEY NS AUS Tap and Pay xx4622 Value Date: 23/11/2018"/>
        <s v="IN T MD FOR THAI S H SURRY HILLS NS AUS Tap and Pay xx4622 Value Date: 22/11/2018"/>
        <s v="COLES 0846 LEICHHARDT AU AUS Tap and Pay xx4622 Value Date: 23/11/2018"/>
        <s v="WOOLWORTHS 1669 SURRY HILLS NS AUS Tap and Pay xx4622 Value Date: 21/11/2018"/>
        <s v="WARWICK L EVERINGHAM LEICHHARDT  AUS Tap and Pay xx4622 Value Date: 19/11/2018"/>
        <s v="TRANSPORT FOR NSW CHIPPENDALE  AUS Tap and Pay xx4622 Value Date: 19/11/2018"/>
        <s v="PRIME QUALITY MEATS LEICHHARDT NS AUS Tap and Pay xx4622 Value Date: 19/11/2018"/>
        <s v="BMSH PTY LTD SURRY HILLS  AUS Tap and Pay xx4622 Value Date: 20/11/2018"/>
        <s v="YULIA ANGESTI &amp; MICH LEICHHARDT NS AUS Tap and Pay xx4622 Value Date: 19/11/2018"/>
        <s v="WOOLWORTHS 1669 SURRY HILLS NS AUS Tap and Pay xx4622 Value Date: 20/11/2018"/>
        <s v="Direct Debit 165969 FITNESS PLAY SH 201821547887"/>
        <s v="BMSH PTY LTD SURRY HILLS  AUS Tap and Pay xx4622 Value Date: 19/11/2018"/>
        <s v="UNI OF SYD UNION THE UNI OF SY NS AUS Tap and Pay xx4622 Value Date: 18/11/2018"/>
        <s v="UNI OF SYD UNION THE UNI OF SY NS AUS Tap and Pay xx4622 Value Date: 17/11/2018"/>
        <s v="UBER EATS RX7MV HELP.U 14518236738 AU AUS Card xx0052 Value Date: 18/11/2018"/>
        <s v="TFNSW RAIL HAYMARKET  AUS Tap and Pay xx4622 Value Date: 16/11/2018"/>
        <s v="COLES 0846 LEICHHARDT AU AUS Tap and Pay xx4622 Value Date: 19/11/2018"/>
        <s v="UBER   *EATS R6UJV SYDNEY NS AUS Card xx0052 Value Date: 15/11/2018"/>
        <s v="KEG &amp; BREW HOTEL SURRY HILLS NS AUS Tap and Pay xx4622 Value Date: 16/11/2018"/>
        <s v="BMSH PTY LTD SURRY HILLS  AUS Tap and Pay xx4622 Value Date: 15/11/2018"/>
        <s v="BAR TOSCA SYDNEY NS AUS Tap and Pay xx4622 Value Date: 16/11/2018"/>
        <s v="UNI OF SYDNEY UNIN  UNI OF SYDNEY     AU"/>
        <s v="UNI OF SYD UNION    THE UNI OF SY     AU"/>
        <s v="The Lansdowne Hotel      Chippendale  AU"/>
        <s v="Direct Credit 002962 CITIGROUP PTYLTD MEZZE BLAY"/>
        <s v="BMSH PTY LTD SURRY HILLS  AUS Tap and Pay xx4622 Value Date: 13/11/2018"/>
        <s v="YOUI - PREMIUM SIPPY DOWNS  AUS Card xx0052 Value Date: 14/11/2018"/>
        <s v="NEW MILLENNIUM 2 PTY L SURRY HILLS  AUS Tap and Pay xx4622 Value Date: 12/11/2018 (Camys Chicken)"/>
        <s v="UBER EATS ECHB3 HELP.U 14518236738 AU AUS Card xx0052 Value Date: 10/11/2018"/>
        <s v="UBER   *EATS QKUOT SYDNEY NS AUS Card xx0052 Value Date: 11/11/2018"/>
        <s v="COLES 0846 LEICHHARDT AU AUS Tap and Pay xx4622 Value Date: 12/11/2018"/>
        <s v="YULIA ANGESTI &amp; MICH LEICHHARDT NS AUS Tap and Pay xx4622 Value Date: 08/11/2018"/>
        <s v="WOOLWORTHS 1669 SURRY HILLS NS AUS Tap and Pay xx4622 Value Date: 09/11/2018"/>
        <s v="TRANSPORT FOR NSW CHIPPENDALE  AUS Tap and Pay xx4622 Value Date: 07/11/2018"/>
        <s v="PRIME QUALITY MEATS LEICHHARDT NS AUS Tap and Pay xx4622 Value Date: 08/11/2018"/>
        <s v="Frankies Pizza Sydney NS AUS Tap and Pay xx4622 Value Date: 09/11/2018"/>
        <s v="WOOLWORTHS 1669 SURRY HILLS NS AUS Tap and Pay xx4622 Value Date: 08/11/2018"/>
        <s v="WOOLWORTHS 1669 SURRY HILLS NS AUS Tap and Pay xx4622 Value Date: 07/11/2018"/>
        <s v="Spotify P0825393E5 Sydney AU AUS Card xx0052 Value Date: 07/11/2018"/>
        <s v="CIGNALL PETERSHAM PETERSHAM NSW       AU"/>
        <s v="Sando Bar Surry Hills NS AUS Tap and Pay xx4622 Value Date: 06/11/2018"/>
        <s v="NEW MILLENNIUM 2 PTY L SURRY HILLS  AUS Tap and Pay xx4622 Value Date: 05/11/2018 (Camys Chicken)"/>
        <s v="Direct Debit 165969 FITNESS PLAY SH 201820745487"/>
        <s v="COLES 0846 LEICHHARDT AU AUS Tap and Pay xx4622 Value Date: 05/11/2018"/>
        <s v="UBER   *EATS TCM5N SYDNEY NS AUS Card xx0052 Value Date: 04/11/2018"/>
        <s v="Menulog Pty Ltd Sydney AU AUS Card xx0052 Value Date: 04/11/2018"/>
        <s v="Direct Credit 002962 CITIGROUP PTYLTD CHOCOLATE SUNDAY"/>
        <s v="Withdrawal   ATMANZ ERSKINVILLE HOTEL  ERSKINVIL      AU"/>
        <s v="Sando Bar Surry Hills NS AUS Tap and Pay xx4622 Value Date: 01/11/2018"/>
        <s v="ERSKO PTY LIMITED        ERSKINEVILLE AU"/>
        <s v="Belong * Service PADDINGTON NS AUS Card xx0052 Value Date: 01/11/2018"/>
        <s v="TRANSPORT FOR NSW CHIPPENDALE  AUS Tap and Pay xx4622 Value Date: 29/10/2018"/>
        <s v="KEG &amp; BREW HOTEL    SURRY HILLS       AU"/>
        <s v="BMSH PTY LTD SURRY HILLS  AUS Tap and Pay xx4622 Value Date: 30/10/2018"/>
        <s v="YULIA ANGESTI &amp; MICH LEICHHARDT NS AUS Tap and Pay xx4622 Value Date: 27/10/2018"/>
        <s v="UBER EATS MM2HS HELP.U 14518236738 AU AUS Card xx0052 Value Date: 30/10/2018"/>
        <s v="PRIME QUALITY MEATS LEICHHARDT NS AUS Tap and Pay xx4622 Value Date: 27/10/2018"/>
        <s v="NEW MILLENNIUM 2 PTY L SURRY HILLS  AUS Tap and Pay xx4622 Value Date: 29/10/2018 (Camys Chicken)"/>
        <s v="MASSAGE LINK BROADWA  ULTIMO       NSWAU"/>
        <s v="Direct Debit 245164 HCF 5723396979926A0000"/>
        <s v="COLES 0839               BROADWAY     AU"/>
        <s v="White Horse Hotel Surry Hills NS AUS Tap and Pay xx4622 Value Date: 28/10/2018"/>
        <s v="NEW MILLENNIUM 2 PTY L   SURRY HILLS  AU (Camys Chicken)"/>
        <s v="NETFLIX.COM Melbourne AU AUS Card xx0052 Value Date: 28/10/2018"/>
        <s v="CENTENNIAL PLAZA PHR  SYDNEY       NSWAU"/>
        <s v="SURRYHILLS NEWSAGENT SURRY HILLS NS AUS Tap and Pay xx4622 Value Date: 25/10/2018"/>
        <s v="Return -THE-ICONIC-*787000000 SURRY HILLS NS AUS Card xx0052 Value Date: 26/10/2018"/>
        <s v="NEW MILLENNIUM 2 PTY L SURRY HILLS  AUS Tap and Pay xx4622 Value Date: 26/10/2018 (Camys Chicken)"/>
        <s v="COLES 0846 LEICHHARDT AU AUS Tap and Pay xx4622 Value Date: 27/10/2018"/>
        <s v="White Horse Hotel        Surry Hills  AU"/>
        <s v="ERCIYES TURKISH R PL  SURRY HILLS  NSWAU"/>
        <s v="PRIME QUALITY MEATS LEICHHARDT NS AUS Tap and Pay xx4622 Value Date: 23/10/2018"/>
        <s v="NEW MILLENNIUM 2 PTY L SURRY HILLS  AUS Tap and Pay xx4622 Value Date: 24/10/2018 (Camys Chicken)"/>
        <s v="MCDONALDS DRUMMOYNE DRUMMOYNE  AUS Tap and Pay xx4622 Value Date: 24/10/2018"/>
        <s v="EAST SUSHI PTY LTD    LEICHHARDT   NSWAU"/>
        <s v="WOOLWORTHS 1669 SURRY HILLS NS AUS Tap and Pay xx4622 Value Date: 24/10/2018"/>
        <s v="POST HAYMARKET-RET  SY SYDNEY WA AUS Tap and Pay xx4622 Value Date: 23/10/2018"/>
        <s v="WOOLWORTHS 1669 SURRY HILLS NS AUS Tap and Pay xx4622 Value Date: 23/10/2018"/>
        <s v="Sando Bar                Surry Hills  AU"/>
        <s v="Direct Debit 165969 FITNESS PLAY SH 201819932431"/>
        <s v="COLES 0846 LEICHHARDT AU AUS Tap and Pay xx4622 Value Date: 23/10/2018"/>
        <s v="BMSH PTY LTD SURRY HILLS  AUS Tap and Pay xx4622 Value Date: 22/10/2018"/>
        <s v="Menulog Pty Ltd Sydney AU AUS Card xx0052 Value Date: 21/10/2018"/>
        <s v="geoff iou"/>
        <s v="BMSH PTY LTD SURRY HILLS  AUS Tap and Pay xx4622 Value Date: 19/10/2018"/>
        <s v="International Transaction Fee Value Date: 16/10/2018"/>
        <s v="DRI iZotope orderfind com  IRL Card xx0052 USD 108.90 Value Date: 16/10/2018"/>
        <s v="HARRIS FARM MARKETS      LEICHHARDT   AU"/>
        <s v="-THE-ICONIC-*787000000 SURRY HILLS NS AUS Card xx0052 Value Date: 16/10/2018"/>
        <s v="JACKS HAIRDRESSING SYDNEY NS AUS Tap and Pay xx4622 Value Date: 15/10/2018"/>
        <s v="COLES 0846 LEICHHARDT AU AUS Tap and Pay xx4622 Value Date: 15/10/2018"/>
        <s v="AGL SALES PTY LTD SYDNEY  AUS Card xx0052 Value Date: 14/10/2018"/>
        <s v="Sando Bar Surry Hills NS AUS Tap and Pay xx4622 Value Date: 15/10/2018"/>
        <s v="DOS SENORITAS GLADESVILLE NSW         AU"/>
        <s v="YOUI - PREMIUM SIPPY DOWNS  AUS Card xx0052 Value Date: 15/10/2018"/>
        <s v="TRANSPORT FOR NSW        CHIPPENDALE  AU"/>
        <s v="Withdrawal   ATMRed NP-City Convenien  Sydney         AU"/>
        <s v="PETERSHAM LIQUOR MART    PETERSHAM    AU"/>
        <s v="KING ST BREWHOUSE PT     SYDNEY       AU"/>
        <s v="BRISTOL ARMS OPERATING   BRIGHTON-LE-SAU"/>
        <s v="BLACK AND BRONZE      SYDNEY       NSWAU"/>
        <s v="FOODWORKS PETERSHAM      PETERSHAM    AU"/>
        <s v="Direct Debit 165969 FITNESS PLAY SH 201819124955"/>
        <s v="Spotify P07BE6E1C3 Sydney AU AUS Card xx0052 Value Date: 07/10/2018"/>
        <s v="Menulog Pty Ltd Sydney AU AUS Card xx0052 Value Date: 06/10/2018"/>
        <s v="NEW MILLENNIUM 2 PTY L SURRY HILLS  AUS Tap and Pay xx4622 Value Date: 04/10/2018 (Camys Chicken)"/>
        <s v="boat"/>
        <s v="TFNSW RAIL               PETERSHAM    AU"/>
        <s v="NETFLIX COM MELBOURNE  AUS Card xx0052 Value Date: 29/09/2018"/>
        <s v="Menulog Pty Ltd Sydney AU AUS Card xx0052 Value Date: 29/09/2018"/>
        <s v="Belong * Service PADDINGTON NS AUS Card xx0052 Value Date: 01/10/2018"/>
        <s v="ROYAL FLYING DOC SES BROKEN HILL  AUS Card xx0052 Value Date: 28/09/2018"/>
        <s v="Direct Debit 245164 HCF 5723396979893A0000"/>
        <s v="BMSH PTY LTD             SURRY HILLS  AU"/>
        <s v="Direct Credit 518032 OPEN DOOR PUB CO AUS VENUE CO"/>
        <s v="Menulog Pty Ltd Sydney AU AUS Card xx0052 Value Date: 25/09/2018"/>
        <s v="Direct Debit 165969 FITNESS PLAY SH 201818304768"/>
        <s v="Menulog Pty Ltd Sydney AU AUS Card xx0052 Value Date: 23/09/2018"/>
        <s v="BMSH PTY LTD SURRY HILLS  AUS Tap and Pay xx4622 Value Date: 18/09/2018"/>
        <s v="6 MARY STREET         NEWTOWN      NSWAU"/>
        <s v="COLES 0846 LEICHHARDT AU AUS Tap and Pay xx4622 Value Date: 18/09/2018"/>
        <s v="DMD FUELS PTY LTD        PETERSHAM    AU"/>
        <s v="Direct Credit 364581 69188 Maxxia00069188"/>
        <s v="Direct Credit 141000 Homayoun Roozbehani For Rodean"/>
        <s v="RSJG PTY LTD             DARLINGHURST AU"/>
        <s v="GM CABS PTY LTD       MASCOT       NSWAU"/>
        <s v="BURDEKIN HOTEL GROUP P   DARLINGHURST AU"/>
        <s v="YOUI - PREMIUM SIPPY DOWNS  AUS Card xx0052 Value Date: 14/09/2018"/>
        <s v="LA SUERTE PTY LTD        NEWTOWN      AU"/>
        <s v="EARLS JUKE JOINT      NEWTOWN      NSWAU"/>
        <s v="BURDEKIN HOTEL GROUP P   DARLINGHURST AU Value Date: 16/09/2018"/>
        <s v="BANK HOTEL NEWTOWN       NEWTOWN      AU"/>
        <s v="YULIA ANGESTI &amp; MICH LEICHHARDT NS AUS Tap and Pay xx4622 Value Date: 11/09/2018"/>
        <s v="TASTE BAKERY &amp; RESTAU SURRY HILLS  NSWAU"/>
        <s v="SUSHI OTAKU              SURRY HILLS  AU"/>
        <s v="MCDONALDS STANMORE STANMORE  AUS Card xx0052 Value Date: 08/09/2018"/>
        <s v="KEG &amp; BREW HOTEL SURRY HILLS NS AUS Card xx0052 Value Date: 10/09/2018"/>
        <s v="EXPEC PTY LIMITED SYDNEY  AUS Card xx0052 Value Date: 08/09/2018"/>
        <s v="Direct Debit 165969 FITNESS PLAY SH 201817457871"/>
        <s v="RSL CABS 9581 1111 ALEXANDRIA NS AUS Card xx0052 Value Date: 08/09/2018"/>
        <s v="Menulog Pty Ltd Sydney AU AUS Card xx0052 Value Date: 09/09/2018"/>
        <s v="BAIA THE ITALIAN SYDNEY NS AUS Card xx0052 Value Date: 08/09/2018"/>
        <s v="PRIME QUALITY MEATS LEICHHARDT NS AUS Card xx0052 Value Date: 05/09/2018"/>
        <s v="PRIME QUALITY MEATS   LEICHHARDT   NSWAU"/>
        <s v="Menulog Pty Ltd Sydney AU AUS Card xx0052 Value Date: 07/09/2018"/>
        <s v="CHISWICK CELLARS CHISWICK NS AUS Card xx0052 Value Date: 06/09/2018"/>
        <s v="Withdrawal   ATMCBA ATM  DARLING QUARTERNSW 270597   AUS"/>
        <s v="MALONEYS HOTEL           SYDNEY       AU"/>
        <s v="COLES 0846 LEICHHARDT AU AUS Card xx0052 Value Date: 05/09/2018"/>
        <s v="YULIA ANGESTI &amp; MICH LEICHHARDT NS AUS Card xx0052 Value Date: 03/09/2018 (Norton Seafoods)"/>
        <s v="TRANSPORT FOR NSW CHIPPENDALE  AUS Card xx0052 Value Date: 04/09/2018"/>
        <s v="PRIME QUALITY MEATS LEICHHARDT NS AUS Card xx0052 Value Date: 01/09/2018"/>
        <s v="LEICHHARDT ESPRES LEICHHARDT NS AUS Card xx0052 Value Date: 01/09/2018"/>
        <s v="COLES 0846 LEICHHARDT AU AUS Card xx0052 Value Date: 03/09/2018"/>
        <s v="COLES 0839 BROADWAY AU AUS Card xx0052 Value Date: 02/09/2018"/>
        <s v="BMSH PTY LTD SURRY HILLS  AUS Card xx0052 Value Date: 04/09/2018"/>
        <s v="Belong * Service PADDINGTON NS AUS Card xx0052 Value Date: 01/09/2018"/>
        <s v="SURRYHILLS NEWSAGENT SURRY HILLS NS AUS Card xx0052 Value Date: 31/08/2018"/>
        <s v="Sando Bar Surry Hills NS AUS Card xx0052 Value Date: 31/08/2018"/>
        <s v="COLES 0846 LEICHHARDT AU AUS Card xx0052 Value Date: 01/09/2018"/>
        <s v="NEW MILLENNIUM 2 PTY L   SURRY HILLS  AU Card xx0052 (Camys Chicken)"/>
        <s v="Direct Debit 245164 HCF 5723396979866A0000"/>
        <s v="Direct Debit 165969 FITNESS PLAY SH 201816794158"/>
        <s v="Direct Debit 165969 FITNESS PLAY SH 201816794157"/>
        <s v="PRIME QUALITY MEATS LEICHHARDT NS AUS Card xx0052 Value Date: 28/08/2018"/>
        <s v="NETFLIX COM MELBOURNE  AUS Card xx0052 Value Date: 29/08/2018"/>
        <s v="YULIA ANGESTI &amp; MICH LEICHHARDT NS AUS Card xx0052 Value Date: 28/08/2018 (Norton Seafoods)"/>
        <s v="MADISON HOTEL            SURRY HILLS  AU Card xx0052"/>
        <s v="COLES 0846 LEICHHARDT AU AUS Card xx0052 Value Date: 29/08/2018"/>
        <s v="YULIA ANGESTI &amp; MICH LEICHHARDT NS AUS Card xx0052 Value Date: 25/08/2018 (Norton Seafoods)"/>
        <s v="PRIME QUALITY MEATS LEICHHARDT NS AUS Card xx0052 Value Date: 25/08/2018"/>
        <s v="MCDONALDS STANMORE STANMORE  AUS Card xx0052 Value Date: 24/08/2018"/>
        <s v="COLES 0846 LEICHHARDT AU AUS Card xx0052 Value Date: 28/08/2018"/>
        <s v="WOOLWORTHS 1669          SURRY HILLS  AU Card xx0052"/>
        <s v="WILSON PARKING AUSTRAL SYDNEY NS AUS Card xx0052 Value Date: 25/08/2018"/>
        <s v="Sando Bar Surry Hills NS AUS Card xx0052 Value Date: 24/08/2018"/>
        <s v="MCDONALDS SUTTON FRST SUTTON FOREST  AUS Card xx0052 Value Date: 22/08/2018"/>
        <s v="FOODWORKS PETERSHAM PETERSHAM  AUS Card xx0052 Value Date: 26/08/2018"/>
        <s v="COLES 0846 LEICHHARDT AU AUS Card xx0052 Value Date: 25/08/2018"/>
        <s v="BMSH PTY LTD             SURRY HILLS  AU Card xx0052"/>
        <s v="TRANSPORT FOR NSW CHIPPENDALE  AUS Card xx0052 Value Date: 23/08/2018"/>
        <s v="Sando Bar Surry Hills NS AUS Card xx0052 Value Date: 23/08/2018"/>
        <s v="International Transaction Fee Value Date: 22/08/2018"/>
        <s v="GOSPELMUSICIANS 8882241511 TX USA Card xx0052 USD 199.99 Value Date: 22/08/2018"/>
        <s v="D LISH CAFE BITES GREENWAY AC AUS Card xx0052 Value Date: 22/08/2018"/>
        <s v="7-ELEVEN 2153 PETERSHAM NS AUS Card xx0052 Value Date: 23/08/2018"/>
        <s v="LITTLE ISTANBUL GREENWAY AC AUS Card xx0052 Value Date: 21/08/2018"/>
        <s v="D LISH CAFE BITES GREENWAY AC AUS Card xx0052 Value Date: 21/08/2018"/>
        <s v="YULIA ANGESTI &amp; MICH LEICHHARDT NS AUS Card xx0052 Value Date: 19/08/2018 (Norton Seafoods)"/>
        <s v="PRIME QUALITY MEATS LEICHHARDT NS AUS Card xx0052 Value Date: 19/08/2018"/>
        <s v="MCDONALDS CREMORNE CREMORNE  AUS Card xx0052 Value Date: 17/08/2018"/>
        <s v="GM CABS PTY LTD MASCOT  AUS Card xx0052 Value Date: 18/08/2018"/>
        <s v="EAST SUSHI PTY LTD LEICHHARDT NS AUS Card xx0052 Value Date: 19/08/2018"/>
        <s v="CANBERRA SOUTHERN CR TUGGERANONG D AC AUS Card xx0052 Value Date: 21/08/2018"/>
        <s v="CANBERRA SOUTHERN CR TUGGERANONG D AC AUS Card xx0052 Value Date: 20/08/2018"/>
        <s v="WWW.INGOGO SYDNEY NS AUS Card xx0052 Value Date: 17/08/2018"/>
        <s v="SPOTTO NSW EAST SYDNEY NS AUS Card xx0052 Value Date: 19/08/2018"/>
        <s v="LADY HAMPSHIRE CAMPERDOWN NS AUS Card xx0052 Value Date: 19/08/2018"/>
        <s v="Direct Credit 364581 67858 Maxxia00067858"/>
        <s v="WOOLWORTHS W1198 TUGGERANONG D  AUS Card xx0052 Value Date: 20/08/2018"/>
        <s v="WOOLWORTHS LIQ W1198 TUGGERANONG D  AUS Card xx0052 Value Date: 20/08/2018"/>
        <s v="stan.com.au Sydney AU AUS Card xx0052 Value Date: 17/08/2018"/>
        <s v="ST VIN DE PAUL SOC NSW SURRY HILLS  AUS Card xx0052 Value Date: 18/08/2018"/>
        <s v="RETRO A GO GO PETERSHAM  AUS Card xx0052 Value Date: 18/08/2018"/>
        <s v="MEMET  ARSLAN MANLY  AUS Card xx0052 Value Date: 17/08/2018"/>
        <s v="JOJOS VENTURE PTY LQPS PETERSHAM  AUS Card xx0052 Value Date: 18/08/2018"/>
        <s v="DEE WHY RSL CLUB LTD DEE WHY  AUS Card xx0052 Value Date: 17/08/2018"/>
        <s v="CHISWICK CELLARS CHISWICK NS AUS Card xx0052 Value Date: 16/08/2018"/>
        <s v="Camperdown Cellars       Camperdown   AU"/>
        <s v="BMSH PTY LTD SURRY HILLS  AUS Card xx0052 Value Date: 17/08/2018"/>
        <s v="PRIME QUALITY MEATS LEICHHARDT NS AUS Card xx0052 Value Date: 13/08/2018"/>
        <s v="BMSH PTY LTD SURRY HILLS  AUS Card xx0052 Value Date: 16/08/2018"/>
        <s v="ZEUS STREET GREEK - SU SURRY HILLS  AUS Card xx0052 Value Date: 15/08/2018"/>
        <s v="YULIA ANGESTI &amp; MICH LEICHHARDT NS AUS Card xx0052 Value Date: 13/08/2018 (Norton Seafoods)"/>
        <s v="SURRYHILLS NEWSAGENT SURRY HILLS NS AUS Card xx0052 Value Date: 13/08/2018"/>
        <s v="MCDONALDS STANMORE STANMORE  AUS Card xx0052 Value Date: 10/08/2018"/>
        <s v="YOUI - PREMIUM SIPPY DOWNS  AUS Card xx0052 Value Date: 14/08/2018"/>
        <s v="WOOLWORTHS 1669 SURRY HILLS  AUS Card xx0052 Value Date: 14/08/2018"/>
        <s v="WILSON PARKING AUSTRAL SYDNEY NS AUS Card xx0052 Value Date: 11/08/2018"/>
        <s v="NEW MILLENNIUM 2 PTY L SURRY HILLS  AUS Card xx0052 Value Date: 14/08/2018 (Camys Chicken)"/>
        <s v="Menulog Pty Ltd Sydney AU AUS Card xx0052 Value Date: 12/08/2018"/>
        <s v="COLES 0846 LEICHHARDT AU AUS Card xx0052 Value Date: 13/08/2018"/>
        <s v="SURRYHILLS NEWSAGENT SURRY HILLS NS AUS Card xx0052 Value Date: 09/08/2018"/>
        <s v="Sando Bar Surry Hills NS AUS Card xx0052 Value Date: 10/08/2018"/>
        <s v="Return JB HI FI BROADWAY BROADWAY NS AUS Card xx0052 Value Date: 09/08/2018"/>
        <s v="NV PETERS INMNT PL BROADWAY NS AUS Card xx0052 Value Date: 09/08/2018"/>
        <s v="JB HI FI BROADWAY BROADWAY NS AUS Card xx0052 Value Date: 09/08/2018"/>
        <s v="International Transaction Fee Value Date: 10/08/2018"/>
        <s v="COLES 0846 LEICHHARDT AU AUS Card xx0052 Value Date: 11/08/2018"/>
        <s v="BMSH PTY LTD SURRY HILLS  AUS Card xx0052 Value Date: 13/08/2018"/>
        <s v="BANDCAMP KON 4029357733 CA USA Card xx0052 USD 3.00 Value Date: 10/08/2018"/>
        <s v="Menulog Pty Ltd Sydney AU AUS Card xx0052 Value Date: 08/08/2018"/>
        <s v="KMART 1155 BROADWAY AU AUS Card xx0052 Value Date: 09/08/2018"/>
        <s v="BING LEE HAYMARKET HAYMARKET NS AUS Card xx0052 Value Date: 09/08/2018"/>
        <s v="TRANSPORT FOR NSW CHIPPENDALE  AUS Card xx0052 Value Date: 08/08/2018"/>
        <s v="NEW MILLENNIUM 2 PTY L SURRY HILLS  AUS Card xx0052 Value Date: 09/08/2018 (Camys Chicken)"/>
        <s v="JACKS HAIRDRESSING SYDNEY NS AUS Card xx0052 Value Date: 07/08/2018"/>
        <s v="Sando Bar Surry Hills NS AUS Card xx0052 Value Date: 07/08/2018"/>
        <s v="NEW MILLENNIUM 2 PTY L SURRY HILLS  AUS Card xx0052 Value Date: 08/08/2018 (Camys Chicken)"/>
        <s v="COLES 0846 LEICHHARDT AU AUS Card xx0052 Value Date: 06/08/2018"/>
        <s v="OXFORD TAVERN PETERSHAM NS AUS Card xx0052 Value Date: 05/08/2018"/>
        <s v="KEG  BREW HOTEL SURRY HILLS NS AUS Card xx0052 Value Date: 03/08/2018"/>
        <s v="V/CELLARS 3673 LEICHHARDT AU AUS Card xx0052 Value Date: 04/08/2018"/>
        <s v="LINKT TN PAYT SYDNEY  AUS Card xx0052 Value Date: 04/08/2018"/>
        <s v="COLES 0846 LEICHHARDT AU AUS Card xx0052 Value Date: 04/08/2018"/>
        <s v="CHISWICK CELLARS CHISWICK NS AUS Card xx0052 Value Date: 02/08/2018"/>
        <s v="BMSH PTY LTD SURRY HILLS  AUS Card xx0052 Value Date: 06/08/2018"/>
        <s v="SURRYHILLS NEWSAGENT SURRY HILLS NS AUS Card xx0052 Value Date: 01/08/2018"/>
        <s v="Menulog Pty Ltd Sydney AU AUS Card xx0052 Value Date: 01/08/2018"/>
        <s v="LINKT TN PAYT SYDNEY  AUS Card xx0052 Value Date: 03/08/2018"/>
        <s v="Sando Bar Surry Hills NS AUS Card xx0052 Value Date: 01/08/2018"/>
        <s v="PRIME QUALITY MEATS LEICHHARDT NS AUS Card xx0052 Value Date: 30/07/2018"/>
        <s v="BMSH PTY LTD SURRY HILLS  AUS Card xx0052 Value Date: 02/08/2018"/>
        <s v="Belong * Service PADDINGTON NS AUS Card xx0052 Value Date: 01/08/2018"/>
        <s v="YULIA ANGESTI &amp; MICH LEICHHARDT NS AUS Card xx0052 Value Date: 30/07/2018 (Norton Seafoods)"/>
        <s v="WOOLWORTHS 1669 SURRY HILLS  AUS Card xx0052 Value Date: 01/08/2018"/>
        <s v="NETFLIX COM MELBOURNE  AUS Card xx0052 Value Date: 29/07/2018"/>
        <s v="CITYOFSYDNEY PARKING SYDNEY  AUS Card xx0052 Value Date: 29/07/2018"/>
        <s v="WOOLWORTHS 1669 SURRY HILLS  AUS Card xx0052 Value Date: 31/07/2018"/>
        <s v="WILSON PARKING AUSTRAL SYDNEY NS AUS Card xx0052 Value Date: 29/07/2018"/>
        <s v="Store DJ Invoice - 790563 - Keyboard Stand"/>
        <s v="Direct Debit 245164 HCF 5723396979834A0000"/>
        <s v="COLES 0846 LEICHHARDT AU AUS Card xx0052 Value Date: 30/07/2018"/>
        <s v="BP CONNECT 2292 CAMPERDOWN NS AUS Card xx0052 Value Date: 29/07/2018"/>
        <s v="WOOLWORTHS 1669 SURRY HILLS  AUS Card xx0052 Value Date: 30/07/2018"/>
        <s v="Sando Bar Surry Hills NS AUS Card xx0052 Value Date: 27/07/2018"/>
        <s v="CHISWICK CELLARS CHISWICK NS AUS Card xx0052 Value Date: 26/07/2018"/>
        <s v="CENTENNIAL PLAZA PHR SYDNEY NS AUS Card xx0052 Value Date: 27/07/2018"/>
        <s v="RMSTOLLNOTICEPH13186 PARRAMATTA  AUS Card xx0052 Value Date: 24/07/2018"/>
        <s v="PRIME QUALITY MEATS LEICHHARDT NS AUS Card xx0052 Value Date: 23/07/2018"/>
        <s v="BMSH PTY LTD SURRY HILLS  AUS Card xx0052 Value Date: 26/07/2018"/>
        <s v="YULIA ANGESTI &amp; MICH LEICHHARDT NS AUS Card xx0052 Value Date: 23/07/2018 (Norton Seafoods)"/>
        <s v="WOOLWORTHS 1669 SURRY HILLS  AUS Card xx0052 Value Date: 25/07/2018"/>
        <s v="MCDONALDS STANMORE STANMORE  AUS Card xx0052 Value Date: 23/07/2018"/>
        <s v="MANNYS MUSIC STORE FITZROY NORTH  AUS Card xx0052 Value Date: 23/07/2018"/>
        <s v="WILSON PARKING AUSTRAL SYDNEY NS AUS Card xx0052 Value Date: 21/07/2018"/>
        <s v="TAXI COMBINED 133300 ALEXANDRIA NS AUS Card xx0052 Value Date: 20/07/2018"/>
        <s v="Sando Bar Surry Hills NS AUS Card xx0052 Value Date: 23/07/2018"/>
        <s v="Menulog Pty Ltd Sydney AU AUS Card xx0052 Value Date: 21/07/2018"/>
        <s v="LEGION CAB SY 131451 DARLINGHURST NS AUS Card xx0052 Value Date: 21/07/2018"/>
        <s v="KAZROG.COM 8882205562 CA USA Card xx0052 USD 39.99 Value Date: 22/07/2018"/>
        <s v="International Transaction Fee Value Date: 22/07/2018"/>
        <s v="COLES 0846 LEICHHARDT AU AUS Card xx0052 Value Date: 23/07/2018"/>
        <s v="CARGO BAR SYDNEY NS AUS Card xx0052 Value Date: 20/07/2018"/>
        <s v="BMSH PTY LTD SURRY HILLS  AUS Card xx0052 Value Date: 24/07/2018"/>
        <s v="Vic On The Park Marrickville NS AUS Card xx0052 Value Date: 21/07/2018"/>
        <s v="Vic On The Park Marrickville NS AUS Card xx0052 Value Date: 20/07/2018"/>
        <s v="UNIVERSAL HOTELS PTY DARLINGHURST  AUS Card xx0052 Value Date: 19/07/2018"/>
        <s v="JOJOS VENTURE PTY LQPS PETERSHAM  AUS Card xx0052 Value Date: 21/07/2018"/>
        <s v="HARRIS FARM MARKETSQPS LEICHHARDT  AUS Card xx0052 Value Date: 23/07/2018"/>
        <s v="DMD FUELS PTY LTD  QPS PETERSHAM  AUS Card xx0052 Value Date: 23/07/2018"/>
        <s v="TRANSPORT FOR NSW CHIPPENDALE  AUS Card xx0052 Value Date: 19/07/2018"/>
        <s v="CROWN ST GROCER SURRY HILLS NS AUS Card xx0052 Value Date: 19/07/2018"/>
        <s v="BMSH PTY LTD SURRY HILLS  AUS Card xx0052 Value Date: 20/07/2018"/>
        <s v="Withdrawal   ATMANZ VIC ON THE PARK 1  MARRICKVI      AU Value Date: 21/07/2018"/>
        <s v="PRIME QUALITY MEATS LEICHHARDT NS AUS Card xx0052 Value Date: 16/07/2018"/>
        <s v="Non CBA ATM Withdrawal Fee Value Date: 21/07/2018"/>
        <s v="YULIA ANGESTI &amp; MICH LEICHHARDT NS AUS Card xx0052 Value Date: 16/07/2018 (Norton Seafoods)"/>
        <s v="WOOLWORTHS 1669 SURRY HILLS  AUS Card xx0052 Value Date: 18/07/2018"/>
        <s v="Withdrawal   ATMWES KINSELAS           DARLING        AU"/>
        <s v="Sando Bar Surry Hills NS AUS Card xx0052 Value Date: 17/07/2018"/>
        <s v="NEW MILLENNIUM 2 PTY L SURRY HILLS  AUS Card xx0052 Value Date: 18/07/2018 (Camys Chicken)"/>
        <s v="Menulog Pty Ltd Sydney AU AUS Card xx0052 Value Date: 15/07/2018"/>
        <s v="Menulog Pty Ltd Sydney AU AUS Card xx0052 Value Date: 14/07/2018"/>
        <s v="COLES 0846 LEICHHARDT AU AUS Card xx0052 Value Date: 16/07/2018"/>
        <s v="YOUI - PREMIUM SIPPY DOWNS  AUS Card xx0052 Value Date: 16/07/2018"/>
        <s v="BMSH PTY LTD SURRY HILLS  AUS Card xx0052 Value Date: 16/07/2018"/>
        <s v="COLES 4788 FIVE DOCK AU AUS Card xx0052 Value Date: 12/07/2018"/>
        <s v="BMSH PTY LTD SURRY HILLS  AUS Card xx0052 Value Date: 13/07/2018"/>
        <s v="WOOLWORTHS 1669 SURRY HILLS  AUS Card xx0052 Value Date: 12/07/2018"/>
        <s v="Sando Bar Surry Hills NS AUS Card xx0052 Value Date: 11/07/2018"/>
        <s v="PRIME QUALITY MEATS LEICHHARDT NS AUS Card xx0052 Value Date: 09/07/2018"/>
        <s v="COLES 0846 LEICHHARDT AU AUS Card xx0052 Value Date: 11/07/2018"/>
        <s v="YULIA ANGESTI &amp; MICH LEICHHARDT NS AUS Card xx0052 Value Date: 09/07/2018 (Norton Seafoods)"/>
        <s v="Store DJ Invoice - 785133 - Freight Charge"/>
        <s v="Store Dj Invoice - 758221A - OnStage 3 Tier Keyboard Stand"/>
        <s v="Sando Bar Surry Hills NS AUS Card xx0052 Value Date: 10/07/2018"/>
        <s v="SILVER SERVIC 133100 ALEXANDRIA NS AUS Card xx0052 Value Date: 07/07/2018"/>
        <s v="Goodbar Paddington NS AUS Card xx0052 Value Date: 08/07/2018"/>
        <s v="Goodbar Paddington NS AUS Card xx0052 Value Date: 07/07/2018"/>
        <s v="COLES 0846 LEICHHARDT AU AUS Card xx0052 Value Date: 09/07/2018"/>
        <s v="CHISWICK CELLARS CHISWICK NS AUS Card xx0052 Value Date: 07/07/2018"/>
        <s v="7-ELEVEN 2048 DRUMMOYNE NS AUS Card xx0052 Value Date: 08/07/2018"/>
        <s v="Transfer to other Bank CommBank app rrrtr1"/>
        <s v="WOOLWORTHS 1669 SURRY HILLS  AUS Card xx0052 Value Date: 09/07/2018"/>
        <s v="TRANSPORT FOR NSW CHIPPENDALE  AUS Card xx0052 Value Date: 06/07/2018"/>
        <s v="THE ORCHARD TAVERN CHATSWOOD  AUS Card xx0052 Value Date: 04/07/2018"/>
        <s v="STAR BAR &amp; GRILL BISTR SYDNEY  AUS Card xx0052 Value Date: 06/07/2018"/>
        <s v="REBEL SYDNEY CITY SYDNEY NS AUS Card xx0052 Value Date: 05/07/2018"/>
        <s v="MR CRACKLES        QPS DARLINGHURST  AUS Card xx0052 Value Date: 08/07/2018"/>
        <s v="Direct Credit 364581 65575 Maxxia00065575"/>
        <s v="Direct Credit 106600 MASOUMEH GHOLAMS shoping for mum"/>
        <s v="CENTENNIAL PLAZA PHR SYDNEY NS AUS Card xx0052 Value Date: 06/07/2018"/>
        <s v="BUNNINGS 595000    QPS ASHFIELD  AUS Card xx0052 Value Date: 07/07/2018  - home supplies"/>
        <s v="BMSH PTY LTD SURRY HILLS  AUS Card xx0052 Value Date: 09/07/2018"/>
        <s v="3 Wise Monkeys Sydney NS AUS Card xx0052 Value Date: 07/07/2018"/>
        <s v="3 Wise Monkeys Sydney NS AUS Card xx0052 Value Date: 06/07/2018"/>
        <s v="TGIFriday's Macquarie North Ryde NS AUS Card xx0052 Value Date: 05/07/2018"/>
        <s v="Sando Bar Surry Hills NS AUS Card xx0052 Value Date: 05/07/2018"/>
        <s v="CENTENNIAL PLAZA PHR SYDNEY NS AUS Card xx0052 Value Date: 04/07/2018"/>
        <s v="BMSH PTY LTD SURRY HILLS  AUS Card xx0052 Value Date: 06/07/2018"/>
        <s v="Withdrawal   ATMWES STAR BAR AND GRILL SYDNEY         AU"/>
        <s v="WCC CONCOURSE CARPARK CHATSWOOD  AUS Card xx0052 Value Date: 04/07/2018"/>
        <s v="REBEL SYDNEY CITY SYDNEY NS AUS Card xx0052 Value Date: 03/07/2018"/>
        <s v="PRIME QUALITY MEATS LEICHHARDT NS AUS Card xx0052 Value Date: 02/07/2018"/>
        <s v="International Transaction Fee Value Date: 03/07/2018"/>
        <s v="House Deposit   (Offset adjustment for pre 7  June  2018 figures)"/>
        <s v="GFM*GoFndMe* Jamal Fou Redwood City CA USA Card xx0052 USD 22.00 Value Date: 03/07/2018"/>
        <s v="CROWN ST GROCER SURRY HILLS NS AUS Card xx0052 Value Date: 04/07/2018"/>
        <s v="YULIA ANGESTI &amp; MICH LEICHHARDT NS AUS Card xx0052 Value Date: 02/07/2018 (Norton Seafoods)"/>
        <s v="MCDONALDS STANMORE STANMORE  AUS Card xx0052 Value Date: 29/06/2018"/>
        <s v="FITNESS PLAYGROUND S SURRY HILLS NS AUS Card xx0052 Value Date: 02/07/2018"/>
        <s v="CENTENNIAL PLAZA PHR SYDNEY NS AUS Card xx0052 Value Date: 29/06/2018"/>
        <s v="WILSON PARKING AUSTRAL SYDNEY NS AUS Card xx0052 Value Date: 30/06/2018"/>
        <s v="UNIVERSAL AUDIO 8314401176 CA USA Card xx0052 USD 367.00 Value Date: 30/06/2018"/>
        <s v="NEW MILLENNIUM 2 PTY L SURRY HILLS  AUS Card xx0052 Value Date: 03/07/2018 (Camys Chicken)"/>
        <s v="Menulog Pty Ltd Sydney AU AUS Card xx0052 Value Date: 01/07/2018"/>
        <s v="john minai food"/>
        <s v="International Transaction Fee Value Date: 30/06/2018"/>
        <s v="FITNESS PLAYGROUND S SURRY HILLS NS AUS Card xx0052 Value Date: 30/06/2018"/>
        <s v="COLES 0846 LEICHHARDT AU AUS Card xx0052 Value Date: 02/07/2018"/>
        <s v="CARGO BAR SYDNEY NS AUS Card xx0052 Value Date: 29/06/2018"/>
        <s v="Belong * Service PADDINGTON NS AUS Card xx0052 Value Date: 01/07/2018"/>
        <s v="TRANSPORT FOR NSW CHIPPENDALE  AUS Card xx0052 Value Date: 29/06/2018"/>
        <s v="NETFLIX COM MELBOURNE  AUS Card xx0052 Value Date: 29/06/2018"/>
        <s v="BMSH PTY LTD SURRY HILLS  AUS Card xx0052 Value Date: 02/07/2018"/>
        <s v="Direct Debit 245164 HCF 5723396979802A0000"/>
        <s v="Account Fee"/>
        <s v="Store DJ Invoice - 761902 - Cables"/>
        <s v="Store Dj Invoice - 758269 - Beyer Dynamic Headphones"/>
        <s v="Store Dj Invoice - 758221 - Matrixbrute, USB Hub, Cables"/>
        <s v="Store Dj Invoice - 747554 - Cables"/>
        <s v="Coinspot Deposit - Coinspot Deposit 996145081362"/>
        <s v="Coinspot Deposit - Coinspot Deposit 996143779108"/>
        <s v="Coinspot Deposit - Coinspot Deposit 996143733694)"/>
        <s v="Store Dj Invoice - 636960D - Cables"/>
        <s v="Store Dj Invoice - 636960C - Motu MIDI Express "/>
        <s v="Store Dj Invoice - 636960B - Cable"/>
        <s v="Store Dj Invoice - 636960A - Patch Cables"/>
        <s v="Store Dj Invoice - 636960 - Warranty"/>
        <s v="Store Dj Invoice - 619757 - Roland A-88 Keyboard, Konig &amp; Meyer Keyboard Stand"/>
        <s v="Store Dj Invoice - 8023199 - UA Apollo 8P"/>
        <s v="Store Dj Invoice - 615183 - Extended Warranty"/>
        <s v="PatchCable (Tasmania) - PATCH-LB-1111 - Makenoise 0-Coast"/>
        <s v="Store Dj Invoice - 589360 - P12 Desktop Syntesizer"/>
        <s v="Store Dj Invoice - 577534 - Korg Volca Bass Machine"/>
        <s v="Store Dj Invoice - 8023199 - Roland DP-2 "/>
        <s v="Store Dj Invoice - 383958 - Roland EV-5 Expression Pedal"/>
        <s v="Eureka Insulation - Absorb XHD"/>
        <s v="Transfer To E L Audet PayID Phone from CommBank App amp" u="1"/>
        <s v="Transfer to other Bank CommBank app Bathroom Reno" u="1"/>
        <s v="Optus Billing MacquariePark NS AUS Card xx2869 Value Date: 07/08/2025" u="1"/>
        <s v="ALDI STORES RYDALMERE NSWAU" u="1"/>
        <s v="Fast Transfer From CoinSpot CREDIT TO ACCOUNT" u="1"/>
        <s v="DREAMTONE" u="1"/>
        <s v="7-ELEVEN 2257 PARRAMATTA NS AUS Card xx2869 Value Date: 30/07/2025" u="1"/>
        <s v="TONG LI SUPERMARKETQPS PARRAMATTA AUS Card xx2869 Value Date: 31/07/2025" u="1"/>
        <s v="ALDI STORES PARRAMATTA NSWAU" u="1"/>
        <s v="TRANSPORTFORNSW OPAL CHIPPENDALE AUS Card xx2869 Value Date: 29/07/2025" u="1"/>
        <s v="Salary SERVAUPAYROLL 21230P 85920286" u="1"/>
        <s v="AURORA HOTEL Surry Hills AU" u="1"/>
        <s v="COLES 7663COLES 7663 PARRAMATTA 02 AUS Card xx2869 Value Date: 27/07/2025" u="1"/>
        <s v="Sydney Eye Hospital Sydney NS AUS Card xx2869 Value Date: 26/07/2025" u="1"/>
        <s v="VERANDAH BAR SYDNEY AUS Card xx2869 Value Date: 26/07/2025" u="1"/>
        <s v="MCDONALDS PMATTA NTH NORTH PARRAMANSWAU" u="1"/>
        <s v="ATO PAYMENT SYDNEY NS AUS Card xx2869 Value Date: 23/07/2025" u="1"/>
        <s v="Fast Transfer From M M ROBINSON to PayID Phone Dinner" u="1"/>
        <s v="LS John Belvedere Eate Parramatta AU" u="1"/>
        <s v="Optus Billing MacquariePark NS AUS Card xx2869 Value Date: 22/07/2025" u="1"/>
        <s v="APEX WEST RYDE WEST RYDE NS AUS Card xx2869 Value Date: 20/07/2025" u="1"/>
        <s v="BUPA HI P T PHI MELBOURNE VI AUS Card xx2869 Value Date: 19/07/2025" u="1"/>
        <s v="Tickets*Networking BELROSE AU AUS Card xx2869 Value Date: 18/07/2025" u="1"/>
        <s v="COLES 7663COLES 7663 PARRAMATTA 02 AUS Card xx2869 Value Date: 18/07/2025" u="1"/>
        <s v="DRUMMOYNE SAILING CLUB LT DRUMMOY NSW AU Card xx2869" u="1"/>
        <s v="Transfer To M M ROBINSON PayID Email from CommBank App food" u="1"/>
        <s v="Fast Transfer From Louis Wayment Giles P" u="1"/>
        <s v="MOSHTIX PTY LTD" u="1"/>
        <s v="Salary SERVAUPAYROLL 19540P 85920286" u="1"/>
        <s v="Fast Transfer From JONATHAN OLIVER giles peteraon gig" u="1"/>
        <s v="International Transaction Fee Value Date: 10/07/2025" u="1"/>
        <s v="OPENAI *CHATGPT SUBSCR SAN FRANCISCO CA USA Card xx2869 USD 22.00 Value Date: 11/07/2025" u="1"/>
        <s v="JOHNS QUALITY MEATS PA PARRAMATTA AU AUS Card xx2869 Value Date: 12/07/2025" u="1"/>
        <s v="7-ELEVEN 2257 PARRAMATTA NS AUS Card xx2869 Value Date: 12/07/2025" u="1"/>
        <s v="Fast Transfer From M M ROBINSON to PayID Phone Matt R tickets" u="1"/>
        <s v="COLES 0887 PARRAMATTA 02 AUS Card xx2869 Value Date: 10/07/2025" u="1"/>
        <s v="Optus Billing MacquariePark NS AUS Card xx2869 Value Date: 08/07/2025" u="1"/>
        <s v="ORIGIN ENERGY LTD BARANGAROO AUS Card xx2869 Value Date: 08/07/2025" u="1"/>
        <s v="TRANSPORTFORNSW OPAL CHIPPENDALE AUS Card xx2869 Value Date: 08/07/2025" u="1"/>
        <s v="MOSHTIX PTY LTD SYDNEY NS AUS Card xx2869 Value Date: 05/07/2025" u="1"/>
        <s v="Salary SERVAUPAYROLL 20410P 85920286" u="1"/>
        <s v="COLES 7663 PARRAMATTA 02 AUS Card xx2869 Value Date: 28/06/2025" u="1"/>
        <s v="UBER *EATS HELP.UBER.C Sydney AU AUS Card xx2869 Value Date: 28/06/2025" u="1"/>
        <s v="DAVID JONES LIMITED PARRAMATTA AU Card xx2869" u="1"/>
        <s v="Fast Transfer From MR H ROOZBEHANI Love from dad" u="1"/>
        <s v="International Transaction Fee Value Date: 24/06/2025" u="1"/>
        <s v="SC* STACKSOCIAL VENICE CA USA Card xx2869 USD 16.47 Value Date: 25/06/2025" u="1"/>
        <s v="Optus Billing MacquariePark NS AUS Card xx2869 Value Date: 23/06/2025" u="1"/>
        <s v="BUPA HI P T PHI MELBOURNE VI AUS Card xx2869 Value Date: 19/06/2025" u="1"/>
        <s v="aliexpress North Sydney AU AUS Card xx2869 Value Date: 17/06/2025" u="1"/>
        <s v="Salary SERVAUPAYROLL 21162P 85920286" u="1"/>
        <s v="BWS LIQUOR 1601 DRUMMOYNE NS AUS Card xx2869 Value Date: 14/06/2025" u="1"/>
        <s v="SIEFF S MUSIC WORLD BLACKTOWN AU AUS Card xx2869 Value Date: 15/06/2025" u="1"/>
        <s v="WOOLWORTHS 1288 BLACKTOWN NS AUS Card xx2869 Value Date: 15/06/2025" u="1"/>
        <s v="OXFORD HOTEL Drummoyne AU AUS Card xx2869 Value Date: 14/06/2025" u="1"/>
        <s v="Sushi Maru Blacktown SOUTH TURRAMU AU AUS Card xx2869 Value Date: 15/06/2025" u="1"/>
        <s v="Google YouTube Barangaroo AU AUS Card xx2869 Value Date: 15/06/2025" u="1"/>
        <s v="International Transaction Fee Value Date: 10/06/2025" u="1"/>
        <s v="OPENAI *CHATGPT SUBSCR SAN FRANCISCO CA USA Card xx2869 USD 22.00 Value Date: 11/06/2025" u="1"/>
        <s v="SQ *SPANIAN'S KEBABS N North Parrama AU" u="1"/>
        <s v="APEX VILLAWOOD VILLAWOOD NS AUS Card xx2869 Value Date: 07/06/2025" u="1"/>
        <s v="TRANSPORTFORNSW OPAL CHIPPENDALE AUS Card xx2869 Value Date: 10/06/2025" u="1"/>
        <s v="OPTUS BILLING AUTOPAY MACQUARIE PAR NS AUS Card xx2869 Value Date: 07/06/2025" u="1"/>
        <s v="Dyson Demo Kensington AU AUS Card xx2869 Value Date: 08/06/2025" u="1"/>
        <s v="Fast Transfer From MASOUMEH GHOLAMSHAHI Weekly food shoping share" u="1"/>
        <s v="Google YouTube Videos Pyrmont AU AUS Card xx2869 Value Date: 31/05/2025" u="1"/>
        <s v="ALDI STORES - RYDALMER RYDALMERE AU" u="1"/>
        <s v="YILAN GROUP NO.1 Burwood AU" u="1"/>
        <s v="Burwood Hotel Burwood AU" u="1"/>
        <s v="Madison Hotel Surry Hills AU" u="1"/>
        <s v="PUB POOL PROMOTIONS PTY LDenistone AU" u="1"/>
        <s v="WINGHAS - CQ GATEWAY THE ROCKS NS AUS Card xx2869 Value Date: 23/05/2025" u="1"/>
        <s v="UBER *EATS HELP.UBER.C Sydney AU AUS Card xx2869 Value Date: 24/05/2025" u="1"/>
        <s v="TRANSPORTFORNSW OPAL CHIPPENDALE AUS Card xx2869 Value Date: 23/05/2025" u="1"/>
        <s v="BELFIELD MUSIC PTY LTD BASS HILL NSW AU Card xx2869" u="1"/>
        <s v="Fast Transfer From ALEXANDER SCOTT to PayID Phone alex gee" u="1"/>
        <s v="OPTUS BILLING AUTOPAY MACQUARIE PAR NS AUS Card xx2869 Value Date: 22/05/2025" u="1"/>
        <s v="Return eBay O*22-13033-18699 Sydney AU AUS Card xx2869 Value Date: 23/05/2025" u="1"/>
        <s v="Wdl ATM ETX FIREHOUSE HOTEL NORTH SYDNE AU" u="1"/>
        <s v="SHIP INN Sydney AU" u="1"/>
        <s v="WinghausCircularQuay Sydney AU" u="1"/>
        <s v="WOOLWORTHS 1366 ERMINGTON NS AUS Card xx2869 Value Date: 20/05/2025" u="1"/>
        <s v="BUPA HI P T PHI MELBOURNE VI AUS Card xx2869 Value Date: 20/05/2025" u="1"/>
        <s v="Salary SERVAUPAYROLL 20583P 85920286" u="1"/>
        <s v="OXFORD HOTEL Drummoyne AU AUS Card xx2869 Value Date: 17/05/2025" u="1"/>
        <s v="CITY OF PARRAMATTA C PARRAMATTA NS AUS Card xx2869 Value Date: 09/05/2025" u="1"/>
        <s v="OPTUS BILLING AUTOPAY MACQUARIE PAR NS AUS Card xx2869 Value Date: 09/05/2025" u="1"/>
        <s v="International Transaction Fee Value Date: 10/05/2025" u="1"/>
        <s v="OPENAI *CHATGPT SUBSCR SAN FRANCISCO CA USA Card xx2869 USD 22.00 Value Date: 11/05/2025" u="1"/>
        <s v="ZLR*Baba Ghanouj Parram Parramatta AU" u="1"/>
        <s v="Neyvine Seafood &amp; Gril Parramatta AU" u="1"/>
        <s v="eBay O*22-13033-18699 Sydney AU AUS Card xx2869 Value Date: 08/05/2025" u="1"/>
        <s v="BEATPORT 720-974-9500 CO USA Card xx2869 AUD 3.40 Value Date: 05/05/2025" u="1"/>
        <s v="BEATPORT 720-974-9500 CO USA Card xx2869 AUD 3.40 Value Date: 06/05/2025" u="1"/>
        <s v="Salary SERVAUPAYROLL 19323P 85920286" u="1"/>
        <s v="Return GOOGLE*ADS8721882091 CC GOOGLE.COM AUS Card xx2869 Value Date: 02/05/2025" u="1"/>
        <s v="COLES 0887COLES 0887 PARRAMATTA 02 AUS Card xx2869 Value Date: 01/05/2025" u="1"/>
        <s v="TRANSPORTFORNSW OPAL CHIPPENDALE AUS Card xx2869 Value Date: 29/04/2025" u="1"/>
        <s v="COLES 0887COLES 0887 PARRAMATTA 02 AUS Card xx2869 Value Date: 28/04/2025" u="1"/>
        <s v="CITY OF PARRAMATTA PARRAMATTA NS AUS Card xx2869 Value Date: 24/04/2025" u="1"/>
        <s v="Transfer To Masoumeh Gholamshahi CommBank App food Value Date: 28/04/2025" u="1"/>
        <s v="LS Waterworks Canteen Manly AU" u="1"/>
        <s v="OPTUS BILLING AUTOPAY MACQUARIE PAR NS AUS Card xx2869 Value Date: 22/04/2025" u="1"/>
        <s v="BUPA HI P T PHI MELBOURNE VI AUS Card xx2869 Value Date: 19/04/2025" u="1"/>
        <s v="Salary SERVAUPAYROLL 19100P 85920286" u="1"/>
        <s v="Mikazuki Riverside PARRAMATTA AU AUS Card xx2869 Value Date: 17/04/2025" u="1"/>
        <s v="Return Microsoft*Microsoft 36 msbill.info AU AUS Card xx2869 Value Date: 17/04/2025" u="1"/>
        <s v="WWW.WILLOPARRAMATTA.CO Greystanes AU" u="1"/>
        <s v="UBER *TRIP HELP.UBER.COM" u="1"/>
        <s v="Wdl ATM Red NP-Kent St Hotel1 Sydney AU" u="1"/>
        <s v="EZI*CASH CONVERTERS. PERTH AU AUS Card xx2869 Value Date: 13/04/2025" u="1"/>
        <s v="International Transaction Fee Value Date: 10/04/2025" u="1"/>
        <s v="OPENAI *CHATGPT SUBSCR SAN FRANCISCO CA USA Card xx2869 USD 22.00 Value Date: 11/04/2025" u="1"/>
        <s v="COLES 0887COLES 0887 PARRAMATTA 02 AUS Card xx2869 Value Date: 11/04/2025" u="1"/>
        <s v="Microsoft*Microsoft 36 msbill.info AU AUS Card xx2869 Value Date: 12/04/2025" u="1"/>
        <s v="ORIGIN ENERGY BARANGAROO AU" u="1"/>
        <s v="Salary SERVAUPAYROLL 19240P 85920286" u="1"/>
        <s v="OPTUS BILLING AUTOPAY MACQUARIE PAR NS AUS Card xx2869 Value Date: 07/04/2025" u="1"/>
        <s v="BELLS HOTEL WOOLLOOMOOLOO NS AUS Card xx2869 Value Date: 06/04/2025" u="1"/>
        <s v="Transfer To Amin Akbarian CommBank App omid succulent chinese meal" u="1"/>
        <s v="Fast Transfer From RAMTEAN ROOZBEHANI lunch" u="1"/>
        <s v="CASH DEPOSIT CBA ATM PARRAMATTA A NSW 222301 AUS" u="1"/>
        <s v="Wdl ATM ETX BELLS HOTEL WOOLOOMOOLO AU" u="1"/>
        <s v="Transfer To RAMTEAN ROOZBEHANI CommBank App parking for omids lunch" u="1"/>
        <s v="BUNNINGS 388000 RYDALMERE AUS Card xx2869 Value Date: 02/04/2025" u="1"/>
        <s v="TRANSPORTFORNSW OPAL CHIPPENDALE AUS Card xx2869 Value Date: 01/04/2025" u="1"/>
        <s v="Vic On The Park Marrickville AU" u="1"/>
        <s v="MERIVALE ME&amp;U* ME&amp;U" u="1"/>
        <s v="Transfer to other Bank CommBank app contribution" u="1"/>
        <s v="SP RENPHO PTY LIMITED ALEXANDRIA NS AUS Card xx2869 Value Date: 25/03/2025" u="1"/>
        <s v="CENTENNIAL PLAZA PHR SYDNEY NS AUS Card xx2869 Value Date: 25/03/2025" u="1"/>
        <s v="Salary SERVAUPAYROLL 19384P 85920286" u="1"/>
        <s v="Fast Transfer From MASOUMEH GHOLAMSHAHI Ramtean BD present" u="1"/>
        <s v="OPTUS BILLING AUTOPAY MACQUARIE PAR NS AUS Card xx2869 Value Date: 22/03/2025" u="1"/>
        <s v="Transfer To Masoumeh Gholamshahi CommBank App strata levy" u="1"/>
        <s v="BUPA HI P T PHI MELBOURNE VI AUS Card xx2869 Value Date: 19/03/2025" u="1"/>
        <s v="Google YouTube Videos Barangaroo AU AUS Card xx2869 Value Date: 16/03/2025" u="1"/>
        <s v="COLES 7663COLES 7663 PARRAMATTA 02 AUS Card xx2869 Value Date: 13/03/2025" u="1"/>
        <s v="International Transaction Fee Value Date: 10/03/2025" u="1"/>
        <s v="OPENAI *CHATGPT SUBSCR SAN FRANCISCO CA USA Card xx2869 USD 22.00 Value Date: 11/03/2025" u="1"/>
        <s v="Salary SERVAUPAYROLL 19264P 85920286" u="1"/>
        <s v="OPTUS BILLING AUTOPAY MACQUARIE PAR NS AUS Card xx2869 Value Date: 10/03/2025" u="1"/>
        <s v="TRANSPORTFORNSW OPAL CHIPPENDALE AUS Card xx2869 Value Date: 11/03/2025" u="1"/>
        <s v="ALDI STORES - PARRAMAT PARRAMATTA AU" u="1"/>
        <s v="AMPOL HAZELBROO 22545F HAZELBROOK AUS Card xx2869 Value Date: 28/02/2025" u="1"/>
        <s v="WOOLWORTHS 1106 PARRAMATTA NS AUS Card xx2869 Value Date: 01/03/2025" u="1"/>
        <s v="COLES 7663COLES 7663 PARRAMATTA 02 AUS Card xx2869 Value Date: 01/03/2025" u="1"/>
        <s v="Salary SERVAUPAYROLL 20143P 85920286" u="1"/>
        <s v="SP RENPHO PTY LIMITED ALEXANDRIA NS AUS Card xx2869 Value Date: 21/02/2025" u="1"/>
        <s v="OPTUS BILLING AUTOPAY MACQUARIE PAR NS AUS Card xx2869 Value Date: 22/02/2025" u="1"/>
        <s v="CENTRE COM SUNSHINE PTY LAUBURN AU" u="1"/>
        <s v="Direct Credit 012721 ATO ATO007000019116076" u="1"/>
        <s v="SOUNDS EASY ARTARMON NS AUS Card xx2869 Value Date: 12/05/2024" u="1"/>
        <s v="2CO.COM*- 173639085 89 AMSTERDAM NL NLD Card xx8188 AUD 394.28 Value Date: 28/01/2022" u="1"/>
        <s v="Direct Credit 617702 PAYPAL AUSTRALIA 1023753557769 Roger Linn" u="1"/>
        <s v="Fast Transfer From James Mitchell White to PayID Phone Payment 2/2 for Roland Jupiter 80" u="1"/>
        <s v="Fast Transfer From James Mitchell White to PayID Phone Payment 1/2 for Roland Jupiter 80" u="1"/>
        <s v="REVERB.COM LLC CHICAGO IL USA Card xx8188 USD 69.85 Value Date: 01/05/2023" u="1"/>
        <s v="REVERB.COM LLC CHICAGO IL USA Card xx8188 USD 63.29 Value Date: 01/12/2022" u="1"/>
        <s v="eBay O*05-09371-02454 San Jose CA USA Card xx8188 AUD 1558.69 Value Date: 21/11/2022 UAD Octo Car" u="1"/>
        <s v="Jaycar Electronics Croydon AU - Rubber for Microphone" u="1"/>
        <s v="Transfer To nick irving CommBank App ns10" u="1"/>
        <s v="Jaycar Electronics Croydon AU" u="1"/>
        <s v="BELFIELD MUSIC PTY LTD BASS HILL NSW AU Card xx8188" u="1"/>
        <s v="Samsung Electronics AU Sydney AU AUS Card xx8188 Value Date: 23/11/2022" u="1"/>
        <s v="SCORPTEC COMPUTERS AUBURN AU Card xx8188" u="1"/>
        <s v="Fast Transfer From H Roozbehani New Property Home Loan" u="1"/>
        <s v="Fast Transfer From H Roozbehani CREDIT TO ACCOUNT Home loan" u="1"/>
        <s v="Fast Transfer From H Roozbehani Home Loan Help Help to buy home from Dad" u="1"/>
        <s v="Wdl ATM CBA ATM DRUMMOYNE A NSW 215701 AUS - John Dadah 2000/5000" u="1"/>
        <s v="Transfer To J DAHDAH PayID Phone from CommBank App furniture" u="1"/>
        <s v="Transfer To Amir Ehsani CommBank App nye platters, salad, dri..." u="1"/>
        <s v="Transfer To Dan P CommBank App rodean nuggets bucks" u="1"/>
        <s v="Transfer To Jonathan K Oliver CommBank App nile rodgers" u="1"/>
        <s v="Transfer To Jonathan K Oliver CommBank App folamour" u="1"/>
        <s v="Transfer To Kris Gusti CommBank App johns bucks" u="1"/>
        <s v="Transfer To Kris Gusti CommBank App entertainment" u="1"/>
        <s v="Transfer To Megan Cartwright IOU " u="1"/>
        <s v="IOU Megan Cartwright" u="1"/>
        <s v="Kat Duncan IOU" u="1"/>
        <s v="2334271OntarioLtd 855-2348273 ON CAN Card xx8882 USD 327.69 Value Date: 08/08/2019" u="1"/>
        <s v="STATEWIDE APPLIANCE ADELAIDE SA AUS Card xx2869 Value Date: 26/12/2023" u="1"/>
        <s v="rrrtr1" u="1"/>
        <s v="YULIA ANGESTI &amp; MICH LEICHHARDT NS AUS Card xx8882 Value Date: 22/05/2019" u="1"/>
        <s v="YULIA ANGESTI &amp; MICH LEICHHARDT NS AUS Card xx8882 Value Date: 13/05/2019" u="1"/>
        <s v="YULIA ANGESTI &amp; MICH LEICHHARDT NS AUS Card xx8882 Value Date: 06/05/2019" u="1"/>
        <s v="YULIA ANGESTI &amp; MICH LEICHHARDT NS AUS Card xx8882 Value Date: 07/04/2019" u="1"/>
        <s v="YULIA ANGESTI &amp; MICH LEICHHARDT NS AUS Card xx8882 Value Date: 16/02/2019" u="1"/>
        <s v="YULIA ANGESTI &amp; MICH LEICHHARDT NS AUS Card xx8882 Value Date: 02/02/2019" u="1"/>
        <s v="YULIA ANGESTI &amp; MICH LEICHHARDT NS AUS Card xx0052 Value Date: 03/09/2018" u="1"/>
        <s v="YULIA ANGESTI &amp; MICH LEICHHARDT NS AUS Card xx0052 Value Date: 28/08/2018" u="1"/>
        <s v="YULIA ANGESTI &amp; MICH LEICHHARDT NS AUS Card xx0052 Value Date: 25/08/2018" u="1"/>
        <s v="YULIA ANGESTI &amp; MICH LEICHHARDT NS AUS Card xx0052 Value Date: 19/08/2018" u="1"/>
        <s v="YULIA ANGESTI &amp; MICH LEICHHARDT NS AUS Card xx0052 Value Date: 13/08/2018" u="1"/>
        <s v="YULIA ANGESTI &amp; MICH LEICHHARDT NS AUS Card xx0052 Value Date: 30/07/2018" u="1"/>
        <s v="YULIA ANGESTI &amp; MICH LEICHHARDT NS AUS Card xx0052 Value Date: 23/07/2018" u="1"/>
        <s v="YULIA ANGESTI &amp; MICH LEICHHARDT NS AUS Card xx0052 Value Date: 16/07/2018" u="1"/>
        <s v="YULIA ANGESTI &amp; MICH LEICHHARDT NS AUS Card xx0052 Value Date: 09/07/2018" u="1"/>
        <s v="YULIA ANGESTI &amp; MICH LEICHHARDT NS AUS Card xx0052 Value Date: 02/07/2018" u="1"/>
        <s v="v" u="1"/>
        <s v="NEW MILLENNIUM 2 PTY L SURRY HILLS  AUS Tap and Pay xx4622 Value Date: 08/01/2019" u="1"/>
        <s v="NEW MILLENNIUM 2 PTY L SURRY HILLS  AUS Tap and Pay xx4622 Value Date: 21/12/2018" u="1"/>
        <s v="NEW MILLENNIUM 2 PTY L SURRY HILLS  AUS Tap and Pay xx4622 Value Date: 20/12/2018" u="1"/>
        <s v="NEW MILLENNIUM 2 PTY L SURRY HILLS  AUS Tap and Pay xx4622 Value Date: 19/12/2018" u="1"/>
        <s v="NEW MILLENNIUM 2 PTY L SURRY HILLS  AUS Tap and Pay xx4622 Value Date: 17/12/2018" u="1"/>
        <s v="NEW MILLENNIUM 2 PTY L SURRY HILLS  AUS Tap and Pay xx4622 Value Date: 13/12/2018" u="1"/>
        <s v="NEW MILLENNIUM 2 PTY L SURRY HILLS  AUS Tap and Pay xx4622 Value Date: 10/12/2018" u="1"/>
        <s v="NEW MILLENNIUM 2 PTY L SURRY HILLS  AUS Tap and Pay xx4622 Value Date: 04/12/2018" u="1"/>
        <s v="NEW MILLENNIUM 2 PTY L SURRY HILLS  AUS Tap and Pay xx4622 Value Date: 12/11/2018" u="1"/>
        <s v="NEW MILLENNIUM 2 PTY L SURRY HILLS  AUS Tap and Pay xx4622 Value Date: 05/11/2018" u="1"/>
        <s v="NEW MILLENNIUM 2 PTY L SURRY HILLS  AUS Tap and Pay xx4622 Value Date: 29/10/2018" u="1"/>
        <s v="NEW MILLENNIUM 2 PTY L   SURRY HILLS  AU" u="1"/>
        <s v="NEW MILLENNIUM 2 PTY L SURRY HILLS  AUS Tap and Pay xx4622 Value Date: 26/10/2018" u="1"/>
        <s v="NEW MILLENNIUM 2 PTY L SURRY HILLS  AUS Tap and Pay xx4622 Value Date: 24/10/2018" u="1"/>
        <s v="NEW MILLENNIUM 2 PTY L SURRY HILLS  AUS Tap and Pay xx4622 Value Date: 04/10/2018" u="1"/>
        <s v="NEW MILLENNIUM 2 PTY L   SURRY HILLS  AU Card xx0052" u="1"/>
        <s v="NEW MILLENNIUM 2 PTY L SURRY HILLS  AUS Card xx0052 Value Date: 14/08/2018" u="1"/>
        <s v="NEW MILLENNIUM 2 PTY L SURRY HILLS  AUS Card xx0052 Value Date: 09/08/2018" u="1"/>
        <s v="NEW MILLENNIUM 2 PTY L SURRY HILLS  AUS Card xx0052 Value Date: 08/08/2018" u="1"/>
        <s v="NEW MILLENNIUM 2 PTY L SURRY HILLS  AUS Card xx0052 Value Date: 18/07/2018" u="1"/>
        <s v="NEW MILLENNIUM 2 PTY L SURRY HILLS  AUS Card xx0052 Value Date: 03/07/2018" u="1"/>
        <s v="CATCH BENTLEIGH EAS VI AUS Card xx8882 Value Date: 24/12/2020" u="1"/>
      </sharedItems>
    </cacheField>
    <cacheField name="Account Balance" numFmtId="165">
      <sharedItems containsString="0" containsBlank="1" containsNumber="1" minValue="-108.51" maxValue="85496.97"/>
    </cacheField>
    <cacheField name="Account Type" numFmtId="0">
      <sharedItems/>
    </cacheField>
    <cacheField name="AccountID" numFmtId="0">
      <sharedItems count="964">
        <s v="CommBank app"/>
        <s v="COLES"/>
        <s v="ERMINGTON MEATS"/>
        <s v="BUPA HI"/>
        <s v="ALDI"/>
        <s v="AMAZON"/>
        <s v="APRA"/>
        <s v="HAAK EATERY PTY LTD"/>
        <s v="UBER"/>
        <s v="CPSU"/>
        <s v="International Transaction Fee"/>
        <s v="CHATGPT"/>
        <s v="TRANSPORTFORNSW OPAL"/>
        <s v="Transfer to"/>
        <s v="Salary"/>
        <s v="Google"/>
        <s v="PHOTOWN Alexandria"/>
        <s v="OPTUS BILLING"/>
        <s v="THE DAILY WIRE"/>
        <s v="eBay"/>
        <s v="Speedway"/>
        <s v="BUNNINGS"/>
        <s v="PHARMACY JUNCTION PARRAMA"/>
        <s v="RETAIL PRODIGY OPS PL PARRAMATTA NSWAU"/>
        <s v="MEDI CORP PTY LIMITED HABERFIELD"/>
        <s v="REEBELO"/>
        <s v="MCARE BENEFITS"/>
        <s v="food"/>
        <s v="Harveys Hot Sandwiches"/>
        <s v="OFFICEWORKS"/>
        <s v="Jaycar"/>
        <s v="ORIGIN ENERGY"/>
        <s v="Swing Factory"/>
        <s v="GUO MAMA"/>
        <s v="7-ELEVEN"/>
        <s v="LIQUORLAND"/>
        <s v="Transfer From"/>
        <s v="Non CBA ATM Withdrawal Fee"/>
        <s v="COTTON ON"/>
        <s v="FISHBOWL"/>
        <s v="Hydrolink"/>
        <s v="SP TAMUZ SAMPLES BROOKLYN"/>
        <s v="stan.com.au"/>
        <s v="Nextra on5"/>
        <s v="BEATPORT"/>
        <s v="THE GOOD GUYS"/>
        <s v="JOHNS QUALITY MEATS"/>
        <s v="MCDONALDS"/>
        <s v="UNIVERSAL IMPERIAL HOT"/>
        <s v="THE HUNTERS HILL"/>
        <s v="MANNYS"/>
        <s v="CENTRE COM"/>
        <s v="Ivy Level"/>
        <s v="Angel Hotel"/>
        <s v="LEVEL 5 HEALTH"/>
        <s v="THE GUITAR FACTORY"/>
        <s v="LINKT SYDNEY"/>
        <s v="MENZIES WORLD CARGO"/>
        <s v="CrownHotel Parramatta"/>
        <s v="VOLCANOS PARRAMATTA"/>
        <s v="Parramatta City Counci"/>
        <s v="WOOLWORTHS"/>
        <s v="MAD MEX PARRAMATTA PARRAMATTA NSW AU Card xx2869"/>
        <s v="REVERB B.V. AMSTERDAM"/>
        <s v="EG Group"/>
        <s v="THE BALMAIN HOTEL"/>
        <s v="CHEEKY BURGERS AND KEBABGNORTH"/>
        <s v="Direct Credit"/>
        <s v="LS Bobble Tea"/>
        <s v="ENTRADA PHARMACY"/>
        <s v="MOSHTIX PTY"/>
        <s v="SIM CENTRAL"/>
        <s v="JASIME AUBURN"/>
        <s v="DAN MURPHY'S"/>
        <s v="MIDJOURNEY INC."/>
        <s v="KOUZINA GRECO PARRAMATTA AU"/>
        <s v="HCF"/>
        <s v="Apple"/>
        <s v="INK EVENT PTY LTD"/>
        <s v="GM TAXIPAY"/>
        <s v="Pontoon Bar"/>
        <s v="NAZAR BALYOS LAZAR"/>
        <s v="Mikazuki Riverside"/>
        <s v="Toxteth Hotel"/>
        <s v="SUPER CHEAP AUTO"/>
        <s v="RJJ AND CO"/>
        <s v="PARRAMATTA WOOLPACK"/>
        <s v="BAR 7"/>
        <s v="BAR 1"/>
        <s v="Sackville Hotel"/>
        <s v="V/CELLARS"/>
        <s v="BP"/>
        <s v="UNITED RYDALMERE"/>
        <s v="NRMA"/>
        <s v="PEAK AUTOMOTIVE"/>
        <s v="SERVICE NSW"/>
        <s v="CRYSTAL PARRAMATTA"/>
        <s v="KEG AND BREW"/>
        <s v="CITYOFSYDNEY PARKING"/>
        <s v="COLLECTOR HOTEL"/>
        <s v="Syd Aprt Intnl Carp50"/>
        <s v="Royal Oak Hotel Parra"/>
        <s v="THE PLAYA VISTA LOS ANGELES"/>
        <s v="JFK"/>
        <s v="DOORDASH"/>
        <s v="WHEELHOUSE BUSHWICK BROOKLYN NY USA Card xx2869 USD 45.00 Value Date: 18/08/2024"/>
        <s v="UBER TRIP"/>
        <s v="CURB NYC TAXI QUEENS NY USA Card xx2869 USD 26.40 Value Date: 15/08/2024"/>
        <s v="TST*IL CORALLO New York NY USA Card xx2869 USD 52.34 Value Date: 16/08/2024"/>
        <s v="MTA*NYCT PAYGO"/>
        <s v="J. CREW RETAIL #756 NEW YORK NY USA Card xx2869 USD 221.79 Value Date: 16/08/2024"/>
        <s v="FAT BLACK PUSSYCAT"/>
        <s v="MTA*NYCT PAYGO NEW YORK NY USA Card xx2869 USD 2.10 Value Date: 16/08/2024"/>
        <s v="TST* ANALOGUE NEW YORK NY USA Card xx2869 USD 270.59 Value Date: 17/08/2024"/>
        <s v="Bumble"/>
        <s v="LA VERA PIZZA NEW YORK NY USA Card xx2869 USD 34.41 Value Date: 17/08/2024"/>
        <s v="SQ *FATHER KNOWS BEST Brooklyn NY USA Card xx2869 USD 41.89 Value Date: 18/08/2024"/>
        <s v="AT *MOMA NEW YORK NY USA Card xx2869 USD 60.00 Value Date: 18/08/2024"/>
        <s v="TST* RUSS &amp; DAUGHTERS NEW YORK NY USA Card xx2869 USD 37.29 Value Date: 15/08/2024"/>
        <s v="MRJ NEWSTAND NEW YORK NY USA Card xx2869 USD 4.00 Value Date: 15/08/2024"/>
        <s v="THE VILLAGE UNDERGROUN NEW YORK NY USA Card xx2869 USD 100.10 Value Date: 14/08/2024"/>
        <s v="PRINCE ST. PIZZA NEW YORK NY USA Card xx2869 USD 19.69 Value Date: 14/08/2024"/>
        <s v="Duane Reade 14410 Brooklyn NY USA Card xx2869 AUD 18.66 Value Date: 14/08/2024"/>
        <s v="BROADWAY MINI MARKET D BROOKLYN NY USA Card xx2869 USD 2.08 Value Date: 14/08/2024"/>
        <s v="PDS IRISH PUB NEW YORK NY USA Card xx2869 USD 42.82 Value Date: 15/08/2024"/>
        <s v="MAXIMUM DEALS BROOKLYN NY USA Card xx2869 USD 7.60 Value Date: 14/08/2024"/>
        <s v="SOREIKU VINYARDS BROOKLYN NY USA Card xx2869 USD 76.19 Value Date: 14/08/2024"/>
        <s v="NATURE MARKET"/>
        <s v="L'INDUSTRIE PIZZER"/>
        <s v="International ATM Withdrawal Fee"/>
        <s v="Wdl ATM"/>
        <s v="HUDSONNEWS ST1176 JAMAICA NY USA Card xx2869 AUD 8.64 Value Date: 12/08/2024"/>
        <s v="WORLD FAMOUS DELI BROOKLYN NY USA Card xx2869 USD 9.88 Value Date: 12/08/2024"/>
        <s v="TST*DO OR DIVE Brooklyn NY USA Card xx2869 USD 34.80 Value Date: 13/08/2024"/>
        <s v="SQ *JOE'S CORNER Fremont CA USA Card xx2869 USD 69.41 Value Date: 09/08/2024"/>
        <s v="EVERETT &amp; JONES BBQ IN OAKLAND CA USA Card xx2869 USD 238.03 Value Date: 10/08/2024"/>
        <s v="TRADER JOE S #071 FAIR OAKS CA USA Card xx2869 USD 79.32 Value Date: 08/08/2024"/>
        <s v="BEL AIR MART #511 CARMICHAEL CA USA Card xx2869 USD 38.84 Value Date: 07/08/2024"/>
        <s v="SHOGUN SUSHI - CARMICH CARMICHAEL CA USA Card xx2869 USD 53.37 Value Date: 07/08/2024"/>
        <s v="TM *PATTON OSWALT 800-653-8000 CA USA Card xx2869 USD 124.70 Value Date: 01/08/2024"/>
        <s v="MARINIS CANDIES ON THE SANTA CRUZ CA USA Card xx2869 USD 19.20 Value Date: 04/08/2024"/>
        <s v="KOKKARI SAN FRANCISCO CA USA Card xx2869 USD 160.11 Value Date: 03/08/2024"/>
        <s v="COBBS COMEDY CLUB SAN FRANCISCO CA USA Card xx2869 USD 70.39 Value Date: 03/08/2024"/>
        <s v="THE MYSTERY SPOT SANTA CRUZ CA USA Card xx2869 USD 16.00 Value Date: 04/08/2024"/>
        <s v="SQ *MISSION HILL COFFE Santa Cruz CA USA Card xx2869 USD 7.00 Value Date: 04/08/2024"/>
        <s v="TST* APRIL JEAN SAN FRANCISCO CA USA Card xx2869 USD 12.06 Value Date: 03/08/2024"/>
        <s v="TST* BRENDA'S FRENCH S SAN FRANCISCO CA USA Card xx2869 USD 108.24 Value Date: 03/08/2024"/>
        <s v="PIZZA MY HEART SANTA CRUZ CA USA Card xx2869 USD 46.32 Value Date: 04/08/2024"/>
        <s v="SAFEWAY"/>
        <s v="MVC PULSE SAN FRANCISC SAN FRANCISCO CA USA Card xx2869 USD 422.81 Value Date: 03/08/2024"/>
        <s v="BART-CLIPPER UNION CIT UNION CITY CA USA Card xx2869 USD 20.00 Value Date: 01/08/2024"/>
        <s v="BEST COMEDY TICKETS UTRECHT UT NLD Card xx2869 USD 62.61 Value Date: 01/08/2024"/>
        <s v="DELTA00622556915761 BRUSSELS BE BEL Card xx2869 USD 496.94 Value Date: 28/07/2024"/>
        <s v="SQ *CANDY BARREL Sacramento CA USA Card xx2869 USD 18.66 Value Date: 26/07/2024"/>
        <s v="TST* URBAN ROOTS BREWE SACRAMENTO CA USA Card xx2869 USD 88.94 Value Date: 26/07/2024"/>
        <s v="CSJ SMART METERS SAN JOSE CA USA Card xx2869 USD 2.00 Value Date: 27/07/2024"/>
        <s v="CKE*IKES SAN JOSE DT S SAN JOSE CA USA Card xx2869 USD 25.85 Value Date: 27/07/2024"/>
        <s v="CHEVRON"/>
        <s v="The Chefs' Olive Mix SACRAMENTO CA USA Card xx2869 USD 43.85 Value Date: 26/07/2024"/>
        <s v="SQ *OLD MISSION SAN JO Fremont CA USA Card xx2869 USD 10.00 Value Date: 27/07/2024"/>
        <s v="AIRBNB"/>
        <s v="THRIFTY #0072216 OAKLAND CA USA Card xx2869 USD 375.07 Value Date: 27/07/2024"/>
        <s v="AMZN Mktp US*RJ8SZ2TK1 Amzn.com/bill WA USA Card xx2869 AUD 67.37 Value Date: 20/07/2024"/>
        <s v="PIER C PHARMACY MASCOT"/>
        <s v="Feeld"/>
        <s v="STEAMGAMES.COM"/>
        <s v="BUPA TRAVEL INSURANCE"/>
        <s v="CATCH DOCKLANDS"/>
        <s v="TAM PH PTY LTD PARRAMATTA NSW AU Card xx2869"/>
        <s v="TARGET"/>
        <s v="Uniqlo Australia Pty Ltd Parramatta AU"/>
        <s v="PLINE PH"/>
        <s v="BERLINER BAKERY Sydney AU"/>
        <s v="L'AMUSE BOUCHE Sydney AU"/>
        <s v="GUILTLESS The Rocks AU"/>
        <s v="G I GOURMET NUTS The Rocks AU"/>
        <s v="THE ONLINE DRINKS Sydney AU"/>
        <s v="HARRIS FARM MARKETS"/>
        <s v="N LEONARDO PTY LTD PARRAMATTA AU"/>
        <s v="VICS MEAT MARKET"/>
        <s v="SYDNEY FISH MARKET"/>
        <s v="DidiChuxing DidiAU pen"/>
        <s v="Abercrombie Hotel Chippendale AU"/>
        <s v="Britannia Group Pty Lt Darlington AU"/>
        <s v="Patisserie La Gal"/>
        <s v="Karaoke World"/>
        <s v="Camy's Chargrill"/>
        <s v="APEX WEST RYDE"/>
        <s v="WW METRO"/>
        <s v="Little Greece Parra Parramatta AU"/>
        <s v="Dick's Hotel Balmain"/>
        <s v="IKEA"/>
        <s v="PAYPAL"/>
        <s v="ERGOX AUSTRALIA"/>
        <s v="SOUNDS EASY ARTARMON NS AUS (Platform Desk)"/>
        <s v="THE JERKY CO NSW "/>
        <s v="CHEMIST WAREHOUSE"/>
        <s v="GREEN FARM MEAT"/>
        <s v="COFFEE ON MILLER North Sydney AU"/>
        <s v="POST"/>
        <s v="CASH CONVERTERS"/>
        <s v="EDITOR VST HANNOVER BE"/>
        <s v="CONTAINER NORTH PARR NTH PARRAMATTNSWAU"/>
        <s v="CITY OF PARRAMATTA"/>
        <s v="Albion Hotel Parramatta AU"/>
        <s v="Eternal Health Group"/>
        <s v="BEFORE YOU*"/>
        <s v="Telstra"/>
        <s v="GREAT NORTHERN OPERA CHATSWOOD"/>
        <s v="CHILLNGRILLINDIANCUISI"/>
        <s v="REBEL"/>
        <s v="we move you"/>
        <s v="AMPOL"/>
        <s v="CHISWICK CELLARS"/>
        <s v="Microsoft*Microsoft"/>
        <s v="IGA"/>
        <s v="ULTRA TUNE DRUMMOYNE"/>
        <s v="Wdl Branch"/>
        <s v="OXFORD HOTEL"/>
        <s v="Belong"/>
        <s v="Subway"/>
        <s v="Bowan Islan"/>
        <s v="DESTROS PHARMACY"/>
        <s v="Transfer to CBA A/c NetBank Internet"/>
        <s v="BURWOOD COUNCIL"/>
        <s v="Messina"/>
        <s v="City Recital Hall"/>
        <s v="John dahdah"/>
        <s v="ADOBE"/>
        <s v="LIVESIGN"/>
        <s v="Transfer To Universal Real Estate"/>
        <s v="GYG"/>
        <s v="Nike"/>
        <s v="THE GOVERNOR HOTEL"/>
        <s v="Coogee Ground"/>
        <s v="INNER WEST COUNCIL PETERSHAM "/>
        <s v="Helm Bar"/>
        <s v="GM CABS"/>
        <s v="Hotel CBD Sydney AU"/>
        <s v="IMAX Sydney SYDNEY"/>
        <s v="Credit Interest"/>
        <s v="LITTLE JACK HORNER AUSTRALIA"/>
        <s v="SUSHI OTAKU"/>
        <s v="BWS"/>
        <s v="NEWTOWN HOTEL"/>
        <s v="COFFEE EMPIRE"/>
        <s v="QANTAS"/>
        <s v="NRMA LTD SYDNEY OLYMPI"/>
        <s v="Dymocks"/>
        <s v="Debit Excess Interest"/>
        <s v="AustCancerResear"/>
        <s v="Stop ez Drummoyne"/>
        <s v="KOJIAOKI HOLDINGS"/>
        <s v="Etsy.com"/>
        <s v="JACKS HAIRDRESSING"/>
        <s v="STAGE.PELUSOMICROPHONE"/>
        <s v="UNIVERSAL AUDIO"/>
        <s v="DEPOSIT CASH"/>
        <s v="Unpaid NetBank Payment Fee"/>
        <s v="Panda Birkenhead"/>
        <s v="EAST SUSHI PTY LTD"/>
        <s v="Transfer To Jonathan K Oliver CommBank App rent"/>
        <s v="PALACE CINEMAS"/>
        <s v="Overdraw Fee For exceeding available funds on"/>
        <s v="BIG W"/>
        <s v="Entertainment and Rec"/>
        <s v="STATEWIDE APPLIANCE"/>
        <s v="PA RYDE ISE"/>
        <s v="Hestia &amp; Co"/>
        <s v="KMART"/>
        <s v="RYANS BAR"/>
        <s v="Hilton Sydney"/>
        <s v="13cabs"/>
        <s v="SMP*The Chefs Wife Bi Burwood"/>
        <s v="Orient Hotel"/>
        <s v="Refund from CBA"/>
        <s v="PAPERBOY CONCORD CAFE"/>
        <s v="BAR TOSCA"/>
        <s v="Amir Baulkham Hill"/>
        <s v="OAKS CYPRESS LAKES"/>
        <s v="ZLR*Bimbadgen"/>
        <s v="PVH HERIT BRANDS"/>
        <s v="PETER JACKSON"/>
        <s v="THE WHITE BARN POKO POKOLBIN AU"/>
        <s v="NEWPORTO WYONG JILLIBY AU"/>
        <s v="TRANSPORTFORNSW TAP"/>
        <s v="MLEKO PTY LTD"/>
        <s v="BYCFURNITURESTRADI"/>
        <s v="Fast Transfer From Megan Cartwright"/>
        <s v="SMP*Ralph Lauren 7101 Drummoyne"/>
        <s v="LOUIE Coogee AU"/>
        <s v="Deli Fresh Cafe Homebush"/>
        <s v="GLUE"/>
        <s v="DRUMMOYNE CAMERA HOUSE"/>
        <s v="Bank Hotel"/>
        <s v="SDRO INFRNGMNT PAYME"/>
        <s v="Enmore Theatre Pty Lt"/>
        <s v="SEOG KYU CHOI"/>
        <s v="SCORPTEC COMPUTERS"/>
        <s v="UNIVERSAL HOTELS GRO"/>
        <s v="OXFORD TOBACCONIST"/>
        <s v="ANKARA Darlinghurst"/>
        <s v="Louis CK"/>
        <s v="HOTEL GREENWOOD PTY LI"/>
        <s v="CHARGRILL CHARLIES"/>
        <s v="The Sporting Globe"/>
        <s v="Woolloomooloo Bay"/>
        <s v="Sussudio Sydney"/>
        <s v="Coogee Bay Hotel"/>
        <s v="EB *BNC pres.Kasper Ko"/>
        <s v="Ivy Pool Club"/>
        <s v="Peach Audio"/>
        <s v="Eat at Robs"/>
        <s v="The Alexandria Hotel"/>
        <s v="BrewDog South"/>
        <s v="B and C Pharmacy"/>
        <s v="Balmain The Char"/>
        <s v="Taste Baguette"/>
        <s v="Lalals.com"/>
        <s v="Dumplings &amp; Momo House"/>
        <s v="THE LOOKOUT @ ECHO POI"/>
        <s v="NATIVE INSTRUMENTS"/>
        <s v="Leura Gourmet"/>
        <s v="Rfnd O'Seas Transaction"/>
        <s v="ADJUSTMENT TO ACCOUNT"/>
        <s v="ARASH NIKHOUSH"/>
        <s v="Cardless Cash for collection stuff"/>
        <s v="BANDCAMP"/>
        <s v="Arturia Montbonnot"/>
        <s v="Patreon"/>
        <s v="Revolut**8052*"/>
        <s v="RISE BAKEHOUSE"/>
        <s v="NIKAN RESTAURANT"/>
        <s v="SILVER SPOON BISTRO"/>
        <s v="HUNTERS HILL COUNCIL"/>
        <s v="DECKHOUSE CAFE"/>
        <s v="TIMEZONE CHATSWOOD"/>
        <s v="MALONEYS GROCER PTY"/>
        <s v="CAFFE CHERRY BEANS-B"/>
        <s v="Moretti Ristorante"/>
        <s v="nick irving CommBank App ns10"/>
        <s v="REVERB.COM LLC"/>
        <s v="SQ *TENTACIONES Surry Hills"/>
        <s v="Menulog"/>
        <s v="JAKEREEDMUSIC.COM"/>
        <s v="WAVES"/>
        <s v="Microsoft*Subscription"/>
        <s v="JB HI FI"/>
        <s v="SYDMOSA PTY LTD"/>
        <s v="SQ *MOOM LIVING Pyrmont"/>
        <s v="RAYVEN PTY LTD"/>
        <s v="ROSE TURKISH GOZLEME"/>
        <s v="SoundCloud"/>
        <s v="Andiamo Tr Abbotsford"/>
        <s v="Torotoro Ramen Bar"/>
        <s v="THE GREENS NORTH SYDNEY"/>
        <s v="ALH VENUES 8733"/>
        <s v="WWW.ALIEXPRESS.COM"/>
        <s v="MV&amp;CO THE VIETASTEZ"/>
        <s v="JOANNE WILLIAMS PTY LIMIT"/>
        <s v="Transfer To Jonathan K Oliver CommBank App internet"/>
        <s v="THE VINTAGE RECORD ANNANDALE"/>
        <s v="SMP*Fat Fish Annandal"/>
        <s v="DISTROKID.COM"/>
        <s v="ICC Sydney"/>
        <s v="HARRY JUICE &amp; CO PTY L"/>
        <s v="NOVOTEL DARLING SQR"/>
        <s v="Audible"/>
        <s v="CEX PTY LTD"/>
        <s v="Naser Pty Limited"/>
        <s v="OEH Kirrawee"/>
        <s v="Da Vinci's Restaurant"/>
        <s v="Fair Trade at The Summer Hill"/>
        <s v="NETFLIX"/>
        <s v="ARC AT UNSW LTD KENSINGTON"/>
        <s v="HUGO BOSS Australia"/>
        <s v="Academy Brand"/>
        <s v="Gladesville Sporties"/>
        <s v="LALAL.AI"/>
        <s v="iZotope.com"/>
        <s v="Hayden Theatres"/>
        <s v="PRYDE MEATS"/>
        <s v="Mega Limited"/>
        <s v="UNCLE TETSU"/>
        <s v="Direct Credit 012721 ATO"/>
        <s v="WWRD AUSTRALIA PTY LTD"/>
        <s v="Samsung Electronics AU"/>
        <s v="Octo Car"/>
        <s v="BELFIELD MUSIC PTY LTD"/>
        <s v="TICKETEK PTY LTD WEB"/>
        <s v="JASMIN 1"/>
        <s v="Roland Jupiter 80"/>
        <s v="AGR SERVICES"/>
        <s v="MASSAGE LINK"/>
        <s v="Happyfield"/>
        <s v="Crystal Carwash Cafe"/>
        <s v="Your Choice Pharmacy"/>
        <s v="David Gojak's Meats"/>
        <s v="BLACKWALL CAFE CHISWICK"/>
        <s v="BRAZA CHURRASCARIA PTY"/>
        <s v="Syd Aprt Dom Carp54"/>
        <s v="WWW.PACIFICCONCE* ME&amp;U"/>
        <s v="Hokka Hokka"/>
        <s v="Winghaus Gateway"/>
        <s v="Return No account or incorrect account"/>
        <s v="Surly's"/>
        <s v="Picton Karting Track"/>
        <s v="Liquor on Oxford"/>
        <s v="CCWEB SDRO"/>
        <s v="ALH VENUES 8758 MANLY"/>
        <s v="Opera Bar Sydney"/>
        <s v="Arezzo Jewellery"/>
        <s v="Mr Cutz Top Ryde"/>
        <s v="SMP*Dominos Pizza Drum Drummoyne02"/>
        <s v="Priceland"/>
        <s v="Covau"/>
        <s v="Umart Online Milton"/>
        <s v="Bahar Spring"/>
        <s v="DutchVinyl"/>
        <s v="FARSI RESTAURANT"/>
        <s v="NRMA HUT"/>
        <s v="Elizabeth Street"/>
        <s v="ROZELLE AUTOMOTIVE"/>
        <s v="TENKOMORI"/>
        <s v="Sutra Sunrise"/>
        <s v="BRIDGE HOTEL"/>
        <s v="EMPANADAS FACTORY ROZELLE"/>
        <s v="Da Jian Chen"/>
        <s v="CHEMIST WAREHOUSE BIRK"/>
        <s v="MEANDU"/>
        <s v="LEICHHARDT MUNICIPAL"/>
        <s v="Jaipur Sweets"/>
        <s v="PASTIZZI CAFE PL"/>
        <s v="Telecom"/>
        <s v="General&amp;Co Lobby Bar"/>
        <s v="Winona Wine"/>
        <s v="Label Brookvale"/>
        <s v="Jimmy's Falafel"/>
        <s v="SUMO"/>
        <s v="One Taxi Belmore"/>
        <s v="3 Harps"/>
        <s v="StroopBros"/>
        <s v="Nomad Brewing Co."/>
        <s v="Emmy Gozleme"/>
        <s v="Big Tony Canoli"/>
        <s v="RT &amp; SD"/>
        <s v="ANDERSEN'S OF DENMAR"/>
        <s v="SURRYHILLS NEWSAGENT"/>
        <s v="GYG Top Ryde"/>
        <s v="Castle Hill HS"/>
        <s v="Divvy"/>
        <s v="Transfer To Jonathan K Oliver NetBank Rent"/>
        <s v="Hungry Jacks Ryde"/>
        <s v="Event Cinemas"/>
        <s v="OXFORD WORLD SQUARE"/>
        <s v="The Newport"/>
        <s v="THE LITTLE SNAIL RES"/>
        <s v="DOYTAO DRUMMOYNE PTY"/>
        <s v="Marbrand"/>
        <s v="Surry Hills Fine"/>
        <s v="El Loco"/>
        <s v="B&amp;W Cabs"/>
        <s v="Love Crepe Russell Lea"/>
        <s v="Allegria FLR &amp; HMWRE"/>
        <s v="Pharmacy Management"/>
        <s v="ELIZABETHS BOOKSHOP"/>
        <s v="Top Fruit and Sons"/>
        <s v="ROLLING CAFE AUSTRAL DRUMMOYNE"/>
        <s v="Emilio's Specialty Bu"/>
        <s v="Europe Grill Resta"/>
        <s v="ORGNL MNTZM NOOSA"/>
        <s v="LIVE TAXI AUSTRALIA"/>
        <s v="mount coolum Buderim"/>
        <s v="The Coffee Club Coolum"/>
        <s v="Sushi Sushi"/>
        <s v="Kanu Kapers"/>
        <s v="Monthly Go Plus plan Berlin DE DEU"/>
        <s v="Laguna Jacks"/>
        <s v="Sun Coast"/>
        <s v="DIVAN PERSIAN REST"/>
        <s v="CootharaBAR"/>
        <s v="Coolum Thai Spice"/>
        <s v="Copenhagen Ice Cr"/>
        <s v="SEASONS SUPERMARKETS 4 NOOSA HEADS"/>
        <s v="MR MANCINO Coolum Beach AU"/>
        <s v="LIVELIFE PHARMACY COOL COOLUM BEACH"/>
        <s v="GHANDA COOLUM"/>
        <s v="AIRPORT RETAIL ENTERPR MASCOT AU"/>
        <s v="TCSC PTY LTD HAYMARKET"/>
        <s v="FISH MARKET CAFE PYRMONT"/>
        <s v="SYDNEY FISH MARKET P PYRMONT"/>
        <s v="OIDEN 11 PTY LTD SYDNEY"/>
        <s v="The Erko Hotel Erskineville"/>
        <s v="CR MACQUARIE NORTH RYDE"/>
        <s v="JETSTAR"/>
        <s v="LINDT AND SPRUNGLI"/>
        <s v="JD SPORTS FASHION"/>
        <s v="H&amp;M Sydney"/>
        <s v="GOU SUSHI SURRY HILLS AU"/>
        <s v="HARE G PTY LTD SURRY HILLS"/>
        <s v="CHARGRILL MOSMAN Mosman NS AUS Card"/>
        <s v="TURRAMURRA SUPERMARK TURRAMURRA"/>
        <s v="The Party People"/>
        <s v="Hurricane's"/>
        <s v="Coinspot"/>
        <s v="The General &amp; Co. Lilyfield"/>
        <s v="MANTA WHARF"/>
        <s v="TOP FRUIT MARKET"/>
        <s v="SUBMITHUB HOLDINGS LLC"/>
        <s v="FiverrEU"/>
        <s v="PLINEPH BIRKENHEADPOI DRUMMOYNE NSWAU"/>
        <s v="2CO.COM*- 173639085"/>
        <s v="KADMUS"/>
        <s v="IL POLLO FIVE DOCK"/>
        <s v="DOMINOS DRUMMOYNE"/>
        <s v="MECCA COFFEE ROASTERS"/>
        <s v="BED BATH N TABLE"/>
        <s v="SHILA KITCHEN"/>
        <s v="ENERGY LOCALS"/>
        <s v="PASTICCERIA PAPA"/>
        <s v="INTERNATIONAL PARKING"/>
        <s v="The Oaks Hotel Neutral Bay"/>
        <s v="EASTWOOD NEW YEN YEN EASTWOOD"/>
        <s v="SETTLERS ARMS INN ST ALBANS"/>
        <s v="POLITIX BIRKIN HEAD"/>
        <s v="MINSKYS HOTEL CREMORNE"/>
        <s v="ENOTECA"/>
        <s v="CAMINETTO ITALIAN RE THE ROCKS"/>
        <s v="UNIVERSAL NEWTOWN"/>
        <s v="SQ *ANYTHING BUT HUMBL"/>
        <s v="NYMP PTY LTD"/>
        <s v="PAPADINOS KATOOMBA"/>
        <s v="accomodation"/>
        <s v="SMP*Victory Cafe Blackheath"/>
        <s v="NEW IVANHOE HOTEL Blackheath AU"/>
        <s v="Bottle Shop Blackheath AU"/>
        <s v="KATOOMBA WINES"/>
        <s v="Cardless Cash return petrol"/>
        <s v="Cardless Cash for collection petrol"/>
        <s v="Cardless Cash for collection shopping"/>
        <s v="AGL"/>
        <s v="UTS HABERFIELD CLUB"/>
        <s v="PLUGINFOX PORTLAND"/>
        <s v="CONQUEST PTY LTD DRUMMOYNE"/>
        <s v="WWW.DEVICEDEAL.COM.AU"/>
        <s v="JIMS COMPUTER SERVIC"/>
        <s v="THE REJECT SHOP"/>
        <s v="SIENELLA PTY LTD"/>
        <s v="FS *Akai Pro"/>
        <s v="ROLAND TECHNICAL SER"/>
        <s v="D&amp;B Drummoyne"/>
        <s v="Trattoria Casa Chiswick"/>
        <s v="House Deposit"/>
        <s v="UME Restaurant Surry Hills"/>
        <s v="CARRINGTON 565 PTY L SURRY HILLS"/>
        <s v="NSW RENTAL BOND"/>
        <s v="TAXI COMBINED"/>
        <s v="Internet share"/>
        <s v="BeYou"/>
        <s v="SPOTTO NSW"/>
        <s v="SPEEDW AY ROSEVILLE"/>
        <s v="STRIKE AUSTRALIA PTY"/>
        <s v="SHWARMAMA PTY LTD"/>
        <s v="NBC-PAY &amp; DISPLAY PARK"/>
        <s v="BETTYS BURGERS"/>
        <s v="Barangaroo House"/>
        <s v="H Roozbehani Gift"/>
        <s v="Grunt"/>
        <s v="Louis Wayment"/>
        <s v="CITY CONVENIENCE STORE HAYMARKET"/>
        <s v="BAR BROADWAY"/>
        <s v="Rent"/>
        <s v="Kyo-To Spice Alley Chippendale"/>
        <s v="reg required"/>
        <s v="ACTIVE8 POOL TABLES KIRRAWEE"/>
        <s v="BVL PARTNERSHIP PL BELLINGEN"/>
        <s v="UNITED DORRIGO"/>
        <s v="RAMTEAN"/>
        <s v="Hilltop at the Lodge Bellingen"/>
        <s v="EBOR PUB PL EBOR"/>
        <s v="CALTEX"/>
        <s v="MANGO COCO THAI DESSER"/>
        <s v="Dick Smith"/>
        <s v="geoff"/>
        <s v="MASOUMEH GHOLAMSHAHI"/>
        <s v="ETORO"/>
        <s v="OZFOREX LIMITED HELLOSTAKE.COM"/>
        <s v="CENTENNIAL PLAZA"/>
        <s v="SQ *SURRY HILLS DUMPLI"/>
        <s v="ESEL Pty Ltd"/>
        <s v="Woolwich Pier"/>
        <s v="Unpaid Payment Fee"/>
        <s v="CITY MART 525 PTY LT SYDNEY"/>
        <s v="SQ *THE TASTE OF BEES Drummoyne"/>
        <s v="ME-AND-U"/>
        <s v="Estate Berrima"/>
        <s v="Royal Hotel Bowral"/>
        <s v="SOUTHERN HT"/>
        <s v="CENTENNIAL VINEYARDS"/>
        <s v="LEGION CAB SY 131451"/>
        <s v="HOLEY MOLEY"/>
        <s v="Withdrawal"/>
        <s v="ROZELLE PHARMACY PTY"/>
        <s v="Potts Point Hotel"/>
        <s v="BLOOMS THE CHEMIST LEICHHARDT"/>
        <s v="OVOLO WOOLOOMOOLOO"/>
        <s v="THE LORD NELSON BREW"/>
        <s v="GLENMORE ROOFTOP HOT THE ROCK"/>
        <s v="Thendro Pty Ltd"/>
        <s v="PRIME QUALITY MEATS"/>
        <s v="CATCH BENTLEIGH EAS VI AUS Card"/>
        <s v="CLRK RUBER HABERFLD HABERFIELD"/>
        <s v="ST VIN DE PAUL SOC NSW"/>
        <s v="OXFORD OPERATIONS PTY"/>
        <s v="THE MALAYA RESTAURANT"/>
        <s v="ExpressVPN"/>
        <s v="STEVES SELECT MEATS"/>
        <s v="CRAZYDOMAINSHOSTING"/>
        <s v="CUPITT ULLADULLA NS AUS Card"/>
        <s v="INSPORT"/>
        <s v="AUTHENTICS FACTORY"/>
        <s v="TILLY &amp; MO"/>
        <s v="LAKE CONJOLA LIQUOR"/>
        <s v="MYRA NOOR PTY LTD"/>
        <s v="METRO PETROLEUM"/>
        <s v="Hungry Jacks"/>
        <s v="RALPH LAUREN AUSTRA"/>
        <s v="NELSON HOTEL"/>
        <s v="Mr Louis Robert Reynolds"/>
        <s v="BART JR"/>
        <s v="FISHHEADS AT BYRON"/>
        <s v="THE HIDEOUT BYRON BAY"/>
        <s v="OZAKMAN BROTHERS PL"/>
        <s v="Northern Bar"/>
        <s v="KIERAN ROSS KROHN Dinner"/>
        <s v="CELLAR BYRON PLAZA BYRON BAY"/>
        <s v="YAMBA YHA BACKPACKER"/>
        <s v="BYRON BAY HOT BREAD"/>
        <s v="KFC TAREE SERVICE CE"/>
        <s v="CENTRE COM SUNSHINE VI"/>
        <s v="YAMBA BOWLING AND RECR"/>
        <s v="SLICE PIZZERIA"/>
        <s v="YAMBA TAVERN PTY LTD"/>
        <s v="THE GUITAR FACTORY A"/>
        <s v="BOURBON OPERATIONS"/>
        <s v="iou"/>
        <s v="BAHAR PERSIAN FOOD RYDE"/>
        <s v="Micky's Cafe"/>
        <s v="STEPHEN DONOHOE CREDIT TO ACCOUNT - Mickys Café"/>
        <s v="LIV*THE CHIPPO HOTEL"/>
        <s v="Milkwood Bakery"/>
        <s v="Ms Katrina T Duncan"/>
        <s v="GREAT SOUTHERN HOTEL"/>
        <s v="Big Music Australia"/>
        <s v="DHL Express"/>
        <s v="SQUARP INSTRUMENTS PARIS FR"/>
        <s v="Elektron Machinedrum - PAYPAL"/>
        <s v="Homayoun"/>
        <s v="SP * SOFTWARE.ORG.AU - SPRING FARM"/>
        <s v="ADVANCE OPEN TECHNOL BROADWAY"/>
        <s v="MY CHOICE SOFTWARE LLC"/>
        <s v="SOFTWARE MART AUS"/>
        <s v="ASH ADAMS SURRY HILL"/>
        <s v="HudsonMeatsDrummoyne"/>
        <s v="GOLDEN PIDE SURRY HILLS"/>
        <s v="SQ *THE HORDERN CON1 Moore Park"/>
        <s v="PLAYBILL MERCHNDS"/>
        <s v="ARCADIA LIQUORS REDFERN"/>
        <s v="INGOGO"/>
        <s v="TASTE OF SAIGON"/>
        <s v="GALLAGHERS GBS PTY LTD"/>
        <s v="THE TUDOR REDFERN"/>
        <s v="ART GALLERY OF NSW SYDNEY"/>
        <s v="WILLIAM HOTEL EAST SYDNEY"/>
        <s v="WW TOWN HALL"/>
        <s v="Tokyo Bird"/>
        <s v="SQ *BLOC145"/>
        <s v="SPAR REDFERN"/>
        <s v="ADDLY PTY LTD"/>
        <s v="LAKIN J Josie"/>
        <s v="Goros"/>
        <s v="AURORA HOTEL"/>
        <s v="TASTE BAKERY &amp; RESTAU"/>
        <s v="REDFERN AND CO OPERATI"/>
        <s v="Newslink"/>
        <s v="(T) DE Reject Return Fee"/>
        <s v="RANA MEHDI HASSAN"/>
        <s v="BMSH PTY"/>
        <s v="media spend"/>
        <s v="SUNPAC LTD"/>
        <s v="POPPY'S ON THE LAGOO"/>
        <s v="Heinemann Duty Free Mascot"/>
        <s v="TK MAXX TOP RYDE"/>
        <s v="GUZMAN Y GOMEZ"/>
        <s v="BOOST JUICE PTY LTD"/>
        <s v="AIRPORT RETAIL ENTERPR"/>
        <s v="HAPS HOTELS"/>
        <s v="EB GAMES DRUMMOYNE"/>
        <s v="TAROCASH PTY LTD"/>
        <s v="OXFORD SHOP PTY LTD"/>
        <s v="boat"/>
        <s v="HAIR CO 96 PTY LTD"/>
        <s v="BALMAIN HTL"/>
        <s v="HYPEDC"/>
        <s v="CONNOR CLOTHING PTY"/>
        <s v="WOLLONGONG NIGHTSPOT"/>
        <s v="PLINE PH TOWN HALL"/>
        <s v="SYDNEY CONSTELLATION C"/>
        <s v="MILITARY ROAD 23 PTY L"/>
        <s v="THE DRUMM BRKNHD HTL"/>
        <s v="DHS - Lianna Going Away Gift"/>
        <s v="mum present"/>
        <s v="Domain Registration To Grunt"/>
        <s v="BIRKENHEAD GRILL DRUMMOYNE NS"/>
        <s v="Sneaky Burger"/>
        <s v="KEG  BREW HOTEL"/>
        <s v="IYASHI REMEDIES"/>
        <s v="SMP*Ze Pickle Surry Hills"/>
        <s v="CDKEYS.COM"/>
        <s v="Shift Eatery"/>
        <s v="UNIVERSAL HOTELS DARLINGHURST"/>
        <s v="The Forresters"/>
        <s v="Cash Dep"/>
        <s v="Soheyla"/>
        <s v="Vanuatu Hotel Payment to mum"/>
        <s v="SQUARESPACE INC."/>
        <s v="UNIVERSAL CIVIC PTY"/>
        <s v="Gozleme King Darling"/>
        <s v="CITY MART RANDWICK SYDNEY"/>
        <s v="Cafe Del Mar"/>
        <s v="SPORTS 24 7 THE STAR"/>
        <s v="RYDGES SYDNEY CENTRAL"/>
        <s v="GORO'S"/>
        <s v="THE ORCHARD TAVERN"/>
        <s v="SMP*Makanai Chatwsood"/>
        <s v="PLAYTIME CHATSWOOD"/>
        <s v="INDESIGN"/>
        <s v="850 RMS NCC1 NEWCASTLE"/>
        <s v="Untied"/>
        <s v="Store Dj Invoice"/>
        <s v="GFM"/>
        <s v="FITNESS PLAY"/>
        <s v="LIV*THE WILD ROVER"/>
        <s v="A BASAULA AND S SHAHI"/>
        <s v="MYER"/>
        <s v="LAS VEGAS GAMING INT"/>
        <s v="Elec Bill"/>
        <s v="RIBS AND BURGERS DRUMM"/>
        <s v="OntarioLtd"/>
        <s v="ZEUS"/>
        <s v="KOUKLA GROUP PTY LTD"/>
        <s v="sunday lunch order"/>
        <s v="SALT MEATS CHEESE DRUMMOYNE"/>
        <s v="BIG D S DINER"/>
        <s v="Town Hall Hotel"/>
        <s v="The Strand Hotel Darlinghurst"/>
        <s v="Louisa"/>
        <s v="A HANKIN COMPANY WICKHAM"/>
        <s v="77 CONVENIENCE"/>
        <s v="STANLEYS BAR PTY LTD"/>
        <s v="East Village Sydney"/>
        <s v="SILVER SERVIC"/>
        <s v="DUMPLING HUT"/>
        <s v="maccas"/>
        <s v="UNI OF SYDNEY UNIO"/>
        <s v="POWERDIRECT PTY LTD"/>
        <s v="MELANIE AND ANNIE PT"/>
        <s v="UNIVERSAL HOTELS PTY"/>
        <s v="Goodbar"/>
        <s v="SKYBUS COACH SERVICE"/>
        <s v="NJ GROUP PTY LTD"/>
        <s v="BKNG SNSTN BKRY CF DRUMMOYNE"/>
        <s v="Refund of Disputes Fees and or interest"/>
        <s v="TWG AT JOAN SUTHERLAND"/>
        <s v="MENYA CHINATOWN HAYMARKET"/>
        <s v="Annandale Hotel"/>
        <s v="TFNSW RAIL"/>
        <s v="Opera Bar"/>
        <s v="SUTTONS MOTORS ARNCL"/>
        <s v="HFM BORONIA PARK"/>
        <s v="RMSTOLLNOTICEPH13186"/>
        <s v="GREAT LIGHTING AUSTR LEICHHARDT"/>
        <s v="BOND CLEANING"/>
        <s v="ref340 96a Audley"/>
        <s v="PETERSHAM PHARMACY"/>
        <s v="DMD FUELS PTY LTD"/>
        <s v="CIVIC HOTEL"/>
        <s v="TAXI4UR SERVICE PTYLTD"/>
        <s v="MED CAFE"/>
        <s v="KENNARDS SELF STORAGE"/>
        <s v="CULTIVATE"/>
        <s v="THE FAT CHOOK LEICHHAR"/>
        <s v="MR CRACKLES"/>
        <s v="The Winery"/>
        <s v="H&amp;M AUSTRALIA"/>
        <s v="JUST CUTS BROADWAY"/>
        <s v="JOJOS VENTURE"/>
        <s v="CAFE SYDNEY"/>
        <s v="SCORPION TECH"/>
        <s v="PHOTO SHOP STUDIO"/>
        <s v="LEICHHARDT DSCNT CHE"/>
        <s v="MADISON HOTEL"/>
        <s v="PLINE PH LEICHHARDT"/>
        <s v="ONE TONG PTY LTD"/>
        <s v="EVENING STAR OPERATI"/>
        <s v="LEICHHARDT CHEMIST"/>
        <s v="WARWICK L EVERINGHAM"/>
        <s v="AUTO TCH CR &amp; TRCK R PETERSHAM"/>
        <s v="SYDNEY OPERA HOUSE TRU"/>
        <s v="Sushi Hub Balmain"/>
        <s v="REVENUE NSWFINE"/>
        <s v="Netbank to Complete Access"/>
        <s v="ACT HOLDINGS PTY LTD"/>
        <s v="White Cockatoo Hotel"/>
        <s v="Republic Bar"/>
        <s v="SOFTWARE PRO WORLD LONDON LN"/>
        <s v="RESIDENT ADVISOR TICKE"/>
        <s v="H Roozbehani Present from Dad"/>
        <s v="NEIGHBORHOOD MASSAGE"/>
        <s v="TRANSPORT FOR NSW"/>
        <s v="STRAWBERY HILLS HOTEL"/>
        <s v="KABUTO PTY LTD"/>
        <s v="petrol"/>
        <s v="Clock Hotel Surry Hills"/>
        <s v="Clock Hotel"/>
        <s v="P AND J WADE CHEMISTS LANE"/>
        <s v="KEG &amp; BREW HOTEL"/>
        <s v="NV PETERS INMNT PL BROADWAY"/>
        <s v="CHARLIES DELI"/>
        <s v="NORTONS ON NORTON"/>
        <s v="The Grounds Alexandria"/>
        <s v="THE GRUMPY BAKER NEW"/>
        <s v="PETERSHAM LIQUOR MART"/>
        <s v="HAPPY KITCHEN 4 U"/>
        <s v="Different Drummer Glebe"/>
        <s v="RSL CABS"/>
        <s v="AGINCOURT HOTEL"/>
        <s v="RIVERSDALE PUB CO NO"/>
        <s v="SONY AUSTRALIA"/>
        <s v="YULIA ANGESTI &amp; MICH"/>
        <s v="NORTON PLAZA"/>
        <s v="YOUI - PREMIUM SIPPY DOWNS"/>
        <s v="Sando Bar"/>
        <s v="NEW MILLENNIUM 2 PTY L"/>
        <s v="GRILLD LEICHHARDT LEICHHARDT"/>
        <s v="OUTPUT INC"/>
        <s v="NEXTRA NORTON PLAZA"/>
        <s v="present"/>
        <s v="FOSAUX PTY LTD SURRY HILLS"/>
        <s v="OXFORD TAVERN"/>
        <s v="Redfern Surf Club"/>
        <s v="DELISH TRAN CAFE"/>
        <s v="APPLE STORE"/>
        <s v="JEEVES AU PTY LTD LEICHHARDT"/>
        <s v="MLEKO BAR ESSPRESSO"/>
        <s v="IN T MD FOR THAI S H SURRY HILLS"/>
        <s v="UNI OF SYD UNION"/>
        <s v="UNI OF SYDNEY UNIN"/>
        <s v="The Lansdowne Hotel"/>
        <s v="Frankies Pizza Sydney"/>
        <s v="Spotify"/>
        <s v="CIGNALL PETERSHAM"/>
        <s v="ERSKO PTY LIMITED"/>
        <s v="White Horse Hotel"/>
        <s v="Return -THE-ICONIC-"/>
        <s v="ERCIYES TURKISH R PL"/>
        <s v="DRI iZotope"/>
        <s v="-THE-ICONIC-*787000000"/>
        <s v="DOS SENORITAS"/>
        <s v="KING ST BREWHOUSE PT"/>
        <s v="BRISTOL ARMS OPERATING"/>
        <s v="BLACK AND BRONZE"/>
        <s v="ROYAL FLYING DOC SES"/>
        <s v="6 MARY STREET"/>
        <s v="RSJG PTY LTD"/>
        <s v="BURDEKIN HOTEL GROUP P"/>
        <s v="LA SUERTE PTY LTD"/>
        <s v="EARLS JUKE JOINT"/>
        <s v="EXPEC PTY LIMITED"/>
        <s v="BAIA THE ITALIAN SYDNEY NS"/>
        <s v="MALONEYS HOTEL"/>
        <s v="LEICHHARDT ESPRES"/>
        <s v="WILSON PARKING AUSTRAL"/>
        <s v="GOSPELMUSICIANS"/>
        <s v="D LISH"/>
        <s v="LITTLE ISTANBUL GREENWAY AC"/>
        <s v="CANBERRA SOUTHERN"/>
        <s v="LADY HAMPSHIRE"/>
        <s v="RETRO A GO GO"/>
        <s v="MEMET  ARSLAN MANLY"/>
        <s v="DEE WHY RSL CLUB LTD DEE WHY"/>
        <s v="Camperdown Cellars"/>
        <s v="BING LEE"/>
        <s v="LINKT TN PAYT"/>
        <s v="KAZROG.COM"/>
        <s v="CARGO BAR"/>
        <s v="Vic On The Park Marrickville"/>
        <s v="CROWN ST GROCER"/>
        <s v="STAR BAR &amp; GRILL BISTR SYDNEY"/>
        <s v="3 Wise Monkeys"/>
        <s v="TGIFriday's Macquarie"/>
        <s v="WCC CONCOURSE CARPARK"/>
        <s v="Account Fee"/>
        <s v="PatchCable (Tasmania)"/>
        <s v="Absorb XHD"/>
        <s v="DREAMTONE" u="1"/>
        <s v="TONG LI SUPERMARKET" u="1"/>
        <s v="Sydney Eye Hospital" u="1"/>
        <s v="VERANDAH BAR" u="1"/>
        <s v="ATO PAYMENT" u="1"/>
        <s v="LS John Belvedere Eate" u="1"/>
        <s v="Tickets*Networking" u="1"/>
        <s v="DRUMMOYNE SAILING CLUB LT" u="1"/>
        <s v="DAVID JONES" u="1"/>
        <s v="STACKSOCIAL" u="1"/>
        <s v="aliexpress" u="1"/>
        <s v="SIEFF S MUSIC WORLD" u="1"/>
        <s v="Sushi Maru" u="1"/>
        <s v="SPANIAN'S KEBABS N" u="1"/>
        <s v="APEX VILLAWOOD" u="1"/>
        <s v="Dyson Demo" u="1"/>
        <s v="YILAN GROUP" u="1"/>
        <s v="Burwood Hotel" u="1"/>
        <s v="PUB POOL PROMOTIONS" u="1"/>
        <s v="WINGHAS - CQ GATEWAY" u="1"/>
        <s v="SHIP INN" u="1"/>
        <s v="WinghausCircularQuay" u="1"/>
        <s v="Baba Ghanouj" u="1"/>
        <s v="LS Waterworks Canteen" u="1"/>
        <s v="WWW.WILLOPARRAMATTA.CO" u="1"/>
        <s v="BELLS HOTEL" u="1"/>
        <s v="MERIVALE ME&amp;U" u="1"/>
        <s v="RENPHO" u="1"/>
        <s v="Ground Floor Estab" u="1"/>
        <s v="EZI*CASH CONVERTERS. PERTH AU AUS Card xx2869 Value Date: 29/04/2024" u="1"/>
        <s v="OFFICEWORKS 0201" u="1"/>
        <s v="OFFICEWORKS 0209" u="1"/>
        <s v="OFFICEWORKS BENTLEIGH EAS" u="1"/>
        <s v="BEFORE YOU* BID" u="1"/>
        <s v="BEFORE YOU" u="1"/>
        <s v="Homayoun Gift" u="1"/>
        <s v="Hydrolink Plumbin" u="1"/>
        <s v="" u="1"/>
        <s v="CHATGPT SUBSCRIPTION" u="1"/>
        <s v="HCFHEALTHANDLIFE" u="1"/>
        <s v="CHISWICK CELLARS CHISWICK" u="1"/>
        <s v="Transfer to CBA A/c NetBank R" u="1"/>
        <s v="geoff electricity" u="1"/>
        <s v="NRMA WEB" u="1"/>
        <s v="we move you australia" u="1"/>
        <s v="Helm Bar &amp; Bistro" u="1"/>
        <s v="PA RYDE ISE SUPERMARK RYDE NS AUS" u="1"/>
        <s v="PA RYDE ISE SUPERMARK RYDE NSW AU" u="1"/>
        <s v="PA RYDE ISE SUPERMARK" u="1"/>
        <s v="2CO.COM" u="1"/>
        <s v="FiverrEU Nicosia CY CYP" u="1"/>
        <s v="Home Loan Help Help to buy home from Dad" u="1"/>
        <s v="rrrtr1" u="1"/>
        <s v="Store DJ Invoice - 889096 - Cables" u="1"/>
        <s v="Store Dj Invoice - 383958 - Roland EV-5 Expression Pedal" u="1"/>
        <s v="BOND CLEANING IN YOUR" u="1"/>
        <s v="ATO" u="1"/>
        <s v="John Dadah" u="1"/>
        <s v="SMP*Copenhagen Ice Cre" u="1"/>
      </sharedItems>
    </cacheField>
    <cacheField name="Parent Category" numFmtId="0">
      <sharedItems count="27">
        <s v="Financial Services"/>
        <s v="Food and Dining"/>
        <s v="Insurance"/>
        <s v="Shopping and Retail"/>
        <s v="Business Services and Equipment"/>
        <s v="Travel: Public"/>
        <s v="Pay"/>
        <s v="Telecommunications"/>
        <s v="Entertainment and Recreation"/>
        <s v="Travel: Car"/>
        <s v="Housing"/>
        <s v="Healthcare"/>
        <s v="Utilities"/>
        <s v="Henry St Apartment"/>
        <s v="Public Service"/>
        <s v="Travel"/>
        <s v="Personal"/>
        <s v="Accomodation"/>
        <s v="Miscellaneous Expenses"/>
        <s v="Occupancy"/>
        <s v="?"/>
        <s v="reg required"/>
        <s v="Telephony" u="1"/>
        <s v="Personal Care" u="1"/>
        <s v="Personal and Professional Services" u="1"/>
        <s v="Music Business" u="1"/>
        <s v="Music Production" u="1"/>
      </sharedItems>
    </cacheField>
    <cacheField name="Sub Category" numFmtId="167">
      <sharedItems count="117">
        <s v="Bank"/>
        <s v="Food and Groceries"/>
        <s v="Insurance: Health"/>
        <s v="Online Shopping"/>
        <s v="Royalties"/>
        <s v="Delivery, Dining, Takeaway"/>
        <s v="Union Membership"/>
        <s v="Subscriptions"/>
        <s v="Transport: Public"/>
        <s v="Pay"/>
        <s v="Music Marketing"/>
        <s v="Internet / Mobile"/>
        <s v="Petrol Station"/>
        <s v="Household"/>
        <s v="Chemist / Pharmacy"/>
        <s v="Attire"/>
        <s v="Doctor"/>
        <s v="Electronics"/>
        <s v="Medicare Benefit"/>
        <s v="Office Supplies"/>
        <s v="Equipment"/>
        <s v="Energy Bill"/>
        <s v="Entertainment"/>
        <s v="Liquor Shop"/>
        <s v="Maintenance"/>
        <s v="Music Production"/>
        <s v="Convenient Store"/>
        <s v="Music for Production / Gigs"/>
        <s v="Appliances"/>
        <s v="Bar / Club / Hotel"/>
        <s v="Computer"/>
        <s v="Tolls"/>
        <s v="Parking"/>
        <s v="Communication "/>
        <s v="Transport: Taxi"/>
        <s v="Grooming"/>
        <s v="Vehicle Maintenance and Insurance"/>
        <s v="Petrol Statio"/>
        <s v="State Government Services"/>
        <s v="Vehicle Operating Costs"/>
        <s v="Holiday"/>
        <s v="Transport: Rideshare"/>
        <s v="ATM"/>
        <s v="Accomodation"/>
        <s v="Chemist / Pharmac"/>
        <s v="Furniture"/>
        <s v="Post Office"/>
        <s v="Plugins"/>
        <s v="Council Fees (Rates, Parking)"/>
        <s v="Health and Wellbeing"/>
        <s v="Due Diligence Expenses"/>
        <s v="Removalists"/>
        <s v="Software App"/>
        <s v="Internet"/>
        <s v="Property Acquisition Costs"/>
        <s v="Interest"/>
        <s v="Flights"/>
        <s v="Roadside Assistance"/>
        <s v="Books"/>
        <s v="Charity"/>
        <s v="Shopping"/>
        <s v="Rent"/>
        <s v="Hi fi"/>
        <s v="?"/>
        <s v="Music Income"/>
        <s v="Camera / Photos"/>
        <s v="Fines"/>
        <s v="Music Subscription"/>
        <s v="Tax"/>
        <s v="People"/>
        <s v="Arys Play"/>
        <s v="Airport (transport)"/>
        <s v="Cryptocurrency"/>
        <s v="Web Services"/>
        <s v="Saving"/>
        <s v="Rental"/>
        <e v="#N/A"/>
        <s v="White goods"/>
        <s v="Exchange"/>
        <s v="Real Estate"/>
        <s v="Gift"/>
        <s v="Gym"/>
        <s v="Education"/>
        <s v="Transport"/>
        <s v="Photography"/>
        <s v="Seafood"/>
        <s v="Insurance"/>
        <s v="Utilities" u="1"/>
        <s v="Internet / Mobile Phone" u="1"/>
        <s v="Mobile Phone" u="1"/>
        <s v="Mandatory Vehicle Maintenance and Insurance" u="1"/>
        <s v="Groceries" u="1"/>
        <s v="Food: Delivery, Dining, Takeaway" u="1"/>
        <s v="Butcher" u="1"/>
        <s v="Music for DJ gigs" u="1"/>
        <s v="Music" u="1"/>
        <s v="Online Transactions" u="1"/>
        <s v="Property Purchase" u="1"/>
        <s v="Gig: Accomodation" u="1"/>
        <s v="Travel" u="1"/>
        <s v="Car" u="1"/>
        <s v="Toll" u="1"/>
        <s v="CTP / Green slip" u="1"/>
        <s v="Adobe" u="1"/>
        <s v="Shopping Centre" u="1"/>
        <s v="JB Hi Fi" u="1"/>
        <s v="Clothing" u="1"/>
        <s v="House: Rental" u="1"/>
        <s v="House" u="1"/>
        <s v="Accommodation" u="1"/>
        <s v="IOU" u="1"/>
        <s v="Farewell Gift" u="1"/>
        <s v="Clinton Farewell" u="1"/>
        <s v="Ice Cream" u="1"/>
        <s v="Transport: Bus" u="1"/>
        <s v="Ice Cream Shop" u="1"/>
        <s v="Food" u="1"/>
      </sharedItems>
    </cacheField>
    <cacheField name="Day" numFmtId="172">
      <sharedItems containsSemiMixedTypes="0" containsNonDate="0" containsDate="1" containsString="0" minDate="1899-12-31T00:00:00" maxDate="1900-01-31T00:00:00"/>
    </cacheField>
    <cacheField name="Week" numFmtId="167">
      <sharedItems containsSemiMixedTypes="0" containsString="0" containsNumber="1" containsInteger="1" minValue="1" maxValue="53"/>
    </cacheField>
    <cacheField name="Month" numFmtId="167">
      <sharedItems containsSemiMixedTypes="0" containsString="0" containsNumber="1" containsInteger="1" minValue="1" maxValue="12" count="12">
        <n v="2"/>
        <n v="1"/>
        <n v="12"/>
        <n v="11"/>
        <n v="10"/>
        <n v="9"/>
        <n v="8"/>
        <n v="7"/>
        <n v="6"/>
        <n v="5"/>
        <n v="4"/>
        <n v="3"/>
      </sharedItems>
    </cacheField>
    <cacheField name="Year" numFmtId="167">
      <sharedItems containsSemiMixedTypes="0" containsString="0" containsNumber="1" containsInteger="1" minValue="2010" maxValue="2025" count="12">
        <n v="2025"/>
        <n v="2024"/>
        <n v="2023"/>
        <n v="2022"/>
        <n v="2021"/>
        <n v="2020"/>
        <n v="2019"/>
        <n v="2018"/>
        <n v="2017"/>
        <n v="2016"/>
        <n v="2015"/>
        <n v="2010"/>
      </sharedItems>
    </cacheField>
  </cacheFields>
  <extLst>
    <ext xmlns:x14="http://schemas.microsoft.com/office/spreadsheetml/2009/9/main" uri="{725AE2AE-9491-48be-B2B4-4EB974FC3084}">
      <x14:pivotCacheDefinition pivotCacheId="2087187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6">
  <r>
    <x v="0"/>
    <n v="-378.32"/>
    <x v="0"/>
    <n v="3669.33"/>
    <s v="Complete Access"/>
    <x v="0"/>
    <x v="0"/>
    <x v="0"/>
    <d v="1900-01-20T00:00:00"/>
    <n v="8"/>
    <x v="0"/>
    <x v="0"/>
  </r>
  <r>
    <x v="0"/>
    <n v="-42.2"/>
    <x v="1"/>
    <n v="4047.65"/>
    <s v="Complete Access"/>
    <x v="1"/>
    <x v="1"/>
    <x v="1"/>
    <d v="1900-01-20T00:00:00"/>
    <n v="8"/>
    <x v="0"/>
    <x v="0"/>
  </r>
  <r>
    <x v="0"/>
    <n v="-8.6300000000000008"/>
    <x v="2"/>
    <n v="4089.85"/>
    <s v="Complete Access"/>
    <x v="2"/>
    <x v="1"/>
    <x v="1"/>
    <d v="1900-01-20T00:00:00"/>
    <n v="8"/>
    <x v="0"/>
    <x v="0"/>
  </r>
  <r>
    <x v="0"/>
    <n v="-138.87"/>
    <x v="3"/>
    <n v="4098.4799999999996"/>
    <s v="Complete Access"/>
    <x v="3"/>
    <x v="2"/>
    <x v="2"/>
    <d v="1900-01-20T00:00:00"/>
    <n v="8"/>
    <x v="0"/>
    <x v="0"/>
  </r>
  <r>
    <x v="0"/>
    <n v="-21.23"/>
    <x v="4"/>
    <n v="4237.3500000000004"/>
    <s v="Complete Access"/>
    <x v="4"/>
    <x v="1"/>
    <x v="1"/>
    <d v="1900-01-20T00:00:00"/>
    <n v="8"/>
    <x v="0"/>
    <x v="0"/>
  </r>
  <r>
    <x v="0"/>
    <n v="756.64"/>
    <x v="5"/>
    <n v="4258.58"/>
    <s v="Complete Access"/>
    <x v="5"/>
    <x v="3"/>
    <x v="3"/>
    <d v="1900-01-20T00:00:00"/>
    <n v="8"/>
    <x v="0"/>
    <x v="0"/>
  </r>
  <r>
    <x v="1"/>
    <n v="1.32"/>
    <x v="6"/>
    <n v="3501.94"/>
    <s v="Complete Access"/>
    <x v="6"/>
    <x v="4"/>
    <x v="4"/>
    <d v="1900-01-19T00:00:00"/>
    <n v="8"/>
    <x v="0"/>
    <x v="0"/>
  </r>
  <r>
    <x v="2"/>
    <n v="-6.5"/>
    <x v="7"/>
    <n v="3500.62"/>
    <s v="Complete Access"/>
    <x v="1"/>
    <x v="1"/>
    <x v="1"/>
    <d v="1900-01-17T00:00:00"/>
    <n v="8"/>
    <x v="0"/>
    <x v="0"/>
  </r>
  <r>
    <x v="2"/>
    <n v="-16"/>
    <x v="8"/>
    <n v="3507.12"/>
    <s v="Complete Access"/>
    <x v="7"/>
    <x v="1"/>
    <x v="5"/>
    <d v="1900-01-17T00:00:00"/>
    <n v="8"/>
    <x v="0"/>
    <x v="0"/>
  </r>
  <r>
    <x v="3"/>
    <n v="-50"/>
    <x v="9"/>
    <n v="3523.12"/>
    <s v="Complete Access"/>
    <x v="0"/>
    <x v="0"/>
    <x v="0"/>
    <d v="1900-01-16T00:00:00"/>
    <n v="8"/>
    <x v="0"/>
    <x v="0"/>
  </r>
  <r>
    <x v="4"/>
    <n v="-74.989999999999995"/>
    <x v="10"/>
    <n v="3573.12"/>
    <s v="Complete Access"/>
    <x v="8"/>
    <x v="1"/>
    <x v="5"/>
    <d v="1900-01-13T00:00:00"/>
    <n v="7"/>
    <x v="0"/>
    <x v="0"/>
  </r>
  <r>
    <x v="5"/>
    <n v="-37.35"/>
    <x v="11"/>
    <n v="3648.11"/>
    <s v="Complete Access"/>
    <x v="9"/>
    <x v="4"/>
    <x v="6"/>
    <d v="1900-01-12T00:00:00"/>
    <n v="7"/>
    <x v="0"/>
    <x v="0"/>
  </r>
  <r>
    <x v="5"/>
    <n v="-1.24"/>
    <x v="12"/>
    <n v="3685.46"/>
    <s v="Complete Access"/>
    <x v="10"/>
    <x v="0"/>
    <x v="0"/>
    <d v="1900-01-12T00:00:00"/>
    <n v="7"/>
    <x v="0"/>
    <x v="0"/>
  </r>
  <r>
    <x v="5"/>
    <n v="-35.32"/>
    <x v="13"/>
    <n v="3686.7"/>
    <s v="Complete Access"/>
    <x v="11"/>
    <x v="4"/>
    <x v="7"/>
    <d v="1900-01-12T00:00:00"/>
    <n v="7"/>
    <x v="0"/>
    <x v="0"/>
  </r>
  <r>
    <x v="5"/>
    <n v="-40"/>
    <x v="14"/>
    <n v="3722.02"/>
    <s v="Complete Access"/>
    <x v="12"/>
    <x v="5"/>
    <x v="8"/>
    <d v="1900-01-12T00:00:00"/>
    <n v="7"/>
    <x v="0"/>
    <x v="0"/>
  </r>
  <r>
    <x v="5"/>
    <n v="-1408.62"/>
    <x v="15"/>
    <n v="3762.02"/>
    <s v="Complete Access"/>
    <x v="13"/>
    <x v="0"/>
    <x v="0"/>
    <d v="1900-01-12T00:00:00"/>
    <n v="7"/>
    <x v="0"/>
    <x v="0"/>
  </r>
  <r>
    <x v="5"/>
    <n v="2865.27"/>
    <x v="16"/>
    <n v="5170.6400000000003"/>
    <s v="Complete Access"/>
    <x v="14"/>
    <x v="6"/>
    <x v="9"/>
    <d v="1900-01-12T00:00:00"/>
    <n v="7"/>
    <x v="0"/>
    <x v="0"/>
  </r>
  <r>
    <x v="6"/>
    <n v="-6.99"/>
    <x v="17"/>
    <n v="2305.37"/>
    <s v="Complete Access"/>
    <x v="15"/>
    <x v="4"/>
    <x v="10"/>
    <d v="1900-01-11T00:00:00"/>
    <n v="7"/>
    <x v="0"/>
    <x v="0"/>
  </r>
  <r>
    <x v="7"/>
    <n v="-14.73"/>
    <x v="18"/>
    <n v="2312.36"/>
    <s v="Complete Access"/>
    <x v="16"/>
    <x v="1"/>
    <x v="5"/>
    <d v="1900-01-10T00:00:00"/>
    <n v="7"/>
    <x v="0"/>
    <x v="0"/>
  </r>
  <r>
    <x v="7"/>
    <n v="-29.16"/>
    <x v="19"/>
    <n v="2327.09"/>
    <s v="Complete Access"/>
    <x v="1"/>
    <x v="1"/>
    <x v="1"/>
    <d v="1900-01-10T00:00:00"/>
    <n v="7"/>
    <x v="0"/>
    <x v="0"/>
  </r>
  <r>
    <x v="7"/>
    <n v="-10.42"/>
    <x v="20"/>
    <n v="2356.25"/>
    <s v="Complete Access"/>
    <x v="4"/>
    <x v="1"/>
    <x v="1"/>
    <d v="1900-01-10T00:00:00"/>
    <n v="7"/>
    <x v="0"/>
    <x v="0"/>
  </r>
  <r>
    <x v="7"/>
    <n v="-89"/>
    <x v="21"/>
    <n v="2366.67"/>
    <s v="Complete Access"/>
    <x v="17"/>
    <x v="7"/>
    <x v="11"/>
    <d v="1900-01-10T00:00:00"/>
    <n v="7"/>
    <x v="0"/>
    <x v="0"/>
  </r>
  <r>
    <x v="8"/>
    <n v="-90"/>
    <x v="22"/>
    <n v="2455.67"/>
    <s v="Complete Access"/>
    <x v="0"/>
    <x v="0"/>
    <x v="0"/>
    <d v="1900-01-05T00:00:00"/>
    <n v="6"/>
    <x v="0"/>
    <x v="0"/>
  </r>
  <r>
    <x v="8"/>
    <n v="24.63"/>
    <x v="23"/>
    <n v="2545.67"/>
    <s v="Complete Access"/>
    <x v="18"/>
    <x v="8"/>
    <x v="7"/>
    <d v="1900-01-05T00:00:00"/>
    <n v="6"/>
    <x v="0"/>
    <x v="0"/>
  </r>
  <r>
    <x v="9"/>
    <n v="-0.85"/>
    <x v="24"/>
    <n v="2521.04"/>
    <s v="Complete Access"/>
    <x v="10"/>
    <x v="0"/>
    <x v="0"/>
    <d v="1900-01-04T00:00:00"/>
    <n v="6"/>
    <x v="0"/>
    <x v="0"/>
  </r>
  <r>
    <x v="9"/>
    <n v="-24.19"/>
    <x v="25"/>
    <n v="2521.89"/>
    <s v="Complete Access"/>
    <x v="18"/>
    <x v="8"/>
    <x v="7"/>
    <d v="1900-01-04T00:00:00"/>
    <n v="6"/>
    <x v="0"/>
    <x v="0"/>
  </r>
  <r>
    <x v="10"/>
    <n v="-5.99"/>
    <x v="26"/>
    <n v="2546.08"/>
    <s v="Complete Access"/>
    <x v="19"/>
    <x v="3"/>
    <x v="3"/>
    <d v="1900-01-03T00:00:00"/>
    <n v="6"/>
    <x v="0"/>
    <x v="0"/>
  </r>
  <r>
    <x v="10"/>
    <n v="-15.35"/>
    <x v="27"/>
    <n v="2552.0700000000002"/>
    <s v="Complete Access"/>
    <x v="19"/>
    <x v="3"/>
    <x v="3"/>
    <d v="1900-01-03T00:00:00"/>
    <n v="6"/>
    <x v="0"/>
    <x v="0"/>
  </r>
  <r>
    <x v="11"/>
    <n v="-4.4000000000000004"/>
    <x v="10"/>
    <n v="2567.42"/>
    <s v="Complete Access"/>
    <x v="8"/>
    <x v="1"/>
    <x v="5"/>
    <d v="1900-01-01T00:00:00"/>
    <n v="6"/>
    <x v="0"/>
    <x v="0"/>
  </r>
  <r>
    <x v="12"/>
    <n v="-6.99"/>
    <x v="28"/>
    <n v="2571.8200000000002"/>
    <s v="Complete Access"/>
    <x v="20"/>
    <x v="9"/>
    <x v="12"/>
    <d v="1899-12-31T00:00:00"/>
    <n v="5"/>
    <x v="0"/>
    <x v="0"/>
  </r>
  <r>
    <x v="12"/>
    <n v="-41.77"/>
    <x v="10"/>
    <n v="2578.81"/>
    <s v="Complete Access"/>
    <x v="8"/>
    <x v="1"/>
    <x v="5"/>
    <d v="1899-12-31T00:00:00"/>
    <n v="5"/>
    <x v="0"/>
    <x v="0"/>
  </r>
  <r>
    <x v="12"/>
    <n v="-50.03"/>
    <x v="28"/>
    <n v="2620.58"/>
    <s v="Complete Access"/>
    <x v="20"/>
    <x v="9"/>
    <x v="12"/>
    <d v="1899-12-31T00:00:00"/>
    <n v="5"/>
    <x v="0"/>
    <x v="0"/>
  </r>
  <r>
    <x v="13"/>
    <n v="-37.35"/>
    <x v="11"/>
    <n v="2670.61"/>
    <s v="Complete Access"/>
    <x v="9"/>
    <x v="4"/>
    <x v="6"/>
    <d v="1900-01-29T00:00:00"/>
    <n v="5"/>
    <x v="1"/>
    <x v="0"/>
  </r>
  <r>
    <x v="13"/>
    <n v="-1408.62"/>
    <x v="15"/>
    <n v="2707.96"/>
    <s v="Complete Access"/>
    <x v="13"/>
    <x v="0"/>
    <x v="0"/>
    <d v="1900-01-29T00:00:00"/>
    <n v="5"/>
    <x v="1"/>
    <x v="0"/>
  </r>
  <r>
    <x v="13"/>
    <n v="2865.27"/>
    <x v="29"/>
    <n v="4116.58"/>
    <s v="Complete Access"/>
    <x v="14"/>
    <x v="6"/>
    <x v="9"/>
    <d v="1900-01-29T00:00:00"/>
    <n v="5"/>
    <x v="1"/>
    <x v="0"/>
  </r>
  <r>
    <x v="14"/>
    <n v="-79.569999999999993"/>
    <x v="30"/>
    <n v="1251.31"/>
    <s v="Complete Access"/>
    <x v="21"/>
    <x v="10"/>
    <x v="13"/>
    <d v="1900-01-28T00:00:00"/>
    <n v="5"/>
    <x v="1"/>
    <x v="0"/>
  </r>
  <r>
    <x v="14"/>
    <n v="-40.64"/>
    <x v="31"/>
    <n v="1330.88"/>
    <s v="Complete Access"/>
    <x v="5"/>
    <x v="3"/>
    <x v="3"/>
    <d v="1900-01-28T00:00:00"/>
    <n v="5"/>
    <x v="1"/>
    <x v="0"/>
  </r>
  <r>
    <x v="14"/>
    <n v="-20.64"/>
    <x v="32"/>
    <n v="1371.52"/>
    <s v="Complete Access"/>
    <x v="4"/>
    <x v="1"/>
    <x v="1"/>
    <d v="1900-01-28T00:00:00"/>
    <n v="5"/>
    <x v="1"/>
    <x v="0"/>
  </r>
  <r>
    <x v="15"/>
    <n v="-16"/>
    <x v="8"/>
    <n v="1392.16"/>
    <s v="Complete Access"/>
    <x v="7"/>
    <x v="1"/>
    <x v="5"/>
    <d v="1900-01-27T00:00:00"/>
    <n v="5"/>
    <x v="1"/>
    <x v="0"/>
  </r>
  <r>
    <x v="16"/>
    <n v="-14"/>
    <x v="33"/>
    <n v="1408.16"/>
    <s v="Complete Access"/>
    <x v="1"/>
    <x v="1"/>
    <x v="1"/>
    <d v="1900-01-25T00:00:00"/>
    <n v="5"/>
    <x v="1"/>
    <x v="0"/>
  </r>
  <r>
    <x v="16"/>
    <n v="-24.97"/>
    <x v="34"/>
    <n v="1422.16"/>
    <s v="Complete Access"/>
    <x v="22"/>
    <x v="11"/>
    <x v="14"/>
    <d v="1900-01-25T00:00:00"/>
    <n v="5"/>
    <x v="1"/>
    <x v="0"/>
  </r>
  <r>
    <x v="16"/>
    <n v="-50.5"/>
    <x v="35"/>
    <n v="1447.13"/>
    <s v="Complete Access"/>
    <x v="23"/>
    <x v="3"/>
    <x v="15"/>
    <d v="1900-01-25T00:00:00"/>
    <n v="5"/>
    <x v="1"/>
    <x v="0"/>
  </r>
  <r>
    <x v="17"/>
    <n v="-31"/>
    <x v="36"/>
    <n v="1497.63"/>
    <s v="Complete Access"/>
    <x v="17"/>
    <x v="7"/>
    <x v="11"/>
    <d v="1900-01-23T00:00:00"/>
    <n v="4"/>
    <x v="1"/>
    <x v="0"/>
  </r>
  <r>
    <x v="18"/>
    <n v="-138.87"/>
    <x v="37"/>
    <n v="1528.63"/>
    <s v="Complete Access"/>
    <x v="3"/>
    <x v="2"/>
    <x v="2"/>
    <d v="1900-01-22T00:00:00"/>
    <n v="4"/>
    <x v="1"/>
    <x v="0"/>
  </r>
  <r>
    <x v="19"/>
    <n v="-88"/>
    <x v="22"/>
    <n v="1667.5"/>
    <s v="Complete Access"/>
    <x v="0"/>
    <x v="0"/>
    <x v="0"/>
    <d v="1900-01-20T00:00:00"/>
    <n v="4"/>
    <x v="1"/>
    <x v="0"/>
  </r>
  <r>
    <x v="19"/>
    <n v="-7"/>
    <x v="7"/>
    <n v="1755.5"/>
    <s v="Complete Access"/>
    <x v="1"/>
    <x v="1"/>
    <x v="1"/>
    <d v="1900-01-20T00:00:00"/>
    <n v="4"/>
    <x v="1"/>
    <x v="0"/>
  </r>
  <r>
    <x v="19"/>
    <n v="-75"/>
    <x v="38"/>
    <n v="1762.5"/>
    <s v="Complete Access"/>
    <x v="24"/>
    <x v="11"/>
    <x v="16"/>
    <d v="1900-01-20T00:00:00"/>
    <n v="4"/>
    <x v="1"/>
    <x v="0"/>
  </r>
  <r>
    <x v="19"/>
    <n v="-827"/>
    <x v="39"/>
    <n v="1837.5"/>
    <s v="Complete Access"/>
    <x v="25"/>
    <x v="3"/>
    <x v="17"/>
    <d v="1900-01-20T00:00:00"/>
    <n v="4"/>
    <x v="1"/>
    <x v="0"/>
  </r>
  <r>
    <x v="19"/>
    <n v="-39.47"/>
    <x v="40"/>
    <n v="2664.5"/>
    <s v="Complete Access"/>
    <x v="1"/>
    <x v="1"/>
    <x v="1"/>
    <d v="1900-01-20T00:00:00"/>
    <n v="4"/>
    <x v="1"/>
    <x v="0"/>
  </r>
  <r>
    <x v="20"/>
    <n v="42.85"/>
    <x v="41"/>
    <n v="2703.97"/>
    <s v="Complete Access"/>
    <x v="26"/>
    <x v="11"/>
    <x v="18"/>
    <d v="1900-01-19T00:00:00"/>
    <n v="4"/>
    <x v="1"/>
    <x v="0"/>
  </r>
  <r>
    <x v="21"/>
    <n v="-21.33"/>
    <x v="7"/>
    <n v="2661.12"/>
    <s v="Complete Access"/>
    <x v="1"/>
    <x v="1"/>
    <x v="1"/>
    <d v="1900-01-18T00:00:00"/>
    <n v="4"/>
    <x v="1"/>
    <x v="0"/>
  </r>
  <r>
    <x v="22"/>
    <n v="-17.04"/>
    <x v="42"/>
    <n v="2682.45"/>
    <s v="Complete Access"/>
    <x v="27"/>
    <x v="1"/>
    <x v="5"/>
    <d v="1900-01-17T00:00:00"/>
    <n v="3"/>
    <x v="1"/>
    <x v="0"/>
  </r>
  <r>
    <x v="22"/>
    <n v="-18"/>
    <x v="43"/>
    <n v="2699.49"/>
    <s v="Complete Access"/>
    <x v="28"/>
    <x v="1"/>
    <x v="5"/>
    <d v="1900-01-17T00:00:00"/>
    <n v="3"/>
    <x v="1"/>
    <x v="0"/>
  </r>
  <r>
    <x v="23"/>
    <n v="-29"/>
    <x v="44"/>
    <n v="2717.49"/>
    <s v="Complete Access"/>
    <x v="29"/>
    <x v="4"/>
    <x v="19"/>
    <d v="1900-01-16T00:00:00"/>
    <n v="3"/>
    <x v="1"/>
    <x v="0"/>
  </r>
  <r>
    <x v="23"/>
    <n v="29"/>
    <x v="45"/>
    <n v="2746.49"/>
    <s v="Complete Access"/>
    <x v="29"/>
    <x v="4"/>
    <x v="19"/>
    <d v="1900-01-16T00:00:00"/>
    <n v="3"/>
    <x v="1"/>
    <x v="0"/>
  </r>
  <r>
    <x v="24"/>
    <n v="-40"/>
    <x v="46"/>
    <n v="2717.49"/>
    <s v="Complete Access"/>
    <x v="12"/>
    <x v="5"/>
    <x v="8"/>
    <d v="1900-01-15T00:00:00"/>
    <n v="3"/>
    <x v="1"/>
    <x v="0"/>
  </r>
  <r>
    <x v="24"/>
    <n v="-1408.62"/>
    <x v="15"/>
    <n v="2757.49"/>
    <s v="Complete Access"/>
    <x v="13"/>
    <x v="0"/>
    <x v="0"/>
    <d v="1900-01-15T00:00:00"/>
    <n v="3"/>
    <x v="1"/>
    <x v="0"/>
  </r>
  <r>
    <x v="24"/>
    <n v="2865.27"/>
    <x v="47"/>
    <n v="4166.1099999999997"/>
    <s v="Complete Access"/>
    <x v="14"/>
    <x v="6"/>
    <x v="9"/>
    <d v="1900-01-15T00:00:00"/>
    <n v="3"/>
    <x v="1"/>
    <x v="0"/>
  </r>
  <r>
    <x v="25"/>
    <n v="60.35"/>
    <x v="6"/>
    <n v="1300.8399999999999"/>
    <s v="Complete Access"/>
    <x v="6"/>
    <x v="4"/>
    <x v="4"/>
    <d v="1900-01-13T00:00:00"/>
    <n v="3"/>
    <x v="1"/>
    <x v="0"/>
  </r>
  <r>
    <x v="25"/>
    <n v="-16"/>
    <x v="8"/>
    <n v="1240.49"/>
    <s v="Complete Access"/>
    <x v="7"/>
    <x v="1"/>
    <x v="5"/>
    <d v="1900-01-13T00:00:00"/>
    <n v="3"/>
    <x v="1"/>
    <x v="0"/>
  </r>
  <r>
    <x v="25"/>
    <n v="-89"/>
    <x v="48"/>
    <n v="1256.49"/>
    <s v="Complete Access"/>
    <x v="17"/>
    <x v="7"/>
    <x v="11"/>
    <d v="1900-01-13T00:00:00"/>
    <n v="3"/>
    <x v="1"/>
    <x v="0"/>
  </r>
  <r>
    <x v="25"/>
    <n v="-1.25"/>
    <x v="49"/>
    <n v="1345.49"/>
    <s v="Complete Access"/>
    <x v="10"/>
    <x v="0"/>
    <x v="0"/>
    <d v="1900-01-13T00:00:00"/>
    <n v="3"/>
    <x v="1"/>
    <x v="0"/>
  </r>
  <r>
    <x v="25"/>
    <n v="-35.840000000000003"/>
    <x v="50"/>
    <n v="1346.74"/>
    <s v="Complete Access"/>
    <x v="11"/>
    <x v="4"/>
    <x v="7"/>
    <d v="1900-01-13T00:00:00"/>
    <n v="3"/>
    <x v="1"/>
    <x v="0"/>
  </r>
  <r>
    <x v="26"/>
    <n v="-6.99"/>
    <x v="51"/>
    <n v="1382.58"/>
    <s v="Complete Access"/>
    <x v="15"/>
    <x v="4"/>
    <x v="10"/>
    <d v="1900-01-10T00:00:00"/>
    <n v="2"/>
    <x v="1"/>
    <x v="0"/>
  </r>
  <r>
    <x v="26"/>
    <n v="-2.99"/>
    <x v="52"/>
    <n v="1389.57"/>
    <s v="Complete Access"/>
    <x v="15"/>
    <x v="4"/>
    <x v="10"/>
    <d v="1900-01-10T00:00:00"/>
    <n v="2"/>
    <x v="1"/>
    <x v="0"/>
  </r>
  <r>
    <x v="26"/>
    <n v="-29.95"/>
    <x v="53"/>
    <n v="1392.56"/>
    <s v="Complete Access"/>
    <x v="5"/>
    <x v="3"/>
    <x v="3"/>
    <d v="1900-01-10T00:00:00"/>
    <n v="2"/>
    <x v="1"/>
    <x v="0"/>
  </r>
  <r>
    <x v="27"/>
    <n v="-39.950000000000003"/>
    <x v="54"/>
    <n v="1422.51"/>
    <s v="Complete Access"/>
    <x v="30"/>
    <x v="4"/>
    <x v="20"/>
    <d v="1900-01-09T00:00:00"/>
    <n v="2"/>
    <x v="1"/>
    <x v="0"/>
  </r>
  <r>
    <x v="27"/>
    <n v="-90"/>
    <x v="55"/>
    <n v="1462.46"/>
    <s v="Complete Access"/>
    <x v="13"/>
    <x v="0"/>
    <x v="0"/>
    <d v="1900-01-09T00:00:00"/>
    <n v="2"/>
    <x v="1"/>
    <x v="0"/>
  </r>
  <r>
    <x v="28"/>
    <n v="39.950000000000003"/>
    <x v="56"/>
    <n v="1552.46"/>
    <s v="Complete Access"/>
    <x v="30"/>
    <x v="4"/>
    <x v="20"/>
    <d v="1900-01-08T00:00:00"/>
    <n v="2"/>
    <x v="1"/>
    <x v="0"/>
  </r>
  <r>
    <x v="28"/>
    <n v="-42.38"/>
    <x v="57"/>
    <n v="1512.51"/>
    <s v="Complete Access"/>
    <x v="5"/>
    <x v="3"/>
    <x v="3"/>
    <d v="1900-01-08T00:00:00"/>
    <n v="2"/>
    <x v="1"/>
    <x v="0"/>
  </r>
  <r>
    <x v="29"/>
    <n v="-0.85"/>
    <x v="58"/>
    <n v="1554.89"/>
    <s v="Complete Access"/>
    <x v="10"/>
    <x v="0"/>
    <x v="0"/>
    <d v="1900-01-06T00:00:00"/>
    <n v="2"/>
    <x v="1"/>
    <x v="0"/>
  </r>
  <r>
    <x v="29"/>
    <n v="-24.26"/>
    <x v="59"/>
    <n v="1555.74"/>
    <s v="Complete Access"/>
    <x v="18"/>
    <x v="8"/>
    <x v="7"/>
    <d v="1900-01-06T00:00:00"/>
    <n v="2"/>
    <x v="1"/>
    <x v="0"/>
  </r>
  <r>
    <x v="29"/>
    <n v="-364.17"/>
    <x v="60"/>
    <n v="1580"/>
    <s v="Complete Access"/>
    <x v="31"/>
    <x v="12"/>
    <x v="21"/>
    <d v="1900-01-06T00:00:00"/>
    <n v="2"/>
    <x v="1"/>
    <x v="0"/>
  </r>
  <r>
    <x v="29"/>
    <n v="-83.45"/>
    <x v="61"/>
    <n v="1944.17"/>
    <s v="Complete Access"/>
    <x v="5"/>
    <x v="3"/>
    <x v="3"/>
    <d v="1900-01-06T00:00:00"/>
    <n v="2"/>
    <x v="1"/>
    <x v="0"/>
  </r>
  <r>
    <x v="30"/>
    <n v="-0.95"/>
    <x v="7"/>
    <n v="2027.62"/>
    <s v="Complete Access"/>
    <x v="1"/>
    <x v="1"/>
    <x v="1"/>
    <d v="1900-01-03T00:00:00"/>
    <n v="1"/>
    <x v="1"/>
    <x v="0"/>
  </r>
  <r>
    <x v="30"/>
    <n v="-13.99"/>
    <x v="30"/>
    <n v="2028.57"/>
    <s v="Complete Access"/>
    <x v="21"/>
    <x v="10"/>
    <x v="13"/>
    <d v="1900-01-03T00:00:00"/>
    <n v="1"/>
    <x v="1"/>
    <x v="0"/>
  </r>
  <r>
    <x v="30"/>
    <n v="-14"/>
    <x v="62"/>
    <n v="2042.56"/>
    <s v="Complete Access"/>
    <x v="32"/>
    <x v="8"/>
    <x v="22"/>
    <d v="1900-01-03T00:00:00"/>
    <n v="1"/>
    <x v="1"/>
    <x v="0"/>
  </r>
  <r>
    <x v="30"/>
    <n v="-13.66"/>
    <x v="63"/>
    <n v="2056.56"/>
    <s v="Complete Access"/>
    <x v="33"/>
    <x v="1"/>
    <x v="5"/>
    <d v="1900-01-03T00:00:00"/>
    <n v="1"/>
    <x v="1"/>
    <x v="0"/>
  </r>
  <r>
    <x v="30"/>
    <n v="-39.47"/>
    <x v="63"/>
    <n v="2070.2199999999998"/>
    <s v="Complete Access"/>
    <x v="33"/>
    <x v="1"/>
    <x v="5"/>
    <d v="1900-01-03T00:00:00"/>
    <n v="1"/>
    <x v="1"/>
    <x v="0"/>
  </r>
  <r>
    <x v="31"/>
    <n v="-5"/>
    <x v="64"/>
    <n v="2109.69"/>
    <s v="Complete Access"/>
    <x v="34"/>
    <x v="9"/>
    <x v="12"/>
    <d v="1900-01-02T00:00:00"/>
    <n v="1"/>
    <x v="1"/>
    <x v="0"/>
  </r>
  <r>
    <x v="31"/>
    <n v="-5"/>
    <x v="64"/>
    <n v="2114.69"/>
    <s v="Complete Access"/>
    <x v="34"/>
    <x v="9"/>
    <x v="12"/>
    <d v="1900-01-02T00:00:00"/>
    <n v="1"/>
    <x v="1"/>
    <x v="0"/>
  </r>
  <r>
    <x v="31"/>
    <n v="-105"/>
    <x v="65"/>
    <n v="2119.69"/>
    <s v="Complete Access"/>
    <x v="35"/>
    <x v="1"/>
    <x v="23"/>
    <d v="1900-01-02T00:00:00"/>
    <n v="1"/>
    <x v="1"/>
    <x v="0"/>
  </r>
  <r>
    <x v="31"/>
    <n v="-90"/>
    <x v="55"/>
    <n v="2224.69"/>
    <s v="Complete Access"/>
    <x v="13"/>
    <x v="0"/>
    <x v="0"/>
    <d v="1900-01-02T00:00:00"/>
    <n v="1"/>
    <x v="1"/>
    <x v="0"/>
  </r>
  <r>
    <x v="32"/>
    <n v="-12"/>
    <x v="66"/>
    <n v="2314.69"/>
    <s v="Complete Access"/>
    <x v="0"/>
    <x v="0"/>
    <x v="0"/>
    <d v="1900-01-01T00:00:00"/>
    <n v="1"/>
    <x v="1"/>
    <x v="0"/>
  </r>
  <r>
    <x v="32"/>
    <n v="4.5"/>
    <x v="67"/>
    <n v="2326.69"/>
    <s v="Complete Access"/>
    <x v="36"/>
    <x v="0"/>
    <x v="0"/>
    <d v="1900-01-01T00:00:00"/>
    <n v="1"/>
    <x v="1"/>
    <x v="0"/>
  </r>
  <r>
    <x v="32"/>
    <n v="-20"/>
    <x v="68"/>
    <n v="2322.19"/>
    <s v="Complete Access"/>
    <x v="0"/>
    <x v="0"/>
    <x v="0"/>
    <d v="1900-01-01T00:00:00"/>
    <n v="1"/>
    <x v="1"/>
    <x v="0"/>
  </r>
  <r>
    <x v="32"/>
    <n v="-40"/>
    <x v="68"/>
    <n v="2342.19"/>
    <s v="Complete Access"/>
    <x v="0"/>
    <x v="0"/>
    <x v="0"/>
    <d v="1900-01-01T00:00:00"/>
    <n v="1"/>
    <x v="1"/>
    <x v="0"/>
  </r>
  <r>
    <x v="32"/>
    <n v="-5"/>
    <x v="69"/>
    <n v="2382.19"/>
    <s v="Complete Access"/>
    <x v="0"/>
    <x v="0"/>
    <x v="0"/>
    <d v="1900-01-01T00:00:00"/>
    <n v="1"/>
    <x v="1"/>
    <x v="0"/>
  </r>
  <r>
    <x v="32"/>
    <n v="-1408.62"/>
    <x v="15"/>
    <n v="2387.19"/>
    <s v="Complete Access"/>
    <x v="13"/>
    <x v="0"/>
    <x v="0"/>
    <d v="1900-01-01T00:00:00"/>
    <n v="1"/>
    <x v="1"/>
    <x v="0"/>
  </r>
  <r>
    <x v="33"/>
    <n v="-33.33"/>
    <x v="70"/>
    <n v="3795.81"/>
    <s v="Complete Access"/>
    <x v="8"/>
    <x v="1"/>
    <x v="5"/>
    <d v="1899-12-31T00:00:00"/>
    <n v="1"/>
    <x v="1"/>
    <x v="0"/>
  </r>
  <r>
    <x v="33"/>
    <n v="2865.27"/>
    <x v="71"/>
    <n v="3829.14"/>
    <s v="Complete Access"/>
    <x v="14"/>
    <x v="6"/>
    <x v="9"/>
    <d v="1899-12-31T00:00:00"/>
    <n v="1"/>
    <x v="1"/>
    <x v="0"/>
  </r>
  <r>
    <x v="34"/>
    <n v="-3"/>
    <x v="72"/>
    <n v="963.87"/>
    <s v="Complete Access"/>
    <x v="37"/>
    <x v="0"/>
    <x v="0"/>
    <d v="1900-01-30T00:00:00"/>
    <n v="53"/>
    <x v="2"/>
    <x v="1"/>
  </r>
  <r>
    <x v="34"/>
    <n v="-300"/>
    <x v="73"/>
    <n v="966.87"/>
    <s v="Complete Access"/>
    <x v="1"/>
    <x v="1"/>
    <x v="1"/>
    <d v="1900-01-30T00:00:00"/>
    <n v="53"/>
    <x v="2"/>
    <x v="1"/>
  </r>
  <r>
    <x v="34"/>
    <n v="-9"/>
    <x v="33"/>
    <n v="1266.8699999999999"/>
    <s v="Complete Access"/>
    <x v="1"/>
    <x v="1"/>
    <x v="1"/>
    <d v="1900-01-30T00:00:00"/>
    <n v="53"/>
    <x v="2"/>
    <x v="1"/>
  </r>
  <r>
    <x v="34"/>
    <n v="-32.159999999999997"/>
    <x v="42"/>
    <n v="1275.8699999999999"/>
    <s v="Complete Access"/>
    <x v="27"/>
    <x v="1"/>
    <x v="5"/>
    <d v="1900-01-30T00:00:00"/>
    <n v="53"/>
    <x v="2"/>
    <x v="1"/>
  </r>
  <r>
    <x v="34"/>
    <n v="-14.99"/>
    <x v="74"/>
    <n v="1308.03"/>
    <s v="Complete Access"/>
    <x v="38"/>
    <x v="3"/>
    <x v="15"/>
    <d v="1900-01-30T00:00:00"/>
    <n v="53"/>
    <x v="2"/>
    <x v="1"/>
  </r>
  <r>
    <x v="34"/>
    <n v="-16"/>
    <x v="75"/>
    <n v="1323.02"/>
    <s v="Complete Access"/>
    <x v="34"/>
    <x v="9"/>
    <x v="12"/>
    <d v="1900-01-30T00:00:00"/>
    <n v="53"/>
    <x v="2"/>
    <x v="1"/>
  </r>
  <r>
    <x v="35"/>
    <n v="-5"/>
    <x v="76"/>
    <n v="1339.02"/>
    <s v="Complete Access"/>
    <x v="39"/>
    <x v="1"/>
    <x v="5"/>
    <d v="1900-01-28T00:00:00"/>
    <n v="53"/>
    <x v="2"/>
    <x v="1"/>
  </r>
  <r>
    <x v="35"/>
    <n v="-18.899999999999999"/>
    <x v="76"/>
    <n v="1344.02"/>
    <s v="Complete Access"/>
    <x v="39"/>
    <x v="1"/>
    <x v="5"/>
    <d v="1900-01-28T00:00:00"/>
    <n v="53"/>
    <x v="2"/>
    <x v="1"/>
  </r>
  <r>
    <x v="35"/>
    <n v="-41.56"/>
    <x v="28"/>
    <n v="1362.92"/>
    <s v="Complete Access"/>
    <x v="20"/>
    <x v="9"/>
    <x v="12"/>
    <d v="1900-01-28T00:00:00"/>
    <n v="53"/>
    <x v="2"/>
    <x v="1"/>
  </r>
  <r>
    <x v="36"/>
    <n v="-391.65"/>
    <x v="77"/>
    <n v="1404.48"/>
    <s v="Complete Access"/>
    <x v="40"/>
    <x v="13"/>
    <x v="24"/>
    <d v="1900-01-27T00:00:00"/>
    <n v="52"/>
    <x v="2"/>
    <x v="1"/>
  </r>
  <r>
    <x v="36"/>
    <n v="-40"/>
    <x v="78"/>
    <n v="1796.13"/>
    <s v="Complete Access"/>
    <x v="1"/>
    <x v="1"/>
    <x v="1"/>
    <d v="1900-01-27T00:00:00"/>
    <n v="52"/>
    <x v="2"/>
    <x v="1"/>
  </r>
  <r>
    <x v="36"/>
    <n v="-0.84"/>
    <x v="79"/>
    <n v="1836.13"/>
    <s v="Complete Access"/>
    <x v="10"/>
    <x v="0"/>
    <x v="0"/>
    <d v="1900-01-27T00:00:00"/>
    <n v="52"/>
    <x v="2"/>
    <x v="1"/>
  </r>
  <r>
    <x v="36"/>
    <n v="-24.05"/>
    <x v="80"/>
    <n v="1836.97"/>
    <s v="Complete Access"/>
    <x v="41"/>
    <x v="4"/>
    <x v="25"/>
    <d v="1900-01-27T00:00:00"/>
    <n v="52"/>
    <x v="2"/>
    <x v="1"/>
  </r>
  <r>
    <x v="36"/>
    <n v="-57.36"/>
    <x v="81"/>
    <n v="1861.02"/>
    <s v="Complete Access"/>
    <x v="21"/>
    <x v="10"/>
    <x v="13"/>
    <d v="1900-01-27T00:00:00"/>
    <n v="52"/>
    <x v="2"/>
    <x v="1"/>
  </r>
  <r>
    <x v="37"/>
    <n v="-90"/>
    <x v="55"/>
    <n v="1918.38"/>
    <s v="Complete Access"/>
    <x v="13"/>
    <x v="0"/>
    <x v="0"/>
    <d v="1900-01-26T00:00:00"/>
    <n v="52"/>
    <x v="2"/>
    <x v="1"/>
  </r>
  <r>
    <x v="38"/>
    <n v="-12"/>
    <x v="82"/>
    <n v="2008.38"/>
    <s v="Complete Access"/>
    <x v="42"/>
    <x v="8"/>
    <x v="22"/>
    <d v="1900-01-25T00:00:00"/>
    <n v="52"/>
    <x v="2"/>
    <x v="1"/>
  </r>
  <r>
    <x v="39"/>
    <n v="-3"/>
    <x v="72"/>
    <n v="2020.38"/>
    <s v="Complete Access"/>
    <x v="37"/>
    <x v="0"/>
    <x v="0"/>
    <d v="1900-01-24T00:00:00"/>
    <n v="52"/>
    <x v="2"/>
    <x v="1"/>
  </r>
  <r>
    <x v="39"/>
    <n v="-100"/>
    <x v="73"/>
    <n v="2023.38"/>
    <s v="Complete Access"/>
    <x v="1"/>
    <x v="1"/>
    <x v="1"/>
    <d v="1900-01-24T00:00:00"/>
    <n v="52"/>
    <x v="2"/>
    <x v="1"/>
  </r>
  <r>
    <x v="39"/>
    <n v="-31"/>
    <x v="83"/>
    <n v="2123.38"/>
    <s v="Complete Access"/>
    <x v="17"/>
    <x v="7"/>
    <x v="11"/>
    <d v="1900-01-24T00:00:00"/>
    <n v="52"/>
    <x v="2"/>
    <x v="1"/>
  </r>
  <r>
    <x v="39"/>
    <n v="200"/>
    <x v="84"/>
    <n v="2154.38"/>
    <s v="Complete Access"/>
    <x v="36"/>
    <x v="0"/>
    <x v="0"/>
    <d v="1900-01-24T00:00:00"/>
    <n v="52"/>
    <x v="2"/>
    <x v="1"/>
  </r>
  <r>
    <x v="40"/>
    <n v="-148"/>
    <x v="85"/>
    <n v="1954.38"/>
    <s v="Complete Access"/>
    <x v="35"/>
    <x v="1"/>
    <x v="23"/>
    <d v="1900-01-23T00:00:00"/>
    <n v="52"/>
    <x v="2"/>
    <x v="1"/>
  </r>
  <r>
    <x v="41"/>
    <n v="-7.78"/>
    <x v="30"/>
    <n v="2102.38"/>
    <s v="Complete Access"/>
    <x v="21"/>
    <x v="10"/>
    <x v="13"/>
    <d v="1900-01-20T00:00:00"/>
    <n v="51"/>
    <x v="2"/>
    <x v="1"/>
  </r>
  <r>
    <x v="41"/>
    <n v="-4.04"/>
    <x v="86"/>
    <n v="2110.16"/>
    <s v="Complete Access"/>
    <x v="43"/>
    <x v="3"/>
    <x v="26"/>
    <d v="1900-01-20T00:00:00"/>
    <n v="51"/>
    <x v="2"/>
    <x v="1"/>
  </r>
  <r>
    <x v="41"/>
    <n v="-12"/>
    <x v="33"/>
    <n v="2114.1999999999998"/>
    <s v="Complete Access"/>
    <x v="1"/>
    <x v="1"/>
    <x v="1"/>
    <d v="1900-01-20T00:00:00"/>
    <n v="51"/>
    <x v="2"/>
    <x v="1"/>
  </r>
  <r>
    <x v="41"/>
    <n v="-40.19"/>
    <x v="87"/>
    <n v="2126.1999999999998"/>
    <s v="Complete Access"/>
    <x v="20"/>
    <x v="9"/>
    <x v="12"/>
    <d v="1900-01-20T00:00:00"/>
    <n v="51"/>
    <x v="2"/>
    <x v="1"/>
  </r>
  <r>
    <x v="41"/>
    <n v="-3.4"/>
    <x v="88"/>
    <n v="2166.39"/>
    <s v="Complete Access"/>
    <x v="44"/>
    <x v="4"/>
    <x v="27"/>
    <d v="1900-01-20T00:00:00"/>
    <n v="51"/>
    <x v="2"/>
    <x v="1"/>
  </r>
  <r>
    <x v="41"/>
    <n v="-3.4"/>
    <x v="88"/>
    <n v="2169.79"/>
    <s v="Complete Access"/>
    <x v="44"/>
    <x v="4"/>
    <x v="27"/>
    <d v="1900-01-20T00:00:00"/>
    <n v="51"/>
    <x v="2"/>
    <x v="1"/>
  </r>
  <r>
    <x v="41"/>
    <n v="-379"/>
    <x v="89"/>
    <n v="2173.19"/>
    <s v="Complete Access"/>
    <x v="45"/>
    <x v="3"/>
    <x v="28"/>
    <d v="1900-01-20T00:00:00"/>
    <n v="51"/>
    <x v="2"/>
    <x v="1"/>
  </r>
  <r>
    <x v="41"/>
    <n v="-138.87"/>
    <x v="90"/>
    <n v="2552.19"/>
    <s v="Complete Access"/>
    <x v="3"/>
    <x v="2"/>
    <x v="2"/>
    <d v="1900-01-20T00:00:00"/>
    <n v="51"/>
    <x v="2"/>
    <x v="1"/>
  </r>
  <r>
    <x v="42"/>
    <n v="-90"/>
    <x v="55"/>
    <n v="2691.06"/>
    <s v="Complete Access"/>
    <x v="13"/>
    <x v="0"/>
    <x v="0"/>
    <d v="1900-01-19T00:00:00"/>
    <n v="51"/>
    <x v="2"/>
    <x v="1"/>
  </r>
  <r>
    <x v="43"/>
    <n v="-200"/>
    <x v="91"/>
    <n v="2781.06"/>
    <s v="Complete Access"/>
    <x v="0"/>
    <x v="0"/>
    <x v="0"/>
    <d v="1900-01-18T00:00:00"/>
    <n v="51"/>
    <x v="2"/>
    <x v="1"/>
  </r>
  <r>
    <x v="43"/>
    <n v="-1408.62"/>
    <x v="15"/>
    <n v="2981.06"/>
    <s v="Complete Access"/>
    <x v="13"/>
    <x v="0"/>
    <x v="0"/>
    <d v="1900-01-18T00:00:00"/>
    <n v="51"/>
    <x v="2"/>
    <x v="1"/>
  </r>
  <r>
    <x v="43"/>
    <n v="2865.27"/>
    <x v="92"/>
    <n v="4389.68"/>
    <s v="Complete Access"/>
    <x v="14"/>
    <x v="6"/>
    <x v="9"/>
    <d v="1900-01-18T00:00:00"/>
    <n v="51"/>
    <x v="2"/>
    <x v="1"/>
  </r>
  <r>
    <x v="44"/>
    <n v="-35.4"/>
    <x v="93"/>
    <n v="1524.41"/>
    <s v="Complete Access"/>
    <x v="1"/>
    <x v="1"/>
    <x v="1"/>
    <d v="1900-01-16T00:00:00"/>
    <n v="51"/>
    <x v="2"/>
    <x v="1"/>
  </r>
  <r>
    <x v="44"/>
    <n v="-34.94"/>
    <x v="94"/>
    <n v="1559.81"/>
    <s v="Complete Access"/>
    <x v="46"/>
    <x v="1"/>
    <x v="1"/>
    <d v="1900-01-16T00:00:00"/>
    <n v="51"/>
    <x v="2"/>
    <x v="1"/>
  </r>
  <r>
    <x v="45"/>
    <n v="-2.9"/>
    <x v="7"/>
    <n v="1594.75"/>
    <s v="Complete Access"/>
    <x v="1"/>
    <x v="1"/>
    <x v="1"/>
    <d v="1900-01-15T00:00:00"/>
    <n v="51"/>
    <x v="2"/>
    <x v="1"/>
  </r>
  <r>
    <x v="45"/>
    <n v="-180"/>
    <x v="95"/>
    <n v="1597.65"/>
    <s v="Complete Access"/>
    <x v="0"/>
    <x v="0"/>
    <x v="0"/>
    <d v="1900-01-15T00:00:00"/>
    <n v="51"/>
    <x v="2"/>
    <x v="1"/>
  </r>
  <r>
    <x v="46"/>
    <n v="-29"/>
    <x v="96"/>
    <n v="1777.65"/>
    <s v="Complete Access"/>
    <x v="47"/>
    <x v="1"/>
    <x v="5"/>
    <d v="1900-01-14T00:00:00"/>
    <n v="51"/>
    <x v="2"/>
    <x v="1"/>
  </r>
  <r>
    <x v="47"/>
    <n v="-11.17"/>
    <x v="97"/>
    <n v="1806.65"/>
    <s v="Complete Access"/>
    <x v="48"/>
    <x v="8"/>
    <x v="29"/>
    <d v="1900-01-13T00:00:00"/>
    <n v="50"/>
    <x v="2"/>
    <x v="1"/>
  </r>
  <r>
    <x v="47"/>
    <n v="-33.5"/>
    <x v="98"/>
    <n v="1817.82"/>
    <s v="Complete Access"/>
    <x v="48"/>
    <x v="8"/>
    <x v="29"/>
    <d v="1900-01-13T00:00:00"/>
    <n v="50"/>
    <x v="2"/>
    <x v="1"/>
  </r>
  <r>
    <x v="47"/>
    <n v="-33.5"/>
    <x v="98"/>
    <n v="1851.32"/>
    <s v="Complete Access"/>
    <x v="48"/>
    <x v="8"/>
    <x v="29"/>
    <d v="1900-01-13T00:00:00"/>
    <n v="50"/>
    <x v="2"/>
    <x v="1"/>
  </r>
  <r>
    <x v="48"/>
    <n v="-1.21"/>
    <x v="99"/>
    <n v="1884.82"/>
    <s v="Complete Access"/>
    <x v="10"/>
    <x v="0"/>
    <x v="0"/>
    <d v="1900-01-12T00:00:00"/>
    <n v="50"/>
    <x v="2"/>
    <x v="1"/>
  </r>
  <r>
    <x v="48"/>
    <n v="-34.57"/>
    <x v="100"/>
    <n v="1886.03"/>
    <s v="Complete Access"/>
    <x v="11"/>
    <x v="4"/>
    <x v="7"/>
    <d v="1900-01-12T00:00:00"/>
    <n v="50"/>
    <x v="2"/>
    <x v="1"/>
  </r>
  <r>
    <x v="49"/>
    <n v="-40"/>
    <x v="101"/>
    <n v="1920.6"/>
    <s v="Complete Access"/>
    <x v="12"/>
    <x v="5"/>
    <x v="8"/>
    <d v="1900-01-10T00:00:00"/>
    <n v="50"/>
    <x v="2"/>
    <x v="1"/>
  </r>
  <r>
    <x v="50"/>
    <n v="-33.36"/>
    <x v="102"/>
    <n v="1960.6"/>
    <s v="Complete Access"/>
    <x v="49"/>
    <x v="8"/>
    <x v="29"/>
    <d v="1900-01-09T00:00:00"/>
    <n v="50"/>
    <x v="2"/>
    <x v="1"/>
  </r>
  <r>
    <x v="50"/>
    <n v="-89"/>
    <x v="103"/>
    <n v="1993.96"/>
    <s v="Complete Access"/>
    <x v="17"/>
    <x v="7"/>
    <x v="11"/>
    <d v="1900-01-09T00:00:00"/>
    <n v="50"/>
    <x v="2"/>
    <x v="1"/>
  </r>
  <r>
    <x v="51"/>
    <n v="-12.65"/>
    <x v="7"/>
    <n v="2082.96"/>
    <s v="Complete Access"/>
    <x v="1"/>
    <x v="1"/>
    <x v="1"/>
    <d v="1900-01-06T00:00:00"/>
    <n v="49"/>
    <x v="2"/>
    <x v="1"/>
  </r>
  <r>
    <x v="51"/>
    <n v="-62"/>
    <x v="104"/>
    <n v="2095.61"/>
    <s v="Complete Access"/>
    <x v="30"/>
    <x v="4"/>
    <x v="20"/>
    <d v="1900-01-06T00:00:00"/>
    <n v="49"/>
    <x v="2"/>
    <x v="1"/>
  </r>
  <r>
    <x v="52"/>
    <n v="-18"/>
    <x v="7"/>
    <n v="2157.61"/>
    <s v="Complete Access"/>
    <x v="1"/>
    <x v="1"/>
    <x v="1"/>
    <d v="1900-01-04T00:00:00"/>
    <n v="49"/>
    <x v="2"/>
    <x v="1"/>
  </r>
  <r>
    <x v="52"/>
    <n v="-0.81"/>
    <x v="105"/>
    <n v="2175.61"/>
    <s v="Complete Access"/>
    <x v="10"/>
    <x v="0"/>
    <x v="0"/>
    <d v="1900-01-04T00:00:00"/>
    <n v="49"/>
    <x v="2"/>
    <x v="1"/>
  </r>
  <r>
    <x v="52"/>
    <n v="-23.09"/>
    <x v="106"/>
    <n v="2176.42"/>
    <s v="Complete Access"/>
    <x v="18"/>
    <x v="8"/>
    <x v="7"/>
    <d v="1900-01-04T00:00:00"/>
    <n v="49"/>
    <x v="2"/>
    <x v="1"/>
  </r>
  <r>
    <x v="52"/>
    <n v="-28.21"/>
    <x v="107"/>
    <n v="2199.5100000000002"/>
    <s v="Complete Access"/>
    <x v="1"/>
    <x v="1"/>
    <x v="1"/>
    <d v="1900-01-04T00:00:00"/>
    <n v="49"/>
    <x v="2"/>
    <x v="1"/>
  </r>
  <r>
    <x v="52"/>
    <n v="-272.64"/>
    <x v="108"/>
    <n v="2227.7199999999998"/>
    <s v="Complete Access"/>
    <x v="31"/>
    <x v="12"/>
    <x v="21"/>
    <d v="1900-01-04T00:00:00"/>
    <n v="49"/>
    <x v="2"/>
    <x v="1"/>
  </r>
  <r>
    <x v="52"/>
    <n v="-1408.62"/>
    <x v="15"/>
    <n v="2500.36"/>
    <s v="Complete Access"/>
    <x v="13"/>
    <x v="0"/>
    <x v="0"/>
    <d v="1900-01-04T00:00:00"/>
    <n v="49"/>
    <x v="2"/>
    <x v="1"/>
  </r>
  <r>
    <x v="52"/>
    <n v="2865.27"/>
    <x v="109"/>
    <n v="3908.98"/>
    <s v="Complete Access"/>
    <x v="14"/>
    <x v="6"/>
    <x v="9"/>
    <d v="1900-01-04T00:00:00"/>
    <n v="49"/>
    <x v="2"/>
    <x v="1"/>
  </r>
  <r>
    <x v="53"/>
    <n v="185"/>
    <x v="110"/>
    <n v="1043.71"/>
    <s v="Complete Access"/>
    <x v="50"/>
    <x v="4"/>
    <x v="25"/>
    <d v="1900-01-03T00:00:00"/>
    <n v="49"/>
    <x v="2"/>
    <x v="1"/>
  </r>
  <r>
    <x v="54"/>
    <n v="250"/>
    <x v="111"/>
    <n v="858.71"/>
    <s v="Complete Access"/>
    <x v="36"/>
    <x v="0"/>
    <x v="0"/>
    <d v="1900-01-02T00:00:00"/>
    <n v="49"/>
    <x v="2"/>
    <x v="1"/>
  </r>
  <r>
    <x v="54"/>
    <n v="-16.5"/>
    <x v="8"/>
    <n v="608.71"/>
    <s v="Complete Access"/>
    <x v="7"/>
    <x v="1"/>
    <x v="5"/>
    <d v="1900-01-02T00:00:00"/>
    <n v="49"/>
    <x v="2"/>
    <x v="1"/>
  </r>
  <r>
    <x v="55"/>
    <n v="-185"/>
    <x v="112"/>
    <n v="625.21"/>
    <s v="Complete Access"/>
    <x v="50"/>
    <x v="4"/>
    <x v="25"/>
    <d v="1899-12-31T00:00:00"/>
    <n v="49"/>
    <x v="2"/>
    <x v="1"/>
  </r>
  <r>
    <x v="56"/>
    <n v="-90"/>
    <x v="22"/>
    <n v="810.21"/>
    <s v="Complete Access"/>
    <x v="0"/>
    <x v="0"/>
    <x v="0"/>
    <d v="1900-01-29T00:00:00"/>
    <n v="48"/>
    <x v="3"/>
    <x v="1"/>
  </r>
  <r>
    <x v="57"/>
    <n v="-60.74"/>
    <x v="113"/>
    <n v="900.21"/>
    <s v="Complete Access"/>
    <x v="5"/>
    <x v="3"/>
    <x v="3"/>
    <d v="1900-01-27T00:00:00"/>
    <n v="48"/>
    <x v="3"/>
    <x v="1"/>
  </r>
  <r>
    <x v="58"/>
    <n v="-19"/>
    <x v="114"/>
    <n v="960.95"/>
    <s v="Complete Access"/>
    <x v="51"/>
    <x v="4"/>
    <x v="30"/>
    <d v="1900-01-26T00:00:00"/>
    <n v="48"/>
    <x v="3"/>
    <x v="1"/>
  </r>
  <r>
    <x v="59"/>
    <n v="-19"/>
    <x v="33"/>
    <n v="979.95"/>
    <s v="Complete Access"/>
    <x v="1"/>
    <x v="1"/>
    <x v="1"/>
    <d v="1900-01-25T00:00:00"/>
    <n v="48"/>
    <x v="3"/>
    <x v="1"/>
  </r>
  <r>
    <x v="59"/>
    <n v="-13.11"/>
    <x v="18"/>
    <n v="998.95"/>
    <s v="Complete Access"/>
    <x v="16"/>
    <x v="1"/>
    <x v="5"/>
    <d v="1900-01-25T00:00:00"/>
    <n v="48"/>
    <x v="3"/>
    <x v="1"/>
  </r>
  <r>
    <x v="59"/>
    <n v="-31"/>
    <x v="115"/>
    <n v="1012.06"/>
    <s v="Complete Access"/>
    <x v="17"/>
    <x v="7"/>
    <x v="11"/>
    <d v="1900-01-25T00:00:00"/>
    <n v="48"/>
    <x v="3"/>
    <x v="1"/>
  </r>
  <r>
    <x v="59"/>
    <n v="-142"/>
    <x v="116"/>
    <n v="1043.06"/>
    <s v="Complete Access"/>
    <x v="5"/>
    <x v="3"/>
    <x v="3"/>
    <d v="1900-01-25T00:00:00"/>
    <n v="48"/>
    <x v="3"/>
    <x v="1"/>
  </r>
  <r>
    <x v="60"/>
    <n v="-17.010000000000002"/>
    <x v="7"/>
    <n v="1185.06"/>
    <s v="Complete Access"/>
    <x v="1"/>
    <x v="1"/>
    <x v="1"/>
    <d v="1900-01-24T00:00:00"/>
    <n v="48"/>
    <x v="3"/>
    <x v="1"/>
  </r>
  <r>
    <x v="61"/>
    <n v="300"/>
    <x v="117"/>
    <n v="1202.07"/>
    <s v="Complete Access"/>
    <x v="36"/>
    <x v="0"/>
    <x v="0"/>
    <d v="1900-01-23T00:00:00"/>
    <n v="48"/>
    <x v="3"/>
    <x v="1"/>
  </r>
  <r>
    <x v="61"/>
    <n v="0.04"/>
    <x v="118"/>
    <n v="902.07"/>
    <s v="Complete Access"/>
    <x v="8"/>
    <x v="1"/>
    <x v="5"/>
    <d v="1900-01-23T00:00:00"/>
    <n v="48"/>
    <x v="3"/>
    <x v="1"/>
  </r>
  <r>
    <x v="61"/>
    <n v="-47.2"/>
    <x v="119"/>
    <n v="902.03"/>
    <s v="Complete Access"/>
    <x v="8"/>
    <x v="1"/>
    <x v="5"/>
    <d v="1900-01-23T00:00:00"/>
    <n v="48"/>
    <x v="3"/>
    <x v="1"/>
  </r>
  <r>
    <x v="61"/>
    <n v="-15.22"/>
    <x v="120"/>
    <n v="949.23"/>
    <s v="Complete Access"/>
    <x v="52"/>
    <x v="8"/>
    <x v="29"/>
    <d v="1900-01-23T00:00:00"/>
    <n v="48"/>
    <x v="3"/>
    <x v="1"/>
  </r>
  <r>
    <x v="61"/>
    <n v="-14.11"/>
    <x v="120"/>
    <n v="964.45"/>
    <s v="Complete Access"/>
    <x v="52"/>
    <x v="8"/>
    <x v="29"/>
    <d v="1900-01-23T00:00:00"/>
    <n v="48"/>
    <x v="3"/>
    <x v="1"/>
  </r>
  <r>
    <x v="62"/>
    <n v="-38.799999999999997"/>
    <x v="121"/>
    <n v="978.56"/>
    <s v="Complete Access"/>
    <x v="53"/>
    <x v="8"/>
    <x v="29"/>
    <d v="1900-01-22T00:00:00"/>
    <n v="47"/>
    <x v="3"/>
    <x v="1"/>
  </r>
  <r>
    <x v="62"/>
    <n v="-14.85"/>
    <x v="121"/>
    <n v="1017.36"/>
    <s v="Complete Access"/>
    <x v="53"/>
    <x v="8"/>
    <x v="29"/>
    <d v="1900-01-22T00:00:00"/>
    <n v="47"/>
    <x v="3"/>
    <x v="1"/>
  </r>
  <r>
    <x v="62"/>
    <n v="-134"/>
    <x v="122"/>
    <n v="1032.21"/>
    <s v="Complete Access"/>
    <x v="0"/>
    <x v="0"/>
    <x v="0"/>
    <d v="1900-01-22T00:00:00"/>
    <n v="47"/>
    <x v="3"/>
    <x v="1"/>
  </r>
  <r>
    <x v="62"/>
    <n v="-3"/>
    <x v="72"/>
    <n v="1166.21"/>
    <s v="Complete Access"/>
    <x v="37"/>
    <x v="0"/>
    <x v="0"/>
    <d v="1900-01-22T00:00:00"/>
    <n v="47"/>
    <x v="3"/>
    <x v="1"/>
  </r>
  <r>
    <x v="62"/>
    <n v="-600"/>
    <x v="73"/>
    <n v="1169.21"/>
    <s v="Complete Access"/>
    <x v="1"/>
    <x v="1"/>
    <x v="1"/>
    <d v="1900-01-22T00:00:00"/>
    <n v="47"/>
    <x v="3"/>
    <x v="1"/>
  </r>
  <r>
    <x v="63"/>
    <n v="-138.87"/>
    <x v="123"/>
    <n v="1769.21"/>
    <s v="Complete Access"/>
    <x v="3"/>
    <x v="2"/>
    <x v="2"/>
    <d v="1900-01-20T00:00:00"/>
    <n v="47"/>
    <x v="3"/>
    <x v="1"/>
  </r>
  <r>
    <x v="63"/>
    <n v="-40"/>
    <x v="124"/>
    <n v="1908.08"/>
    <s v="Complete Access"/>
    <x v="12"/>
    <x v="5"/>
    <x v="8"/>
    <d v="1900-01-20T00:00:00"/>
    <n v="47"/>
    <x v="3"/>
    <x v="1"/>
  </r>
  <r>
    <x v="63"/>
    <n v="-1408.62"/>
    <x v="15"/>
    <n v="1948.08"/>
    <s v="Complete Access"/>
    <x v="13"/>
    <x v="0"/>
    <x v="0"/>
    <d v="1900-01-20T00:00:00"/>
    <n v="47"/>
    <x v="3"/>
    <x v="1"/>
  </r>
  <r>
    <x v="63"/>
    <n v="2865.28"/>
    <x v="125"/>
    <n v="3356.7"/>
    <s v="Complete Access"/>
    <x v="14"/>
    <x v="6"/>
    <x v="9"/>
    <d v="1900-01-20T00:00:00"/>
    <n v="47"/>
    <x v="3"/>
    <x v="1"/>
  </r>
  <r>
    <x v="64"/>
    <n v="-90"/>
    <x v="22"/>
    <n v="491.42"/>
    <s v="Complete Access"/>
    <x v="0"/>
    <x v="0"/>
    <x v="0"/>
    <d v="1900-01-18T00:00:00"/>
    <n v="47"/>
    <x v="3"/>
    <x v="1"/>
  </r>
  <r>
    <x v="65"/>
    <n v="82.9"/>
    <x v="126"/>
    <n v="581.41999999999996"/>
    <s v="Complete Access"/>
    <x v="26"/>
    <x v="11"/>
    <x v="18"/>
    <d v="1900-01-17T00:00:00"/>
    <n v="47"/>
    <x v="3"/>
    <x v="1"/>
  </r>
  <r>
    <x v="65"/>
    <n v="-107.9"/>
    <x v="127"/>
    <n v="498.52"/>
    <s v="Complete Access"/>
    <x v="54"/>
    <x v="11"/>
    <x v="16"/>
    <d v="1900-01-17T00:00:00"/>
    <n v="47"/>
    <x v="3"/>
    <x v="1"/>
  </r>
  <r>
    <x v="66"/>
    <n v="-5600"/>
    <x v="128"/>
    <n v="606.41999999999996"/>
    <s v="Complete Access"/>
    <x v="0"/>
    <x v="0"/>
    <x v="0"/>
    <d v="1900-01-16T00:00:00"/>
    <n v="47"/>
    <x v="3"/>
    <x v="1"/>
  </r>
  <r>
    <x v="67"/>
    <n v="-29"/>
    <x v="129"/>
    <n v="6206.42"/>
    <s v="Complete Access"/>
    <x v="50"/>
    <x v="4"/>
    <x v="25"/>
    <d v="1900-01-15T00:00:00"/>
    <n v="46"/>
    <x v="3"/>
    <x v="1"/>
  </r>
  <r>
    <x v="67"/>
    <n v="-3.95"/>
    <x v="130"/>
    <n v="6235.42"/>
    <s v="Complete Access"/>
    <x v="1"/>
    <x v="1"/>
    <x v="1"/>
    <d v="1900-01-15T00:00:00"/>
    <n v="46"/>
    <x v="3"/>
    <x v="1"/>
  </r>
  <r>
    <x v="68"/>
    <n v="-1407"/>
    <x v="131"/>
    <n v="6239.37"/>
    <s v="Complete Access"/>
    <x v="55"/>
    <x v="4"/>
    <x v="20"/>
    <d v="1900-01-14T00:00:00"/>
    <n v="46"/>
    <x v="3"/>
    <x v="1"/>
  </r>
  <r>
    <x v="68"/>
    <n v="40"/>
    <x v="132"/>
    <n v="7646.37"/>
    <s v="Complete Access"/>
    <x v="36"/>
    <x v="0"/>
    <x v="0"/>
    <d v="1900-01-14T00:00:00"/>
    <n v="46"/>
    <x v="3"/>
    <x v="1"/>
  </r>
  <r>
    <x v="69"/>
    <n v="7496.1"/>
    <x v="133"/>
    <n v="7606.37"/>
    <s v="Complete Access"/>
    <x v="36"/>
    <x v="0"/>
    <x v="0"/>
    <d v="1900-01-13T00:00:00"/>
    <n v="46"/>
    <x v="3"/>
    <x v="1"/>
  </r>
  <r>
    <x v="69"/>
    <n v="-50.19"/>
    <x v="134"/>
    <n v="110.27"/>
    <s v="Complete Access"/>
    <x v="56"/>
    <x v="9"/>
    <x v="31"/>
    <d v="1900-01-13T00:00:00"/>
    <n v="46"/>
    <x v="3"/>
    <x v="1"/>
  </r>
  <r>
    <x v="70"/>
    <n v="-1.17"/>
    <x v="135"/>
    <n v="160.46"/>
    <s v="Complete Access"/>
    <x v="10"/>
    <x v="0"/>
    <x v="0"/>
    <d v="1900-01-12T00:00:00"/>
    <n v="46"/>
    <x v="3"/>
    <x v="1"/>
  </r>
  <r>
    <x v="70"/>
    <n v="-33.49"/>
    <x v="136"/>
    <n v="161.63"/>
    <s v="Complete Access"/>
    <x v="11"/>
    <x v="4"/>
    <x v="7"/>
    <d v="1900-01-12T00:00:00"/>
    <n v="46"/>
    <x v="3"/>
    <x v="1"/>
  </r>
  <r>
    <x v="71"/>
    <n v="-154.76"/>
    <x v="137"/>
    <n v="195.12"/>
    <s v="Complete Access"/>
    <x v="57"/>
    <x v="4"/>
    <x v="25"/>
    <d v="1900-01-11T00:00:00"/>
    <n v="46"/>
    <x v="3"/>
    <x v="1"/>
  </r>
  <r>
    <x v="71"/>
    <n v="-9.57"/>
    <x v="138"/>
    <n v="349.88"/>
    <s v="Complete Access"/>
    <x v="21"/>
    <x v="10"/>
    <x v="13"/>
    <d v="1900-01-11T00:00:00"/>
    <n v="46"/>
    <x v="3"/>
    <x v="1"/>
  </r>
  <r>
    <x v="72"/>
    <n v="-21.64"/>
    <x v="7"/>
    <n v="359.45"/>
    <s v="Complete Access"/>
    <x v="1"/>
    <x v="1"/>
    <x v="1"/>
    <d v="1900-01-10T00:00:00"/>
    <n v="46"/>
    <x v="3"/>
    <x v="1"/>
  </r>
  <r>
    <x v="72"/>
    <n v="-1000"/>
    <x v="128"/>
    <n v="381.09"/>
    <s v="Complete Access"/>
    <x v="0"/>
    <x v="0"/>
    <x v="0"/>
    <d v="1900-01-10T00:00:00"/>
    <n v="46"/>
    <x v="3"/>
    <x v="1"/>
  </r>
  <r>
    <x v="73"/>
    <n v="68.92"/>
    <x v="139"/>
    <n v="1381.09"/>
    <s v="Complete Access"/>
    <x v="36"/>
    <x v="0"/>
    <x v="0"/>
    <d v="1900-01-09T00:00:00"/>
    <n v="46"/>
    <x v="3"/>
    <x v="1"/>
  </r>
  <r>
    <x v="73"/>
    <n v="47.02"/>
    <x v="140"/>
    <n v="1312.17"/>
    <s v="Complete Access"/>
    <x v="36"/>
    <x v="0"/>
    <x v="0"/>
    <d v="1900-01-09T00:00:00"/>
    <n v="46"/>
    <x v="3"/>
    <x v="1"/>
  </r>
  <r>
    <x v="74"/>
    <n v="-8.1999999999999993"/>
    <x v="141"/>
    <n v="1265.1500000000001"/>
    <s v="Complete Access"/>
    <x v="58"/>
    <x v="8"/>
    <x v="29"/>
    <d v="1900-01-08T00:00:00"/>
    <n v="45"/>
    <x v="3"/>
    <x v="1"/>
  </r>
  <r>
    <x v="74"/>
    <n v="-344.59"/>
    <x v="142"/>
    <n v="1273.3499999999999"/>
    <s v="Complete Access"/>
    <x v="59"/>
    <x v="1"/>
    <x v="5"/>
    <d v="1900-01-08T00:00:00"/>
    <n v="45"/>
    <x v="3"/>
    <x v="1"/>
  </r>
  <r>
    <x v="74"/>
    <n v="-29.95"/>
    <x v="104"/>
    <n v="1617.94"/>
    <s v="Complete Access"/>
    <x v="30"/>
    <x v="4"/>
    <x v="20"/>
    <d v="1900-01-08T00:00:00"/>
    <n v="45"/>
    <x v="3"/>
    <x v="1"/>
  </r>
  <r>
    <x v="74"/>
    <n v="-89"/>
    <x v="143"/>
    <n v="1647.89"/>
    <s v="Complete Access"/>
    <x v="17"/>
    <x v="7"/>
    <x v="11"/>
    <d v="1900-01-08T00:00:00"/>
    <n v="45"/>
    <x v="3"/>
    <x v="1"/>
  </r>
  <r>
    <x v="74"/>
    <n v="-4.5"/>
    <x v="144"/>
    <n v="1736.89"/>
    <s v="Complete Access"/>
    <x v="60"/>
    <x v="14"/>
    <x v="32"/>
    <d v="1900-01-08T00:00:00"/>
    <n v="45"/>
    <x v="3"/>
    <x v="1"/>
  </r>
  <r>
    <x v="75"/>
    <n v="-603"/>
    <x v="131"/>
    <n v="1741.39"/>
    <s v="Complete Access"/>
    <x v="55"/>
    <x v="4"/>
    <x v="20"/>
    <d v="1900-01-07T00:00:00"/>
    <n v="45"/>
    <x v="3"/>
    <x v="1"/>
  </r>
  <r>
    <x v="75"/>
    <n v="-376.2"/>
    <x v="145"/>
    <n v="2344.39"/>
    <s v="Complete Access"/>
    <x v="13"/>
    <x v="0"/>
    <x v="0"/>
    <d v="1900-01-07T00:00:00"/>
    <n v="45"/>
    <x v="3"/>
    <x v="1"/>
  </r>
  <r>
    <x v="76"/>
    <n v="-18.2"/>
    <x v="7"/>
    <n v="2720.59"/>
    <s v="Complete Access"/>
    <x v="1"/>
    <x v="1"/>
    <x v="1"/>
    <d v="1900-01-06T00:00:00"/>
    <n v="45"/>
    <x v="3"/>
    <x v="1"/>
  </r>
  <r>
    <x v="76"/>
    <n v="-165"/>
    <x v="146"/>
    <n v="2738.79"/>
    <s v="Complete Access"/>
    <x v="0"/>
    <x v="0"/>
    <x v="0"/>
    <d v="1900-01-06T00:00:00"/>
    <n v="45"/>
    <x v="3"/>
    <x v="1"/>
  </r>
  <r>
    <x v="76"/>
    <n v="2865.26"/>
    <x v="147"/>
    <n v="2903.79"/>
    <s v="Complete Access"/>
    <x v="14"/>
    <x v="6"/>
    <x v="9"/>
    <d v="1900-01-06T00:00:00"/>
    <n v="45"/>
    <x v="3"/>
    <x v="1"/>
  </r>
  <r>
    <x v="77"/>
    <n v="-6"/>
    <x v="148"/>
    <n v="38.53"/>
    <s v="Complete Access"/>
    <x v="61"/>
    <x v="1"/>
    <x v="1"/>
    <d v="1900-01-04T00:00:00"/>
    <n v="45"/>
    <x v="3"/>
    <x v="1"/>
  </r>
  <r>
    <x v="77"/>
    <n v="-30.23"/>
    <x v="149"/>
    <n v="44.53"/>
    <s v="Complete Access"/>
    <x v="1"/>
    <x v="1"/>
    <x v="1"/>
    <d v="1900-01-04T00:00:00"/>
    <n v="45"/>
    <x v="3"/>
    <x v="1"/>
  </r>
  <r>
    <x v="77"/>
    <n v="-0.8"/>
    <x v="150"/>
    <n v="74.760000000000005"/>
    <s v="Complete Access"/>
    <x v="10"/>
    <x v="0"/>
    <x v="0"/>
    <d v="1900-01-04T00:00:00"/>
    <n v="45"/>
    <x v="3"/>
    <x v="1"/>
  </r>
  <r>
    <x v="77"/>
    <n v="-22.9"/>
    <x v="151"/>
    <n v="75.56"/>
    <s v="Complete Access"/>
    <x v="18"/>
    <x v="8"/>
    <x v="7"/>
    <d v="1900-01-04T00:00:00"/>
    <n v="45"/>
    <x v="3"/>
    <x v="1"/>
  </r>
  <r>
    <x v="78"/>
    <n v="-30.7"/>
    <x v="152"/>
    <n v="98.46"/>
    <s v="Complete Access"/>
    <x v="2"/>
    <x v="1"/>
    <x v="1"/>
    <d v="1900-01-01T00:00:00"/>
    <n v="44"/>
    <x v="3"/>
    <x v="1"/>
  </r>
  <r>
    <x v="78"/>
    <n v="-17"/>
    <x v="153"/>
    <n v="129.16"/>
    <s v="Complete Access"/>
    <x v="28"/>
    <x v="1"/>
    <x v="5"/>
    <d v="1900-01-01T00:00:00"/>
    <n v="44"/>
    <x v="3"/>
    <x v="1"/>
  </r>
  <r>
    <x v="79"/>
    <n v="-40"/>
    <x v="154"/>
    <n v="146.16"/>
    <s v="Complete Access"/>
    <x v="12"/>
    <x v="5"/>
    <x v="8"/>
    <d v="1900-01-30T00:00:00"/>
    <n v="44"/>
    <x v="4"/>
    <x v="1"/>
  </r>
  <r>
    <x v="80"/>
    <n v="-15.5"/>
    <x v="155"/>
    <n v="186.16"/>
    <s v="Complete Access"/>
    <x v="62"/>
    <x v="1"/>
    <x v="5"/>
    <d v="1900-01-29T00:00:00"/>
    <n v="44"/>
    <x v="4"/>
    <x v="1"/>
  </r>
  <r>
    <x v="80"/>
    <n v="-6630.76"/>
    <x v="156"/>
    <n v="201.66"/>
    <s v="Complete Access"/>
    <x v="63"/>
    <x v="4"/>
    <x v="20"/>
    <d v="1900-01-29T00:00:00"/>
    <n v="44"/>
    <x v="4"/>
    <x v="1"/>
  </r>
  <r>
    <x v="81"/>
    <n v="-4.97"/>
    <x v="7"/>
    <n v="6832.42"/>
    <s v="Complete Access"/>
    <x v="1"/>
    <x v="1"/>
    <x v="1"/>
    <d v="1900-01-28T00:00:00"/>
    <n v="44"/>
    <x v="4"/>
    <x v="1"/>
  </r>
  <r>
    <x v="81"/>
    <n v="-14.73"/>
    <x v="18"/>
    <n v="6837.39"/>
    <s v="Complete Access"/>
    <x v="16"/>
    <x v="1"/>
    <x v="5"/>
    <d v="1900-01-28T00:00:00"/>
    <n v="44"/>
    <x v="4"/>
    <x v="1"/>
  </r>
  <r>
    <x v="81"/>
    <n v="-32.17"/>
    <x v="157"/>
    <n v="6852.12"/>
    <s v="Complete Access"/>
    <x v="64"/>
    <x v="9"/>
    <x v="12"/>
    <d v="1900-01-28T00:00:00"/>
    <n v="44"/>
    <x v="4"/>
    <x v="1"/>
  </r>
  <r>
    <x v="81"/>
    <n v="-11"/>
    <x v="158"/>
    <n v="6884.29"/>
    <s v="Complete Access"/>
    <x v="65"/>
    <x v="8"/>
    <x v="29"/>
    <d v="1900-01-28T00:00:00"/>
    <n v="44"/>
    <x v="4"/>
    <x v="1"/>
  </r>
  <r>
    <x v="81"/>
    <n v="-22.84"/>
    <x v="159"/>
    <n v="6895.29"/>
    <s v="Complete Access"/>
    <x v="1"/>
    <x v="1"/>
    <x v="1"/>
    <d v="1900-01-28T00:00:00"/>
    <n v="44"/>
    <x v="4"/>
    <x v="1"/>
  </r>
  <r>
    <x v="81"/>
    <n v="-26.66"/>
    <x v="160"/>
    <n v="6918.13"/>
    <s v="Complete Access"/>
    <x v="27"/>
    <x v="1"/>
    <x v="5"/>
    <d v="1900-01-28T00:00:00"/>
    <n v="44"/>
    <x v="4"/>
    <x v="1"/>
  </r>
  <r>
    <x v="82"/>
    <n v="-16.239999999999998"/>
    <x v="161"/>
    <n v="6944.79"/>
    <s v="Complete Access"/>
    <x v="66"/>
    <x v="1"/>
    <x v="5"/>
    <d v="1900-01-27T00:00:00"/>
    <n v="44"/>
    <x v="4"/>
    <x v="1"/>
  </r>
  <r>
    <x v="82"/>
    <n v="5600"/>
    <x v="162"/>
    <n v="6961.03"/>
    <s v="Complete Access"/>
    <x v="67"/>
    <x v="0"/>
    <x v="0"/>
    <d v="1900-01-27T00:00:00"/>
    <n v="44"/>
    <x v="4"/>
    <x v="1"/>
  </r>
  <r>
    <x v="82"/>
    <n v="-12.95"/>
    <x v="163"/>
    <n v="1361.03"/>
    <s v="Complete Access"/>
    <x v="47"/>
    <x v="1"/>
    <x v="5"/>
    <d v="1900-01-27T00:00:00"/>
    <n v="44"/>
    <x v="4"/>
    <x v="1"/>
  </r>
  <r>
    <x v="83"/>
    <n v="-31.8"/>
    <x v="164"/>
    <n v="1373.98"/>
    <s v="Complete Access"/>
    <x v="1"/>
    <x v="1"/>
    <x v="1"/>
    <d v="1900-01-25T00:00:00"/>
    <n v="43"/>
    <x v="4"/>
    <x v="1"/>
  </r>
  <r>
    <x v="83"/>
    <n v="-5"/>
    <x v="165"/>
    <n v="1405.78"/>
    <s v="Complete Access"/>
    <x v="60"/>
    <x v="14"/>
    <x v="32"/>
    <d v="1900-01-25T00:00:00"/>
    <n v="43"/>
    <x v="4"/>
    <x v="1"/>
  </r>
  <r>
    <x v="83"/>
    <n v="-3.5"/>
    <x v="165"/>
    <n v="1410.78"/>
    <s v="Complete Access"/>
    <x v="60"/>
    <x v="14"/>
    <x v="32"/>
    <d v="1900-01-25T00:00:00"/>
    <n v="43"/>
    <x v="4"/>
    <x v="1"/>
  </r>
  <r>
    <x v="84"/>
    <n v="-8.1199999999999992"/>
    <x v="166"/>
    <n v="1414.28"/>
    <s v="Complete Access"/>
    <x v="68"/>
    <x v="1"/>
    <x v="5"/>
    <d v="1900-01-24T00:00:00"/>
    <n v="43"/>
    <x v="4"/>
    <x v="1"/>
  </r>
  <r>
    <x v="84"/>
    <n v="-4.3"/>
    <x v="33"/>
    <n v="1422.4"/>
    <s v="Complete Access"/>
    <x v="1"/>
    <x v="1"/>
    <x v="1"/>
    <d v="1900-01-24T00:00:00"/>
    <n v="43"/>
    <x v="4"/>
    <x v="1"/>
  </r>
  <r>
    <x v="84"/>
    <n v="-16"/>
    <x v="8"/>
    <n v="1426.7"/>
    <s v="Complete Access"/>
    <x v="7"/>
    <x v="1"/>
    <x v="5"/>
    <d v="1900-01-24T00:00:00"/>
    <n v="43"/>
    <x v="4"/>
    <x v="1"/>
  </r>
  <r>
    <x v="84"/>
    <n v="-11.95"/>
    <x v="167"/>
    <n v="1442.7"/>
    <s v="Complete Access"/>
    <x v="69"/>
    <x v="11"/>
    <x v="14"/>
    <d v="1900-01-24T00:00:00"/>
    <n v="43"/>
    <x v="4"/>
    <x v="1"/>
  </r>
  <r>
    <x v="84"/>
    <n v="-31"/>
    <x v="168"/>
    <n v="1454.65"/>
    <s v="Complete Access"/>
    <x v="17"/>
    <x v="7"/>
    <x v="11"/>
    <d v="1900-01-24T00:00:00"/>
    <n v="43"/>
    <x v="4"/>
    <x v="1"/>
  </r>
  <r>
    <x v="85"/>
    <n v="-17.54"/>
    <x v="42"/>
    <n v="1485.65"/>
    <s v="Complete Access"/>
    <x v="27"/>
    <x v="1"/>
    <x v="5"/>
    <d v="1900-01-23T00:00:00"/>
    <n v="43"/>
    <x v="4"/>
    <x v="1"/>
  </r>
  <r>
    <x v="85"/>
    <n v="-65.900000000000006"/>
    <x v="169"/>
    <n v="1503.19"/>
    <s v="Complete Access"/>
    <x v="70"/>
    <x v="8"/>
    <x v="22"/>
    <d v="1900-01-23T00:00:00"/>
    <n v="43"/>
    <x v="4"/>
    <x v="1"/>
  </r>
  <r>
    <x v="85"/>
    <n v="-1408.62"/>
    <x v="15"/>
    <n v="1569.09"/>
    <s v="Complete Access"/>
    <x v="13"/>
    <x v="0"/>
    <x v="0"/>
    <d v="1900-01-23T00:00:00"/>
    <n v="43"/>
    <x v="4"/>
    <x v="1"/>
  </r>
  <r>
    <x v="85"/>
    <n v="2865.27"/>
    <x v="170"/>
    <n v="2977.71"/>
    <s v="Complete Access"/>
    <x v="14"/>
    <x v="6"/>
    <x v="9"/>
    <d v="1900-01-23T00:00:00"/>
    <n v="43"/>
    <x v="4"/>
    <x v="1"/>
  </r>
  <r>
    <x v="86"/>
    <n v="-107.9"/>
    <x v="127"/>
    <n v="112.44"/>
    <s v="Complete Access"/>
    <x v="54"/>
    <x v="11"/>
    <x v="16"/>
    <d v="1900-01-22T00:00:00"/>
    <n v="43"/>
    <x v="4"/>
    <x v="1"/>
  </r>
  <r>
    <x v="86"/>
    <n v="-138.87"/>
    <x v="171"/>
    <n v="220.34"/>
    <s v="Complete Access"/>
    <x v="3"/>
    <x v="2"/>
    <x v="2"/>
    <d v="1900-01-22T00:00:00"/>
    <n v="43"/>
    <x v="4"/>
    <x v="1"/>
  </r>
  <r>
    <x v="86"/>
    <n v="-649.16999999999996"/>
    <x v="172"/>
    <n v="359.21"/>
    <s v="Complete Access"/>
    <x v="31"/>
    <x v="12"/>
    <x v="21"/>
    <d v="1900-01-22T00:00:00"/>
    <n v="43"/>
    <x v="4"/>
    <x v="1"/>
  </r>
  <r>
    <x v="86"/>
    <n v="26.76"/>
    <x v="173"/>
    <n v="1008.38"/>
    <s v="Complete Access"/>
    <x v="71"/>
    <x v="4"/>
    <x v="33"/>
    <d v="1900-01-22T00:00:00"/>
    <n v="43"/>
    <x v="4"/>
    <x v="1"/>
  </r>
  <r>
    <x v="87"/>
    <n v="-16.5"/>
    <x v="8"/>
    <n v="981.62"/>
    <s v="Complete Access"/>
    <x v="7"/>
    <x v="1"/>
    <x v="5"/>
    <d v="1900-01-21T00:00:00"/>
    <n v="43"/>
    <x v="4"/>
    <x v="1"/>
  </r>
  <r>
    <x v="87"/>
    <n v="-28.55"/>
    <x v="174"/>
    <n v="998.12"/>
    <s v="Complete Access"/>
    <x v="1"/>
    <x v="1"/>
    <x v="1"/>
    <d v="1900-01-21T00:00:00"/>
    <n v="43"/>
    <x v="4"/>
    <x v="1"/>
  </r>
  <r>
    <x v="87"/>
    <n v="-1.2"/>
    <x v="175"/>
    <n v="1026.67"/>
    <s v="Complete Access"/>
    <x v="10"/>
    <x v="0"/>
    <x v="0"/>
    <d v="1900-01-21T00:00:00"/>
    <n v="43"/>
    <x v="4"/>
    <x v="1"/>
  </r>
  <r>
    <x v="87"/>
    <n v="-34.229999999999997"/>
    <x v="176"/>
    <n v="1027.8699999999999"/>
    <s v="Complete Access"/>
    <x v="71"/>
    <x v="4"/>
    <x v="33"/>
    <d v="1900-01-21T00:00:00"/>
    <n v="43"/>
    <x v="4"/>
    <x v="1"/>
  </r>
  <r>
    <x v="88"/>
    <n v="-46.53"/>
    <x v="42"/>
    <n v="1062.0999999999999"/>
    <s v="Complete Access"/>
    <x v="27"/>
    <x v="1"/>
    <x v="5"/>
    <d v="1900-01-19T00:00:00"/>
    <n v="43"/>
    <x v="4"/>
    <x v="1"/>
  </r>
  <r>
    <x v="89"/>
    <n v="-35.880000000000003"/>
    <x v="177"/>
    <n v="1108.6300000000001"/>
    <s v="Complete Access"/>
    <x v="72"/>
    <x v="1"/>
    <x v="5"/>
    <d v="1900-01-18T00:00:00"/>
    <n v="42"/>
    <x v="4"/>
    <x v="1"/>
  </r>
  <r>
    <x v="90"/>
    <n v="-14.73"/>
    <x v="18"/>
    <n v="1144.51"/>
    <s v="Complete Access"/>
    <x v="16"/>
    <x v="1"/>
    <x v="5"/>
    <d v="1900-01-14T00:00:00"/>
    <n v="42"/>
    <x v="4"/>
    <x v="1"/>
  </r>
  <r>
    <x v="90"/>
    <n v="-1.1499999999999999"/>
    <x v="178"/>
    <n v="1159.24"/>
    <s v="Complete Access"/>
    <x v="10"/>
    <x v="0"/>
    <x v="0"/>
    <d v="1900-01-14T00:00:00"/>
    <n v="42"/>
    <x v="4"/>
    <x v="1"/>
  </r>
  <r>
    <x v="90"/>
    <n v="-32.79"/>
    <x v="179"/>
    <n v="1160.3900000000001"/>
    <s v="Complete Access"/>
    <x v="11"/>
    <x v="4"/>
    <x v="7"/>
    <d v="1900-01-14T00:00:00"/>
    <n v="42"/>
    <x v="4"/>
    <x v="1"/>
  </r>
  <r>
    <x v="91"/>
    <n v="31.84"/>
    <x v="6"/>
    <n v="1193.18"/>
    <s v="Complete Access"/>
    <x v="6"/>
    <x v="4"/>
    <x v="4"/>
    <d v="1900-01-13T00:00:00"/>
    <n v="42"/>
    <x v="4"/>
    <x v="1"/>
  </r>
  <r>
    <x v="92"/>
    <n v="-2200"/>
    <x v="128"/>
    <n v="1161.3399999999999"/>
    <s v="Complete Access"/>
    <x v="0"/>
    <x v="0"/>
    <x v="0"/>
    <d v="1900-01-10T00:00:00"/>
    <n v="41"/>
    <x v="4"/>
    <x v="1"/>
  </r>
  <r>
    <x v="92"/>
    <n v="-15"/>
    <x v="180"/>
    <n v="3361.34"/>
    <s v="Complete Access"/>
    <x v="73"/>
    <x v="1"/>
    <x v="23"/>
    <d v="1900-01-10T00:00:00"/>
    <n v="41"/>
    <x v="4"/>
    <x v="1"/>
  </r>
  <r>
    <x v="92"/>
    <n v="-59.65"/>
    <x v="181"/>
    <n v="3376.34"/>
    <s v="Complete Access"/>
    <x v="1"/>
    <x v="1"/>
    <x v="1"/>
    <d v="1900-01-10T00:00:00"/>
    <n v="41"/>
    <x v="4"/>
    <x v="1"/>
  </r>
  <r>
    <x v="92"/>
    <n v="-89"/>
    <x v="182"/>
    <n v="3435.99"/>
    <s v="Complete Access"/>
    <x v="17"/>
    <x v="7"/>
    <x v="11"/>
    <d v="1900-01-10T00:00:00"/>
    <n v="41"/>
    <x v="4"/>
    <x v="1"/>
  </r>
  <r>
    <x v="93"/>
    <n v="-1408.62"/>
    <x v="15"/>
    <n v="3524.99"/>
    <s v="Complete Access"/>
    <x v="13"/>
    <x v="0"/>
    <x v="0"/>
    <d v="1900-01-09T00:00:00"/>
    <n v="41"/>
    <x v="4"/>
    <x v="1"/>
  </r>
  <r>
    <x v="93"/>
    <n v="-33.049999999999997"/>
    <x v="183"/>
    <n v="4933.6099999999997"/>
    <s v="Complete Access"/>
    <x v="1"/>
    <x v="1"/>
    <x v="1"/>
    <d v="1900-01-09T00:00:00"/>
    <n v="41"/>
    <x v="4"/>
    <x v="1"/>
  </r>
  <r>
    <x v="93"/>
    <n v="2865.27"/>
    <x v="184"/>
    <n v="4966.66"/>
    <s v="Complete Access"/>
    <x v="14"/>
    <x v="6"/>
    <x v="9"/>
    <d v="1900-01-09T00:00:00"/>
    <n v="41"/>
    <x v="4"/>
    <x v="1"/>
  </r>
  <r>
    <x v="94"/>
    <n v="-40"/>
    <x v="185"/>
    <n v="2101.39"/>
    <s v="Complete Access"/>
    <x v="12"/>
    <x v="5"/>
    <x v="8"/>
    <d v="1900-01-08T00:00:00"/>
    <n v="41"/>
    <x v="4"/>
    <x v="1"/>
  </r>
  <r>
    <x v="95"/>
    <n v="-16"/>
    <x v="8"/>
    <n v="2141.39"/>
    <s v="Complete Access"/>
    <x v="7"/>
    <x v="1"/>
    <x v="5"/>
    <d v="1900-01-07T00:00:00"/>
    <n v="41"/>
    <x v="4"/>
    <x v="1"/>
  </r>
  <r>
    <x v="95"/>
    <n v="-107.84"/>
    <x v="186"/>
    <n v="2157.39"/>
    <s v="Complete Access"/>
    <x v="73"/>
    <x v="1"/>
    <x v="23"/>
    <d v="1900-01-07T00:00:00"/>
    <n v="41"/>
    <x v="4"/>
    <x v="1"/>
  </r>
  <r>
    <x v="95"/>
    <n v="-77.760000000000005"/>
    <x v="187"/>
    <n v="2265.23"/>
    <s v="Complete Access"/>
    <x v="1"/>
    <x v="1"/>
    <x v="1"/>
    <d v="1900-01-07T00:00:00"/>
    <n v="41"/>
    <x v="4"/>
    <x v="1"/>
  </r>
  <r>
    <x v="95"/>
    <n v="-0.56999999999999995"/>
    <x v="188"/>
    <n v="2342.9899999999998"/>
    <s v="Complete Access"/>
    <x v="10"/>
    <x v="0"/>
    <x v="0"/>
    <d v="1900-01-07T00:00:00"/>
    <n v="41"/>
    <x v="4"/>
    <x v="1"/>
  </r>
  <r>
    <x v="95"/>
    <n v="-16.21"/>
    <x v="189"/>
    <n v="2343.56"/>
    <s v="Complete Access"/>
    <x v="74"/>
    <x v="4"/>
    <x v="10"/>
    <d v="1900-01-07T00:00:00"/>
    <n v="41"/>
    <x v="4"/>
    <x v="1"/>
  </r>
  <r>
    <x v="96"/>
    <n v="-33.78"/>
    <x v="70"/>
    <n v="2359.77"/>
    <s v="Complete Access"/>
    <x v="8"/>
    <x v="1"/>
    <x v="5"/>
    <d v="1900-01-06T00:00:00"/>
    <n v="41"/>
    <x v="4"/>
    <x v="1"/>
  </r>
  <r>
    <x v="97"/>
    <n v="-304.58999999999997"/>
    <x v="190"/>
    <n v="2393.5500000000002"/>
    <s v="Complete Access"/>
    <x v="75"/>
    <x v="1"/>
    <x v="5"/>
    <d v="1900-01-03T00:00:00"/>
    <n v="40"/>
    <x v="4"/>
    <x v="1"/>
  </r>
  <r>
    <x v="97"/>
    <n v="71.5"/>
    <x v="191"/>
    <n v="2698.14"/>
    <s v="Complete Access"/>
    <x v="36"/>
    <x v="0"/>
    <x v="0"/>
    <d v="1900-01-03T00:00:00"/>
    <n v="40"/>
    <x v="4"/>
    <x v="1"/>
  </r>
  <r>
    <x v="97"/>
    <n v="71"/>
    <x v="192"/>
    <n v="2626.64"/>
    <s v="Complete Access"/>
    <x v="36"/>
    <x v="0"/>
    <x v="0"/>
    <d v="1900-01-03T00:00:00"/>
    <n v="40"/>
    <x v="4"/>
    <x v="1"/>
  </r>
  <r>
    <x v="97"/>
    <n v="71"/>
    <x v="193"/>
    <n v="2555.64"/>
    <s v="Complete Access"/>
    <x v="36"/>
    <x v="0"/>
    <x v="0"/>
    <d v="1900-01-03T00:00:00"/>
    <n v="40"/>
    <x v="4"/>
    <x v="1"/>
  </r>
  <r>
    <x v="98"/>
    <n v="-25.23"/>
    <x v="194"/>
    <n v="2484.64"/>
    <s v="Complete Access"/>
    <x v="1"/>
    <x v="1"/>
    <x v="1"/>
    <d v="1900-01-02T00:00:00"/>
    <n v="40"/>
    <x v="4"/>
    <x v="1"/>
  </r>
  <r>
    <x v="99"/>
    <n v="-5.4"/>
    <x v="195"/>
    <n v="2509.87"/>
    <s v="Complete Access"/>
    <x v="76"/>
    <x v="2"/>
    <x v="2"/>
    <d v="1899-12-31T00:00:00"/>
    <n v="40"/>
    <x v="4"/>
    <x v="1"/>
  </r>
  <r>
    <x v="99"/>
    <n v="-20.149999999999999"/>
    <x v="7"/>
    <n v="2515.27"/>
    <s v="Complete Access"/>
    <x v="1"/>
    <x v="1"/>
    <x v="1"/>
    <d v="1899-12-31T00:00:00"/>
    <n v="40"/>
    <x v="4"/>
    <x v="1"/>
  </r>
  <r>
    <x v="99"/>
    <n v="-16.760000000000002"/>
    <x v="18"/>
    <n v="2535.42"/>
    <s v="Complete Access"/>
    <x v="16"/>
    <x v="1"/>
    <x v="5"/>
    <d v="1899-12-31T00:00:00"/>
    <n v="40"/>
    <x v="4"/>
    <x v="1"/>
  </r>
  <r>
    <x v="99"/>
    <n v="-30"/>
    <x v="196"/>
    <n v="2552.1799999999998"/>
    <s v="Complete Access"/>
    <x v="61"/>
    <x v="1"/>
    <x v="1"/>
    <d v="1899-12-31T00:00:00"/>
    <n v="40"/>
    <x v="4"/>
    <x v="1"/>
  </r>
  <r>
    <x v="99"/>
    <n v="-12.99"/>
    <x v="197"/>
    <n v="2582.1799999999998"/>
    <s v="Complete Access"/>
    <x v="77"/>
    <x v="4"/>
    <x v="27"/>
    <d v="1899-12-31T00:00:00"/>
    <n v="40"/>
    <x v="4"/>
    <x v="1"/>
  </r>
  <r>
    <x v="100"/>
    <n v="-9.1999999999999993"/>
    <x v="198"/>
    <n v="2595.17"/>
    <s v="Complete Access"/>
    <x v="78"/>
    <x v="1"/>
    <x v="5"/>
    <d v="1900-01-29T00:00:00"/>
    <n v="40"/>
    <x v="5"/>
    <x v="1"/>
  </r>
  <r>
    <x v="100"/>
    <n v="-33.89"/>
    <x v="42"/>
    <n v="2604.37"/>
    <s v="Complete Access"/>
    <x v="27"/>
    <x v="1"/>
    <x v="5"/>
    <d v="1900-01-29T00:00:00"/>
    <n v="40"/>
    <x v="5"/>
    <x v="1"/>
  </r>
  <r>
    <x v="101"/>
    <n v="-35.020000000000003"/>
    <x v="70"/>
    <n v="2638.26"/>
    <s v="Complete Access"/>
    <x v="8"/>
    <x v="1"/>
    <x v="5"/>
    <d v="1900-01-28T00:00:00"/>
    <n v="40"/>
    <x v="5"/>
    <x v="1"/>
  </r>
  <r>
    <x v="101"/>
    <n v="550"/>
    <x v="199"/>
    <n v="2673.28"/>
    <s v="Complete Access"/>
    <x v="36"/>
    <x v="0"/>
    <x v="0"/>
    <d v="1900-01-28T00:00:00"/>
    <n v="40"/>
    <x v="5"/>
    <x v="1"/>
  </r>
  <r>
    <x v="101"/>
    <n v="-84"/>
    <x v="200"/>
    <n v="2123.2800000000002"/>
    <s v="Complete Access"/>
    <x v="79"/>
    <x v="15"/>
    <x v="34"/>
    <d v="1900-01-28T00:00:00"/>
    <n v="40"/>
    <x v="5"/>
    <x v="1"/>
  </r>
  <r>
    <x v="101"/>
    <n v="-11"/>
    <x v="201"/>
    <n v="2207.2800000000002"/>
    <s v="Complete Access"/>
    <x v="80"/>
    <x v="8"/>
    <x v="29"/>
    <d v="1900-01-28T00:00:00"/>
    <n v="40"/>
    <x v="5"/>
    <x v="1"/>
  </r>
  <r>
    <x v="101"/>
    <n v="-9.19"/>
    <x v="119"/>
    <n v="2218.2800000000002"/>
    <s v="Complete Access"/>
    <x v="8"/>
    <x v="1"/>
    <x v="5"/>
    <d v="1900-01-28T00:00:00"/>
    <n v="40"/>
    <x v="5"/>
    <x v="1"/>
  </r>
  <r>
    <x v="102"/>
    <n v="-10.5"/>
    <x v="202"/>
    <n v="2227.4699999999998"/>
    <s v="Complete Access"/>
    <x v="79"/>
    <x v="15"/>
    <x v="34"/>
    <d v="1900-01-27T00:00:00"/>
    <n v="39"/>
    <x v="5"/>
    <x v="1"/>
  </r>
  <r>
    <x v="102"/>
    <n v="13.21"/>
    <x v="203"/>
    <n v="2237.9699999999998"/>
    <s v="Complete Access"/>
    <x v="8"/>
    <x v="1"/>
    <x v="5"/>
    <d v="1900-01-27T00:00:00"/>
    <n v="39"/>
    <x v="5"/>
    <x v="1"/>
  </r>
  <r>
    <x v="102"/>
    <n v="-13.21"/>
    <x v="204"/>
    <n v="2224.7600000000002"/>
    <s v="Complete Access"/>
    <x v="8"/>
    <x v="1"/>
    <x v="5"/>
    <d v="1900-01-27T00:00:00"/>
    <n v="39"/>
    <x v="5"/>
    <x v="1"/>
  </r>
  <r>
    <x v="102"/>
    <n v="-16.8"/>
    <x v="119"/>
    <n v="2237.9699999999998"/>
    <s v="Complete Access"/>
    <x v="8"/>
    <x v="1"/>
    <x v="5"/>
    <d v="1900-01-27T00:00:00"/>
    <n v="39"/>
    <x v="5"/>
    <x v="1"/>
  </r>
  <r>
    <x v="102"/>
    <n v="-44.75"/>
    <x v="119"/>
    <n v="2254.77"/>
    <s v="Complete Access"/>
    <x v="8"/>
    <x v="1"/>
    <x v="5"/>
    <d v="1900-01-27T00:00:00"/>
    <n v="39"/>
    <x v="5"/>
    <x v="1"/>
  </r>
  <r>
    <x v="103"/>
    <n v="-1408.62"/>
    <x v="15"/>
    <n v="2299.52"/>
    <s v="Complete Access"/>
    <x v="13"/>
    <x v="0"/>
    <x v="0"/>
    <d v="1900-01-25T00:00:00"/>
    <n v="39"/>
    <x v="5"/>
    <x v="1"/>
  </r>
  <r>
    <x v="103"/>
    <n v="2997.59"/>
    <x v="205"/>
    <n v="3708.14"/>
    <s v="Complete Access"/>
    <x v="14"/>
    <x v="6"/>
    <x v="9"/>
    <d v="1900-01-25T00:00:00"/>
    <n v="39"/>
    <x v="5"/>
    <x v="1"/>
  </r>
  <r>
    <x v="104"/>
    <n v="-31"/>
    <x v="206"/>
    <n v="710.55"/>
    <s v="Complete Access"/>
    <x v="17"/>
    <x v="7"/>
    <x v="11"/>
    <d v="1900-01-24T00:00:00"/>
    <n v="39"/>
    <x v="5"/>
    <x v="1"/>
  </r>
  <r>
    <x v="105"/>
    <n v="-30"/>
    <x v="207"/>
    <n v="741.55"/>
    <s v="Complete Access"/>
    <x v="81"/>
    <x v="16"/>
    <x v="35"/>
    <d v="1900-01-23T00:00:00"/>
    <n v="39"/>
    <x v="5"/>
    <x v="1"/>
  </r>
  <r>
    <x v="105"/>
    <n v="-16"/>
    <x v="8"/>
    <n v="771.55"/>
    <s v="Complete Access"/>
    <x v="7"/>
    <x v="1"/>
    <x v="5"/>
    <d v="1900-01-23T00:00:00"/>
    <n v="39"/>
    <x v="5"/>
    <x v="1"/>
  </r>
  <r>
    <x v="105"/>
    <n v="-43.46"/>
    <x v="208"/>
    <n v="787.55"/>
    <s v="Complete Access"/>
    <x v="1"/>
    <x v="1"/>
    <x v="1"/>
    <d v="1900-01-23T00:00:00"/>
    <n v="39"/>
    <x v="5"/>
    <x v="1"/>
  </r>
  <r>
    <x v="105"/>
    <n v="-17"/>
    <x v="209"/>
    <n v="831.01"/>
    <s v="Complete Access"/>
    <x v="1"/>
    <x v="1"/>
    <x v="1"/>
    <d v="1900-01-23T00:00:00"/>
    <n v="39"/>
    <x v="5"/>
    <x v="1"/>
  </r>
  <r>
    <x v="106"/>
    <n v="-138.87"/>
    <x v="210"/>
    <n v="904.24"/>
    <s v="Complete Access"/>
    <x v="3"/>
    <x v="2"/>
    <x v="2"/>
    <d v="1900-01-20T00:00:00"/>
    <n v="38"/>
    <x v="5"/>
    <x v="1"/>
  </r>
  <r>
    <x v="106"/>
    <n v="-56.23"/>
    <x v="42"/>
    <n v="848.01"/>
    <s v="Complete Access"/>
    <x v="27"/>
    <x v="1"/>
    <x v="5"/>
    <d v="1900-01-20T00:00:00"/>
    <n v="38"/>
    <x v="5"/>
    <x v="1"/>
  </r>
  <r>
    <x v="107"/>
    <n v="-91.45"/>
    <x v="211"/>
    <n v="1043.1099999999999"/>
    <s v="Complete Access"/>
    <x v="82"/>
    <x v="1"/>
    <x v="5"/>
    <d v="1900-01-19T00:00:00"/>
    <n v="38"/>
    <x v="5"/>
    <x v="1"/>
  </r>
  <r>
    <x v="108"/>
    <n v="-14.5"/>
    <x v="155"/>
    <n v="1134.56"/>
    <s v="Complete Access"/>
    <x v="62"/>
    <x v="1"/>
    <x v="5"/>
    <d v="1900-01-17T00:00:00"/>
    <n v="38"/>
    <x v="5"/>
    <x v="1"/>
  </r>
  <r>
    <x v="108"/>
    <n v="-40"/>
    <x v="212"/>
    <n v="1149.06"/>
    <s v="Complete Access"/>
    <x v="12"/>
    <x v="5"/>
    <x v="8"/>
    <d v="1900-01-17T00:00:00"/>
    <n v="38"/>
    <x v="5"/>
    <x v="1"/>
  </r>
  <r>
    <x v="109"/>
    <n v="-14.73"/>
    <x v="18"/>
    <n v="1189.06"/>
    <s v="Complete Access"/>
    <x v="16"/>
    <x v="1"/>
    <x v="5"/>
    <d v="1900-01-16T00:00:00"/>
    <n v="38"/>
    <x v="5"/>
    <x v="1"/>
  </r>
  <r>
    <x v="109"/>
    <n v="-29.99"/>
    <x v="213"/>
    <n v="1203.79"/>
    <s v="Complete Access"/>
    <x v="1"/>
    <x v="1"/>
    <x v="1"/>
    <d v="1900-01-16T00:00:00"/>
    <n v="38"/>
    <x v="5"/>
    <x v="1"/>
  </r>
  <r>
    <x v="109"/>
    <n v="-127.48"/>
    <x v="214"/>
    <n v="1233.78"/>
    <s v="Complete Access"/>
    <x v="82"/>
    <x v="1"/>
    <x v="5"/>
    <d v="1900-01-16T00:00:00"/>
    <n v="38"/>
    <x v="5"/>
    <x v="1"/>
  </r>
  <r>
    <x v="109"/>
    <n v="-34.340000000000003"/>
    <x v="215"/>
    <n v="1361.26"/>
    <s v="Complete Access"/>
    <x v="83"/>
    <x v="8"/>
    <x v="29"/>
    <d v="1900-01-16T00:00:00"/>
    <n v="38"/>
    <x v="5"/>
    <x v="1"/>
  </r>
  <r>
    <x v="109"/>
    <n v="-10.1"/>
    <x v="215"/>
    <n v="1395.6"/>
    <s v="Complete Access"/>
    <x v="83"/>
    <x v="8"/>
    <x v="29"/>
    <d v="1900-01-16T00:00:00"/>
    <n v="38"/>
    <x v="5"/>
    <x v="1"/>
  </r>
  <r>
    <x v="109"/>
    <n v="-10.1"/>
    <x v="215"/>
    <n v="1405.7"/>
    <s v="Complete Access"/>
    <x v="83"/>
    <x v="8"/>
    <x v="29"/>
    <d v="1900-01-16T00:00:00"/>
    <n v="38"/>
    <x v="5"/>
    <x v="1"/>
  </r>
  <r>
    <x v="109"/>
    <n v="-225.99"/>
    <x v="216"/>
    <n v="1415.8"/>
    <s v="Complete Access"/>
    <x v="84"/>
    <x v="9"/>
    <x v="36"/>
    <d v="1900-01-16T00:00:00"/>
    <n v="38"/>
    <x v="5"/>
    <x v="1"/>
  </r>
  <r>
    <x v="110"/>
    <n v="116.4"/>
    <x v="6"/>
    <n v="1641.79"/>
    <s v="Complete Access"/>
    <x v="6"/>
    <x v="4"/>
    <x v="4"/>
    <d v="1900-01-15T00:00:00"/>
    <n v="38"/>
    <x v="5"/>
    <x v="1"/>
  </r>
  <r>
    <x v="110"/>
    <n v="64"/>
    <x v="217"/>
    <n v="1525.39"/>
    <s v="Complete Access"/>
    <x v="36"/>
    <x v="0"/>
    <x v="0"/>
    <d v="1900-01-15T00:00:00"/>
    <n v="38"/>
    <x v="5"/>
    <x v="1"/>
  </r>
  <r>
    <x v="111"/>
    <n v="-29.3"/>
    <x v="218"/>
    <n v="1461.39"/>
    <s v="Complete Access"/>
    <x v="85"/>
    <x v="1"/>
    <x v="5"/>
    <d v="1900-01-14T00:00:00"/>
    <n v="38"/>
    <x v="5"/>
    <x v="1"/>
  </r>
  <r>
    <x v="112"/>
    <n v="-24.08"/>
    <x v="219"/>
    <n v="1490.69"/>
    <s v="Complete Access"/>
    <x v="86"/>
    <x v="8"/>
    <x v="29"/>
    <d v="1900-01-13T00:00:00"/>
    <n v="37"/>
    <x v="5"/>
    <x v="1"/>
  </r>
  <r>
    <x v="112"/>
    <n v="-39.31"/>
    <x v="28"/>
    <n v="1514.77"/>
    <s v="Complete Access"/>
    <x v="20"/>
    <x v="9"/>
    <x v="12"/>
    <d v="1900-01-13T00:00:00"/>
    <n v="37"/>
    <x v="5"/>
    <x v="1"/>
  </r>
  <r>
    <x v="112"/>
    <n v="-49.41"/>
    <x v="220"/>
    <n v="1554.08"/>
    <s v="Complete Access"/>
    <x v="1"/>
    <x v="1"/>
    <x v="1"/>
    <d v="1900-01-13T00:00:00"/>
    <n v="37"/>
    <x v="5"/>
    <x v="1"/>
  </r>
  <r>
    <x v="113"/>
    <n v="-1.1599999999999999"/>
    <x v="221"/>
    <n v="1603.49"/>
    <s v="Complete Access"/>
    <x v="10"/>
    <x v="0"/>
    <x v="0"/>
    <d v="1900-01-12T00:00:00"/>
    <n v="37"/>
    <x v="5"/>
    <x v="1"/>
  </r>
  <r>
    <x v="113"/>
    <n v="-33.14"/>
    <x v="222"/>
    <n v="1604.65"/>
    <s v="Complete Access"/>
    <x v="11"/>
    <x v="4"/>
    <x v="7"/>
    <d v="1900-01-12T00:00:00"/>
    <n v="37"/>
    <x v="5"/>
    <x v="1"/>
  </r>
  <r>
    <x v="114"/>
    <n v="-1408.62"/>
    <x v="15"/>
    <n v="1637.79"/>
    <s v="Complete Access"/>
    <x v="13"/>
    <x v="0"/>
    <x v="0"/>
    <d v="1900-01-11T00:00:00"/>
    <n v="37"/>
    <x v="5"/>
    <x v="1"/>
  </r>
  <r>
    <x v="114"/>
    <n v="2690.45"/>
    <x v="223"/>
    <n v="3046.41"/>
    <s v="Complete Access"/>
    <x v="14"/>
    <x v="6"/>
    <x v="9"/>
    <d v="1900-01-11T00:00:00"/>
    <n v="37"/>
    <x v="5"/>
    <x v="1"/>
  </r>
  <r>
    <x v="115"/>
    <n v="-16.5"/>
    <x v="8"/>
    <n v="355.96"/>
    <s v="Complete Access"/>
    <x v="7"/>
    <x v="1"/>
    <x v="5"/>
    <d v="1900-01-09T00:00:00"/>
    <n v="37"/>
    <x v="5"/>
    <x v="1"/>
  </r>
  <r>
    <x v="115"/>
    <n v="-33.369999999999997"/>
    <x v="224"/>
    <n v="372.46"/>
    <s v="Complete Access"/>
    <x v="46"/>
    <x v="1"/>
    <x v="1"/>
    <d v="1900-01-09T00:00:00"/>
    <n v="37"/>
    <x v="5"/>
    <x v="1"/>
  </r>
  <r>
    <x v="115"/>
    <n v="-133.75"/>
    <x v="225"/>
    <n v="405.83"/>
    <s v="Complete Access"/>
    <x v="70"/>
    <x v="8"/>
    <x v="22"/>
    <d v="1900-01-09T00:00:00"/>
    <n v="37"/>
    <x v="5"/>
    <x v="1"/>
  </r>
  <r>
    <x v="115"/>
    <n v="-89"/>
    <x v="226"/>
    <n v="539.58000000000004"/>
    <s v="Complete Access"/>
    <x v="17"/>
    <x v="7"/>
    <x v="11"/>
    <d v="1900-01-09T00:00:00"/>
    <n v="37"/>
    <x v="5"/>
    <x v="1"/>
  </r>
  <r>
    <x v="116"/>
    <n v="-14.7"/>
    <x v="96"/>
    <n v="628.58000000000004"/>
    <s v="Complete Access"/>
    <x v="47"/>
    <x v="1"/>
    <x v="5"/>
    <d v="1900-01-07T00:00:00"/>
    <n v="37"/>
    <x v="5"/>
    <x v="1"/>
  </r>
  <r>
    <x v="117"/>
    <n v="-43.56"/>
    <x v="227"/>
    <n v="643.28"/>
    <s v="Complete Access"/>
    <x v="87"/>
    <x v="8"/>
    <x v="29"/>
    <d v="1900-01-06T00:00:00"/>
    <n v="36"/>
    <x v="5"/>
    <x v="1"/>
  </r>
  <r>
    <x v="117"/>
    <n v="-60.78"/>
    <x v="228"/>
    <n v="686.84"/>
    <s v="Complete Access"/>
    <x v="88"/>
    <x v="8"/>
    <x v="29"/>
    <d v="1900-01-06T00:00:00"/>
    <n v="36"/>
    <x v="5"/>
    <x v="1"/>
  </r>
  <r>
    <x v="117"/>
    <n v="-9"/>
    <x v="229"/>
    <n v="747.62"/>
    <s v="Complete Access"/>
    <x v="89"/>
    <x v="8"/>
    <x v="29"/>
    <d v="1900-01-06T00:00:00"/>
    <n v="36"/>
    <x v="5"/>
    <x v="1"/>
  </r>
  <r>
    <x v="117"/>
    <n v="-20.9"/>
    <x v="76"/>
    <n v="756.62"/>
    <s v="Complete Access"/>
    <x v="39"/>
    <x v="1"/>
    <x v="5"/>
    <d v="1900-01-06T00:00:00"/>
    <n v="36"/>
    <x v="5"/>
    <x v="1"/>
  </r>
  <r>
    <x v="117"/>
    <n v="-18.59"/>
    <x v="119"/>
    <n v="777.52"/>
    <s v="Complete Access"/>
    <x v="8"/>
    <x v="1"/>
    <x v="5"/>
    <d v="1900-01-06T00:00:00"/>
    <n v="36"/>
    <x v="5"/>
    <x v="1"/>
  </r>
  <r>
    <x v="117"/>
    <n v="-22"/>
    <x v="230"/>
    <n v="796.11"/>
    <s v="Complete Access"/>
    <x v="90"/>
    <x v="8"/>
    <x v="29"/>
    <d v="1900-01-06T00:00:00"/>
    <n v="36"/>
    <x v="5"/>
    <x v="1"/>
  </r>
  <r>
    <x v="118"/>
    <n v="-22.68"/>
    <x v="7"/>
    <n v="818.11"/>
    <s v="Complete Access"/>
    <x v="1"/>
    <x v="1"/>
    <x v="1"/>
    <d v="1900-01-04T00:00:00"/>
    <n v="36"/>
    <x v="5"/>
    <x v="1"/>
  </r>
  <r>
    <x v="119"/>
    <n v="-756.64"/>
    <x v="231"/>
    <n v="840.79"/>
    <s v="Complete Access"/>
    <x v="5"/>
    <x v="3"/>
    <x v="3"/>
    <d v="1900-01-03T00:00:00"/>
    <n v="36"/>
    <x v="5"/>
    <x v="1"/>
  </r>
  <r>
    <x v="120"/>
    <n v="-16"/>
    <x v="8"/>
    <n v="1597.43"/>
    <s v="Complete Access"/>
    <x v="7"/>
    <x v="1"/>
    <x v="5"/>
    <d v="1900-01-02T00:00:00"/>
    <n v="36"/>
    <x v="5"/>
    <x v="1"/>
  </r>
  <r>
    <x v="121"/>
    <n v="-5.4"/>
    <x v="232"/>
    <n v="1613.43"/>
    <s v="Complete Access"/>
    <x v="76"/>
    <x v="2"/>
    <x v="2"/>
    <d v="1900-01-01T00:00:00"/>
    <n v="36"/>
    <x v="5"/>
    <x v="1"/>
  </r>
  <r>
    <x v="121"/>
    <n v="-637.11"/>
    <x v="233"/>
    <n v="1618.83"/>
    <s v="Complete Access"/>
    <x v="91"/>
    <x v="9"/>
    <x v="12"/>
    <d v="1900-01-01T00:00:00"/>
    <n v="36"/>
    <x v="5"/>
    <x v="1"/>
  </r>
  <r>
    <x v="121"/>
    <n v="316"/>
    <x v="234"/>
    <n v="2255.94"/>
    <s v="Complete Access"/>
    <x v="36"/>
    <x v="0"/>
    <x v="0"/>
    <d v="1900-01-01T00:00:00"/>
    <n v="36"/>
    <x v="5"/>
    <x v="1"/>
  </r>
  <r>
    <x v="122"/>
    <n v="-3.9"/>
    <x v="7"/>
    <n v="1939.94"/>
    <s v="Complete Access"/>
    <x v="1"/>
    <x v="1"/>
    <x v="1"/>
    <d v="1899-12-31T00:00:00"/>
    <n v="36"/>
    <x v="5"/>
    <x v="1"/>
  </r>
  <r>
    <x v="122"/>
    <n v="-35.880000000000003"/>
    <x v="30"/>
    <n v="1943.84"/>
    <s v="Complete Access"/>
    <x v="21"/>
    <x v="10"/>
    <x v="13"/>
    <d v="1899-12-31T00:00:00"/>
    <n v="36"/>
    <x v="5"/>
    <x v="1"/>
  </r>
  <r>
    <x v="123"/>
    <n v="-40.39"/>
    <x v="235"/>
    <n v="1979.72"/>
    <s v="Complete Access"/>
    <x v="92"/>
    <x v="9"/>
    <x v="37"/>
    <d v="1900-01-30T00:00:00"/>
    <n v="35"/>
    <x v="6"/>
    <x v="1"/>
  </r>
  <r>
    <x v="123"/>
    <n v="-34.549999999999997"/>
    <x v="236"/>
    <n v="2020.11"/>
    <s v="Complete Access"/>
    <x v="1"/>
    <x v="1"/>
    <x v="1"/>
    <d v="1900-01-30T00:00:00"/>
    <n v="35"/>
    <x v="6"/>
    <x v="1"/>
  </r>
  <r>
    <x v="123"/>
    <n v="-742.8"/>
    <x v="237"/>
    <n v="2054.66"/>
    <s v="Complete Access"/>
    <x v="93"/>
    <x v="9"/>
    <x v="36"/>
    <d v="1900-01-30T00:00:00"/>
    <n v="35"/>
    <x v="6"/>
    <x v="1"/>
  </r>
  <r>
    <x v="123"/>
    <n v="-49"/>
    <x v="238"/>
    <n v="2797.46"/>
    <s v="Complete Access"/>
    <x v="94"/>
    <x v="9"/>
    <x v="36"/>
    <d v="1900-01-30T00:00:00"/>
    <n v="35"/>
    <x v="6"/>
    <x v="1"/>
  </r>
  <r>
    <x v="123"/>
    <n v="-375.65"/>
    <x v="239"/>
    <n v="2846.46"/>
    <s v="Complete Access"/>
    <x v="95"/>
    <x v="14"/>
    <x v="38"/>
    <d v="1900-01-30T00:00:00"/>
    <n v="35"/>
    <x v="6"/>
    <x v="1"/>
  </r>
  <r>
    <x v="124"/>
    <n v="-12.99"/>
    <x v="240"/>
    <n v="3222.11"/>
    <s v="Complete Access"/>
    <x v="77"/>
    <x v="4"/>
    <x v="27"/>
    <d v="1900-01-29T00:00:00"/>
    <n v="35"/>
    <x v="6"/>
    <x v="1"/>
  </r>
  <r>
    <x v="124"/>
    <n v="-53.94"/>
    <x v="241"/>
    <n v="3235.1"/>
    <s v="Complete Access"/>
    <x v="1"/>
    <x v="1"/>
    <x v="1"/>
    <d v="1900-01-29T00:00:00"/>
    <n v="35"/>
    <x v="6"/>
    <x v="1"/>
  </r>
  <r>
    <x v="125"/>
    <n v="-11.8"/>
    <x v="11"/>
    <n v="3289.04"/>
    <s v="Complete Access"/>
    <x v="9"/>
    <x v="4"/>
    <x v="6"/>
    <d v="1900-01-28T00:00:00"/>
    <n v="35"/>
    <x v="6"/>
    <x v="1"/>
  </r>
  <r>
    <x v="125"/>
    <n v="-20"/>
    <x v="242"/>
    <n v="3300.84"/>
    <s v="Complete Access"/>
    <x v="96"/>
    <x v="9"/>
    <x v="39"/>
    <d v="1900-01-28T00:00:00"/>
    <n v="35"/>
    <x v="6"/>
    <x v="1"/>
  </r>
  <r>
    <x v="125"/>
    <n v="2672"/>
    <x v="243"/>
    <n v="3320.84"/>
    <s v="Complete Access"/>
    <x v="14"/>
    <x v="6"/>
    <x v="9"/>
    <d v="1900-01-28T00:00:00"/>
    <n v="35"/>
    <x v="6"/>
    <x v="1"/>
  </r>
  <r>
    <x v="126"/>
    <n v="-19.95"/>
    <x v="7"/>
    <n v="648.84"/>
    <s v="Complete Access"/>
    <x v="1"/>
    <x v="1"/>
    <x v="1"/>
    <d v="1900-01-27T00:00:00"/>
    <n v="35"/>
    <x v="6"/>
    <x v="1"/>
  </r>
  <r>
    <x v="126"/>
    <n v="-23.13"/>
    <x v="244"/>
    <n v="668.79"/>
    <s v="Complete Access"/>
    <x v="97"/>
    <x v="8"/>
    <x v="29"/>
    <d v="1900-01-27T00:00:00"/>
    <n v="35"/>
    <x v="6"/>
    <x v="1"/>
  </r>
  <r>
    <x v="126"/>
    <n v="-9.3000000000000007"/>
    <x v="245"/>
    <n v="691.92"/>
    <s v="Complete Access"/>
    <x v="98"/>
    <x v="9"/>
    <x v="32"/>
    <d v="1900-01-27T00:00:00"/>
    <n v="35"/>
    <x v="6"/>
    <x v="1"/>
  </r>
  <r>
    <x v="127"/>
    <n v="-56.99"/>
    <x v="246"/>
    <n v="701.22"/>
    <s v="Complete Access"/>
    <x v="73"/>
    <x v="1"/>
    <x v="23"/>
    <d v="1900-01-26T00:00:00"/>
    <n v="35"/>
    <x v="6"/>
    <x v="1"/>
  </r>
  <r>
    <x v="127"/>
    <n v="-8.1199999999999992"/>
    <x v="247"/>
    <n v="758.21"/>
    <s v="Complete Access"/>
    <x v="99"/>
    <x v="8"/>
    <x v="29"/>
    <d v="1900-01-26T00:00:00"/>
    <n v="35"/>
    <x v="6"/>
    <x v="1"/>
  </r>
  <r>
    <x v="127"/>
    <n v="-48.19"/>
    <x v="248"/>
    <n v="766.33"/>
    <s v="Complete Access"/>
    <x v="8"/>
    <x v="1"/>
    <x v="5"/>
    <d v="1900-01-26T00:00:00"/>
    <n v="35"/>
    <x v="6"/>
    <x v="1"/>
  </r>
  <r>
    <x v="128"/>
    <n v="-9"/>
    <x v="141"/>
    <n v="814.52"/>
    <s v="Complete Access"/>
    <x v="58"/>
    <x v="8"/>
    <x v="29"/>
    <d v="1900-01-24T00:00:00"/>
    <n v="35"/>
    <x v="6"/>
    <x v="1"/>
  </r>
  <r>
    <x v="129"/>
    <n v="-9"/>
    <x v="249"/>
    <n v="823.52"/>
    <s v="Complete Access"/>
    <x v="58"/>
    <x v="8"/>
    <x v="29"/>
    <d v="1900-01-23T00:00:00"/>
    <n v="34"/>
    <x v="6"/>
    <x v="1"/>
  </r>
  <r>
    <x v="129"/>
    <n v="28"/>
    <x v="250"/>
    <n v="832.52"/>
    <s v="Complete Access"/>
    <x v="36"/>
    <x v="0"/>
    <x v="0"/>
    <d v="1900-01-23T00:00:00"/>
    <n v="34"/>
    <x v="6"/>
    <x v="1"/>
  </r>
  <r>
    <x v="129"/>
    <n v="-47.93"/>
    <x v="119"/>
    <n v="804.52"/>
    <s v="Complete Access"/>
    <x v="8"/>
    <x v="1"/>
    <x v="5"/>
    <d v="1900-01-23T00:00:00"/>
    <n v="34"/>
    <x v="6"/>
    <x v="1"/>
  </r>
  <r>
    <x v="129"/>
    <n v="600"/>
    <x v="251"/>
    <n v="852.45"/>
    <s v="Complete Access"/>
    <x v="36"/>
    <x v="0"/>
    <x v="0"/>
    <d v="1900-01-23T00:00:00"/>
    <n v="34"/>
    <x v="6"/>
    <x v="1"/>
  </r>
  <r>
    <x v="129"/>
    <n v="-42.22"/>
    <x v="252"/>
    <n v="252.45"/>
    <s v="Complete Access"/>
    <x v="82"/>
    <x v="1"/>
    <x v="5"/>
    <d v="1900-01-23T00:00:00"/>
    <n v="34"/>
    <x v="6"/>
    <x v="1"/>
  </r>
  <r>
    <x v="129"/>
    <n v="-31"/>
    <x v="253"/>
    <n v="294.67"/>
    <s v="Complete Access"/>
    <x v="17"/>
    <x v="7"/>
    <x v="11"/>
    <d v="1900-01-23T00:00:00"/>
    <n v="34"/>
    <x v="6"/>
    <x v="1"/>
  </r>
  <r>
    <x v="129"/>
    <n v="-33.6"/>
    <x v="254"/>
    <n v="325.67"/>
    <s v="Complete Access"/>
    <x v="100"/>
    <x v="9"/>
    <x v="32"/>
    <d v="1900-01-23T00:00:00"/>
    <n v="34"/>
    <x v="6"/>
    <x v="1"/>
  </r>
  <r>
    <x v="130"/>
    <n v="-30"/>
    <x v="255"/>
    <n v="359.27"/>
    <s v="Complete Access"/>
    <x v="101"/>
    <x v="8"/>
    <x v="29"/>
    <d v="1900-01-22T00:00:00"/>
    <n v="34"/>
    <x v="6"/>
    <x v="1"/>
  </r>
  <r>
    <x v="130"/>
    <n v="-0.63"/>
    <x v="256"/>
    <n v="389.27"/>
    <s v="Complete Access"/>
    <x v="10"/>
    <x v="0"/>
    <x v="0"/>
    <d v="1900-01-22T00:00:00"/>
    <n v="34"/>
    <x v="6"/>
    <x v="1"/>
  </r>
  <r>
    <x v="130"/>
    <n v="-17.88"/>
    <x v="257"/>
    <n v="389.9"/>
    <s v="Complete Access"/>
    <x v="102"/>
    <x v="8"/>
    <x v="40"/>
    <d v="1900-01-22T00:00:00"/>
    <n v="34"/>
    <x v="6"/>
    <x v="1"/>
  </r>
  <r>
    <x v="131"/>
    <n v="-57.49"/>
    <x v="258"/>
    <n v="407.78"/>
    <s v="Complete Access"/>
    <x v="91"/>
    <x v="9"/>
    <x v="12"/>
    <d v="1900-01-21T00:00:00"/>
    <n v="34"/>
    <x v="6"/>
    <x v="1"/>
  </r>
  <r>
    <x v="131"/>
    <n v="-0.34"/>
    <x v="259"/>
    <n v="465.27"/>
    <s v="Complete Access"/>
    <x v="10"/>
    <x v="0"/>
    <x v="0"/>
    <d v="1900-01-21T00:00:00"/>
    <n v="34"/>
    <x v="6"/>
    <x v="1"/>
  </r>
  <r>
    <x v="131"/>
    <n v="-9.84"/>
    <x v="260"/>
    <n v="465.61"/>
    <s v="Complete Access"/>
    <x v="103"/>
    <x v="8"/>
    <x v="40"/>
    <d v="1900-01-21T00:00:00"/>
    <n v="34"/>
    <x v="6"/>
    <x v="1"/>
  </r>
  <r>
    <x v="131"/>
    <n v="-4.04"/>
    <x v="259"/>
    <n v="475.45"/>
    <s v="Complete Access"/>
    <x v="10"/>
    <x v="0"/>
    <x v="0"/>
    <d v="1900-01-21T00:00:00"/>
    <n v="34"/>
    <x v="6"/>
    <x v="1"/>
  </r>
  <r>
    <x v="131"/>
    <n v="-115.55"/>
    <x v="261"/>
    <n v="479.49"/>
    <s v="Complete Access"/>
    <x v="104"/>
    <x v="1"/>
    <x v="5"/>
    <d v="1900-01-21T00:00:00"/>
    <n v="34"/>
    <x v="6"/>
    <x v="1"/>
  </r>
  <r>
    <x v="131"/>
    <n v="-138.87"/>
    <x v="262"/>
    <n v="595.04"/>
    <s v="Complete Access"/>
    <x v="3"/>
    <x v="2"/>
    <x v="2"/>
    <d v="1900-01-21T00:00:00"/>
    <n v="34"/>
    <x v="6"/>
    <x v="1"/>
  </r>
  <r>
    <x v="132"/>
    <n v="-0.23"/>
    <x v="263"/>
    <n v="733.91"/>
    <s v="Complete Access"/>
    <x v="10"/>
    <x v="0"/>
    <x v="0"/>
    <d v="1900-01-20T00:00:00"/>
    <n v="34"/>
    <x v="6"/>
    <x v="1"/>
  </r>
  <r>
    <x v="132"/>
    <n v="-6.66"/>
    <x v="264"/>
    <n v="734.14"/>
    <s v="Complete Access"/>
    <x v="103"/>
    <x v="8"/>
    <x v="40"/>
    <d v="1900-01-20T00:00:00"/>
    <n v="34"/>
    <x v="6"/>
    <x v="1"/>
  </r>
  <r>
    <x v="132"/>
    <n v="-2.38"/>
    <x v="263"/>
    <n v="740.8"/>
    <s v="Complete Access"/>
    <x v="10"/>
    <x v="0"/>
    <x v="0"/>
    <d v="1900-01-20T00:00:00"/>
    <n v="34"/>
    <x v="6"/>
    <x v="1"/>
  </r>
  <r>
    <x v="132"/>
    <n v="-68.12"/>
    <x v="265"/>
    <n v="743.18"/>
    <s v="Complete Access"/>
    <x v="105"/>
    <x v="8"/>
    <x v="40"/>
    <d v="1900-01-20T00:00:00"/>
    <n v="34"/>
    <x v="6"/>
    <x v="1"/>
  </r>
  <r>
    <x v="132"/>
    <n v="-0.89"/>
    <x v="263"/>
    <n v="811.3"/>
    <s v="Complete Access"/>
    <x v="10"/>
    <x v="0"/>
    <x v="0"/>
    <d v="1900-01-20T00:00:00"/>
    <n v="34"/>
    <x v="6"/>
    <x v="1"/>
  </r>
  <r>
    <x v="132"/>
    <n v="-25.31"/>
    <x v="266"/>
    <n v="812.19"/>
    <s v="Complete Access"/>
    <x v="106"/>
    <x v="5"/>
    <x v="41"/>
    <d v="1900-01-20T00:00:00"/>
    <n v="34"/>
    <x v="6"/>
    <x v="1"/>
  </r>
  <r>
    <x v="132"/>
    <n v="-1.1299999999999999"/>
    <x v="263"/>
    <n v="837.5"/>
    <s v="Complete Access"/>
    <x v="10"/>
    <x v="0"/>
    <x v="0"/>
    <d v="1900-01-20T00:00:00"/>
    <n v="34"/>
    <x v="6"/>
    <x v="1"/>
  </r>
  <r>
    <x v="132"/>
    <n v="-32.229999999999997"/>
    <x v="267"/>
    <n v="838.63"/>
    <s v="Complete Access"/>
    <x v="106"/>
    <x v="5"/>
    <x v="41"/>
    <d v="1900-01-20T00:00:00"/>
    <n v="34"/>
    <x v="6"/>
    <x v="1"/>
  </r>
  <r>
    <x v="132"/>
    <n v="-3.96"/>
    <x v="259"/>
    <n v="870.86"/>
    <s v="Complete Access"/>
    <x v="10"/>
    <x v="0"/>
    <x v="0"/>
    <d v="1900-01-20T00:00:00"/>
    <n v="34"/>
    <x v="6"/>
    <x v="1"/>
  </r>
  <r>
    <x v="132"/>
    <n v="-113.2"/>
    <x v="268"/>
    <n v="874.82"/>
    <s v="Complete Access"/>
    <x v="106"/>
    <x v="5"/>
    <x v="41"/>
    <d v="1900-01-20T00:00:00"/>
    <n v="34"/>
    <x v="6"/>
    <x v="1"/>
  </r>
  <r>
    <x v="133"/>
    <n v="-1.4"/>
    <x v="269"/>
    <n v="988.02"/>
    <s v="Complete Access"/>
    <x v="10"/>
    <x v="0"/>
    <x v="0"/>
    <d v="1900-01-19T00:00:00"/>
    <n v="34"/>
    <x v="6"/>
    <x v="1"/>
  </r>
  <r>
    <x v="133"/>
    <n v="-39.96"/>
    <x v="270"/>
    <n v="989.42"/>
    <s v="Complete Access"/>
    <x v="107"/>
    <x v="8"/>
    <x v="40"/>
    <d v="1900-01-19T00:00:00"/>
    <n v="34"/>
    <x v="6"/>
    <x v="1"/>
  </r>
  <r>
    <x v="133"/>
    <n v="-2.77"/>
    <x v="269"/>
    <n v="1029.3800000000001"/>
    <s v="Complete Access"/>
    <x v="10"/>
    <x v="0"/>
    <x v="0"/>
    <d v="1900-01-19T00:00:00"/>
    <n v="34"/>
    <x v="6"/>
    <x v="1"/>
  </r>
  <r>
    <x v="133"/>
    <n v="-79.22"/>
    <x v="271"/>
    <n v="1032.1500000000001"/>
    <s v="Complete Access"/>
    <x v="108"/>
    <x v="8"/>
    <x v="40"/>
    <d v="1900-01-19T00:00:00"/>
    <n v="34"/>
    <x v="6"/>
    <x v="1"/>
  </r>
  <r>
    <x v="133"/>
    <n v="-0.15"/>
    <x v="269"/>
    <n v="1111.3699999999999"/>
    <s v="Complete Access"/>
    <x v="10"/>
    <x v="0"/>
    <x v="0"/>
    <d v="1900-01-19T00:00:00"/>
    <n v="34"/>
    <x v="6"/>
    <x v="1"/>
  </r>
  <r>
    <x v="133"/>
    <n v="-4.41"/>
    <x v="272"/>
    <n v="1111.52"/>
    <s v="Complete Access"/>
    <x v="109"/>
    <x v="8"/>
    <x v="40"/>
    <d v="1900-01-19T00:00:00"/>
    <n v="34"/>
    <x v="6"/>
    <x v="1"/>
  </r>
  <r>
    <x v="133"/>
    <n v="-0.15"/>
    <x v="269"/>
    <n v="1115.93"/>
    <s v="Complete Access"/>
    <x v="10"/>
    <x v="0"/>
    <x v="0"/>
    <d v="1900-01-19T00:00:00"/>
    <n v="34"/>
    <x v="6"/>
    <x v="1"/>
  </r>
  <r>
    <x v="133"/>
    <n v="-4.41"/>
    <x v="272"/>
    <n v="1116.08"/>
    <s v="Complete Access"/>
    <x v="109"/>
    <x v="8"/>
    <x v="40"/>
    <d v="1900-01-19T00:00:00"/>
    <n v="34"/>
    <x v="6"/>
    <x v="1"/>
  </r>
  <r>
    <x v="133"/>
    <n v="-0.15"/>
    <x v="269"/>
    <n v="1120.49"/>
    <s v="Complete Access"/>
    <x v="10"/>
    <x v="0"/>
    <x v="0"/>
    <d v="1900-01-19T00:00:00"/>
    <n v="34"/>
    <x v="6"/>
    <x v="1"/>
  </r>
  <r>
    <x v="133"/>
    <n v="-4.41"/>
    <x v="272"/>
    <n v="1120.6400000000001"/>
    <s v="Complete Access"/>
    <x v="109"/>
    <x v="8"/>
    <x v="40"/>
    <d v="1900-01-19T00:00:00"/>
    <n v="34"/>
    <x v="6"/>
    <x v="1"/>
  </r>
  <r>
    <x v="133"/>
    <n v="-0.15"/>
    <x v="269"/>
    <n v="1125.05"/>
    <s v="Complete Access"/>
    <x v="10"/>
    <x v="0"/>
    <x v="0"/>
    <d v="1900-01-19T00:00:00"/>
    <n v="34"/>
    <x v="6"/>
    <x v="1"/>
  </r>
  <r>
    <x v="133"/>
    <n v="-4.3899999999999997"/>
    <x v="272"/>
    <n v="1125.2"/>
    <s v="Complete Access"/>
    <x v="109"/>
    <x v="8"/>
    <x v="40"/>
    <d v="1900-01-19T00:00:00"/>
    <n v="34"/>
    <x v="6"/>
    <x v="1"/>
  </r>
  <r>
    <x v="133"/>
    <n v="-11.75"/>
    <x v="269"/>
    <n v="1129.5899999999999"/>
    <s v="Complete Access"/>
    <x v="10"/>
    <x v="0"/>
    <x v="0"/>
    <d v="1900-01-19T00:00:00"/>
    <n v="34"/>
    <x v="6"/>
    <x v="1"/>
  </r>
  <r>
    <x v="133"/>
    <n v="-335.69"/>
    <x v="273"/>
    <n v="1141.3399999999999"/>
    <s v="Complete Access"/>
    <x v="110"/>
    <x v="8"/>
    <x v="40"/>
    <d v="1900-01-19T00:00:00"/>
    <n v="34"/>
    <x v="6"/>
    <x v="1"/>
  </r>
  <r>
    <x v="133"/>
    <n v="-1.92"/>
    <x v="274"/>
    <n v="1477.03"/>
    <s v="Complete Access"/>
    <x v="10"/>
    <x v="0"/>
    <x v="0"/>
    <d v="1900-01-19T00:00:00"/>
    <n v="34"/>
    <x v="6"/>
    <x v="1"/>
  </r>
  <r>
    <x v="133"/>
    <n v="-54.96"/>
    <x v="275"/>
    <n v="1478.95"/>
    <s v="Complete Access"/>
    <x v="111"/>
    <x v="8"/>
    <x v="40"/>
    <d v="1900-01-19T00:00:00"/>
    <n v="34"/>
    <x v="6"/>
    <x v="1"/>
  </r>
  <r>
    <x v="133"/>
    <n v="-1.87"/>
    <x v="269"/>
    <n v="1533.91"/>
    <s v="Complete Access"/>
    <x v="10"/>
    <x v="0"/>
    <x v="0"/>
    <d v="1900-01-19T00:00:00"/>
    <n v="34"/>
    <x v="6"/>
    <x v="1"/>
  </r>
  <r>
    <x v="133"/>
    <n v="-53.44"/>
    <x v="276"/>
    <n v="1535.78"/>
    <s v="Complete Access"/>
    <x v="111"/>
    <x v="8"/>
    <x v="40"/>
    <d v="1900-01-19T00:00:00"/>
    <n v="34"/>
    <x v="6"/>
    <x v="1"/>
  </r>
  <r>
    <x v="133"/>
    <n v="-0.11"/>
    <x v="277"/>
    <n v="1589.22"/>
    <s v="Complete Access"/>
    <x v="10"/>
    <x v="0"/>
    <x v="0"/>
    <d v="1900-01-19T00:00:00"/>
    <n v="34"/>
    <x v="6"/>
    <x v="1"/>
  </r>
  <r>
    <x v="133"/>
    <n v="-3.2"/>
    <x v="278"/>
    <n v="1589.33"/>
    <s v="Complete Access"/>
    <x v="112"/>
    <x v="8"/>
    <x v="40"/>
    <d v="1900-01-19T00:00:00"/>
    <n v="34"/>
    <x v="6"/>
    <x v="1"/>
  </r>
  <r>
    <x v="133"/>
    <n v="-14.34"/>
    <x v="279"/>
    <n v="1592.53"/>
    <s v="Complete Access"/>
    <x v="10"/>
    <x v="0"/>
    <x v="0"/>
    <d v="1900-01-19T00:00:00"/>
    <n v="34"/>
    <x v="6"/>
    <x v="1"/>
  </r>
  <r>
    <x v="133"/>
    <n v="-409.61"/>
    <x v="280"/>
    <n v="1606.87"/>
    <s v="Complete Access"/>
    <x v="113"/>
    <x v="8"/>
    <x v="40"/>
    <d v="1900-01-19T00:00:00"/>
    <n v="34"/>
    <x v="6"/>
    <x v="1"/>
  </r>
  <r>
    <x v="133"/>
    <n v="-59.99"/>
    <x v="281"/>
    <n v="2016.48"/>
    <s v="Complete Access"/>
    <x v="114"/>
    <x v="16"/>
    <x v="7"/>
    <d v="1900-01-19T00:00:00"/>
    <n v="34"/>
    <x v="6"/>
    <x v="1"/>
  </r>
  <r>
    <x v="133"/>
    <n v="-1.82"/>
    <x v="279"/>
    <n v="2076.4699999999998"/>
    <s v="Complete Access"/>
    <x v="10"/>
    <x v="0"/>
    <x v="0"/>
    <d v="1900-01-19T00:00:00"/>
    <n v="34"/>
    <x v="6"/>
    <x v="1"/>
  </r>
  <r>
    <x v="133"/>
    <n v="-52.09"/>
    <x v="282"/>
    <n v="2078.29"/>
    <s v="Complete Access"/>
    <x v="115"/>
    <x v="8"/>
    <x v="40"/>
    <d v="1900-01-19T00:00:00"/>
    <n v="34"/>
    <x v="6"/>
    <x v="1"/>
  </r>
  <r>
    <x v="133"/>
    <n v="-2.2200000000000002"/>
    <x v="263"/>
    <n v="2130.38"/>
    <s v="Complete Access"/>
    <x v="10"/>
    <x v="0"/>
    <x v="0"/>
    <d v="1900-01-19T00:00:00"/>
    <n v="34"/>
    <x v="6"/>
    <x v="1"/>
  </r>
  <r>
    <x v="133"/>
    <n v="-63.41"/>
    <x v="283"/>
    <n v="2132.6"/>
    <s v="Complete Access"/>
    <x v="116"/>
    <x v="8"/>
    <x v="40"/>
    <d v="1900-01-19T00:00:00"/>
    <n v="34"/>
    <x v="6"/>
    <x v="1"/>
  </r>
  <r>
    <x v="133"/>
    <n v="-0.5"/>
    <x v="279"/>
    <n v="2196.0100000000002"/>
    <s v="Complete Access"/>
    <x v="10"/>
    <x v="0"/>
    <x v="0"/>
    <d v="1900-01-19T00:00:00"/>
    <n v="34"/>
    <x v="6"/>
    <x v="1"/>
  </r>
  <r>
    <x v="133"/>
    <n v="-14.23"/>
    <x v="284"/>
    <n v="2196.5100000000002"/>
    <s v="Complete Access"/>
    <x v="106"/>
    <x v="5"/>
    <x v="41"/>
    <d v="1900-01-19T00:00:00"/>
    <n v="34"/>
    <x v="6"/>
    <x v="1"/>
  </r>
  <r>
    <x v="133"/>
    <n v="-3.18"/>
    <x v="279"/>
    <n v="2210.7399999999998"/>
    <s v="Complete Access"/>
    <x v="10"/>
    <x v="0"/>
    <x v="0"/>
    <d v="1900-01-19T00:00:00"/>
    <n v="34"/>
    <x v="6"/>
    <x v="1"/>
  </r>
  <r>
    <x v="133"/>
    <n v="-90.83"/>
    <x v="285"/>
    <n v="2213.92"/>
    <s v="Complete Access"/>
    <x v="117"/>
    <x v="8"/>
    <x v="40"/>
    <d v="1900-01-19T00:00:00"/>
    <n v="34"/>
    <x v="6"/>
    <x v="1"/>
  </r>
  <r>
    <x v="133"/>
    <n v="-0.85"/>
    <x v="279"/>
    <n v="2304.75"/>
    <s v="Complete Access"/>
    <x v="10"/>
    <x v="0"/>
    <x v="0"/>
    <d v="1900-01-19T00:00:00"/>
    <n v="34"/>
    <x v="6"/>
    <x v="1"/>
  </r>
  <r>
    <x v="133"/>
    <n v="-24.39"/>
    <x v="286"/>
    <n v="2305.6"/>
    <s v="Complete Access"/>
    <x v="106"/>
    <x v="5"/>
    <x v="41"/>
    <d v="1900-01-19T00:00:00"/>
    <n v="34"/>
    <x v="6"/>
    <x v="1"/>
  </r>
  <r>
    <x v="134"/>
    <n v="-1.98"/>
    <x v="269"/>
    <n v="2329.9899999999998"/>
    <s v="Complete Access"/>
    <x v="10"/>
    <x v="0"/>
    <x v="0"/>
    <d v="1900-01-16T00:00:00"/>
    <n v="33"/>
    <x v="6"/>
    <x v="1"/>
  </r>
  <r>
    <x v="134"/>
    <n v="-56.71"/>
    <x v="287"/>
    <n v="2331.9699999999998"/>
    <s v="Complete Access"/>
    <x v="118"/>
    <x v="8"/>
    <x v="40"/>
    <d v="1900-01-16T00:00:00"/>
    <n v="33"/>
    <x v="6"/>
    <x v="1"/>
  </r>
  <r>
    <x v="134"/>
    <n v="-0.21"/>
    <x v="274"/>
    <n v="2388.6799999999998"/>
    <s v="Complete Access"/>
    <x v="10"/>
    <x v="0"/>
    <x v="0"/>
    <d v="1900-01-16T00:00:00"/>
    <n v="33"/>
    <x v="6"/>
    <x v="1"/>
  </r>
  <r>
    <x v="134"/>
    <n v="-6.05"/>
    <x v="288"/>
    <n v="2388.89"/>
    <s v="Complete Access"/>
    <x v="119"/>
    <x v="8"/>
    <x v="40"/>
    <d v="1900-01-16T00:00:00"/>
    <n v="33"/>
    <x v="6"/>
    <x v="1"/>
  </r>
  <r>
    <x v="134"/>
    <n v="-0.15"/>
    <x v="274"/>
    <n v="2394.94"/>
    <s v="Complete Access"/>
    <x v="10"/>
    <x v="0"/>
    <x v="0"/>
    <d v="1900-01-16T00:00:00"/>
    <n v="33"/>
    <x v="6"/>
    <x v="1"/>
  </r>
  <r>
    <x v="134"/>
    <n v="-4.3899999999999997"/>
    <x v="289"/>
    <n v="2395.09"/>
    <s v="Complete Access"/>
    <x v="109"/>
    <x v="8"/>
    <x v="40"/>
    <d v="1900-01-16T00:00:00"/>
    <n v="33"/>
    <x v="6"/>
    <x v="1"/>
  </r>
  <r>
    <x v="134"/>
    <n v="-0.15"/>
    <x v="274"/>
    <n v="2399.48"/>
    <s v="Complete Access"/>
    <x v="10"/>
    <x v="0"/>
    <x v="0"/>
    <d v="1900-01-16T00:00:00"/>
    <n v="33"/>
    <x v="6"/>
    <x v="1"/>
  </r>
  <r>
    <x v="134"/>
    <n v="-4.41"/>
    <x v="289"/>
    <n v="2399.63"/>
    <s v="Complete Access"/>
    <x v="109"/>
    <x v="8"/>
    <x v="40"/>
    <d v="1900-01-16T00:00:00"/>
    <n v="33"/>
    <x v="6"/>
    <x v="1"/>
  </r>
  <r>
    <x v="134"/>
    <n v="-0.15"/>
    <x v="274"/>
    <n v="2404.04"/>
    <s v="Complete Access"/>
    <x v="10"/>
    <x v="0"/>
    <x v="0"/>
    <d v="1900-01-16T00:00:00"/>
    <n v="33"/>
    <x v="6"/>
    <x v="1"/>
  </r>
  <r>
    <x v="134"/>
    <n v="-4.41"/>
    <x v="290"/>
    <n v="2404.19"/>
    <s v="Complete Access"/>
    <x v="109"/>
    <x v="8"/>
    <x v="40"/>
    <d v="1900-01-16T00:00:00"/>
    <n v="33"/>
    <x v="6"/>
    <x v="1"/>
  </r>
  <r>
    <x v="134"/>
    <n v="-0.77"/>
    <x v="274"/>
    <n v="2408.6"/>
    <s v="Complete Access"/>
    <x v="10"/>
    <x v="0"/>
    <x v="0"/>
    <d v="1900-01-16T00:00:00"/>
    <n v="33"/>
    <x v="6"/>
    <x v="1"/>
  </r>
  <r>
    <x v="134"/>
    <n v="-21.99"/>
    <x v="291"/>
    <n v="2409.37"/>
    <s v="Complete Access"/>
    <x v="106"/>
    <x v="5"/>
    <x v="41"/>
    <d v="1900-01-16T00:00:00"/>
    <n v="33"/>
    <x v="6"/>
    <x v="1"/>
  </r>
  <r>
    <x v="134"/>
    <n v="-5.33"/>
    <x v="292"/>
    <n v="2431.36"/>
    <s v="Complete Access"/>
    <x v="10"/>
    <x v="0"/>
    <x v="0"/>
    <d v="1900-01-16T00:00:00"/>
    <n v="33"/>
    <x v="6"/>
    <x v="1"/>
  </r>
  <r>
    <x v="134"/>
    <n v="-152.22"/>
    <x v="293"/>
    <n v="2436.69"/>
    <s v="Complete Access"/>
    <x v="120"/>
    <x v="8"/>
    <x v="40"/>
    <d v="1900-01-16T00:00:00"/>
    <n v="33"/>
    <x v="6"/>
    <x v="1"/>
  </r>
  <r>
    <x v="134"/>
    <n v="-1.05"/>
    <x v="292"/>
    <n v="2588.91"/>
    <s v="Complete Access"/>
    <x v="10"/>
    <x v="0"/>
    <x v="0"/>
    <d v="1900-01-16T00:00:00"/>
    <n v="33"/>
    <x v="6"/>
    <x v="1"/>
  </r>
  <r>
    <x v="134"/>
    <n v="-29.94"/>
    <x v="294"/>
    <n v="2589.96"/>
    <s v="Complete Access"/>
    <x v="121"/>
    <x v="8"/>
    <x v="40"/>
    <d v="1900-01-16T00:00:00"/>
    <n v="33"/>
    <x v="6"/>
    <x v="1"/>
  </r>
  <r>
    <x v="134"/>
    <n v="-0.65"/>
    <x v="292"/>
    <n v="2619.9"/>
    <s v="Complete Access"/>
    <x v="10"/>
    <x v="0"/>
    <x v="0"/>
    <d v="1900-01-16T00:00:00"/>
    <n v="33"/>
    <x v="6"/>
    <x v="1"/>
  </r>
  <r>
    <x v="134"/>
    <n v="-18.66"/>
    <x v="295"/>
    <n v="2620.5500000000002"/>
    <s v="Complete Access"/>
    <x v="122"/>
    <x v="8"/>
    <x v="40"/>
    <d v="1900-01-16T00:00:00"/>
    <n v="33"/>
    <x v="6"/>
    <x v="1"/>
  </r>
  <r>
    <x v="134"/>
    <n v="-0.11"/>
    <x v="292"/>
    <n v="2639.21"/>
    <s v="Complete Access"/>
    <x v="10"/>
    <x v="0"/>
    <x v="0"/>
    <d v="1900-01-16T00:00:00"/>
    <n v="33"/>
    <x v="6"/>
    <x v="1"/>
  </r>
  <r>
    <x v="134"/>
    <n v="-3.16"/>
    <x v="296"/>
    <n v="2639.32"/>
    <s v="Complete Access"/>
    <x v="123"/>
    <x v="8"/>
    <x v="40"/>
    <d v="1900-01-16T00:00:00"/>
    <n v="33"/>
    <x v="6"/>
    <x v="1"/>
  </r>
  <r>
    <x v="134"/>
    <n v="-24.99"/>
    <x v="297"/>
    <n v="2642.48"/>
    <s v="Complete Access"/>
    <x v="114"/>
    <x v="16"/>
    <x v="7"/>
    <d v="1900-01-16T00:00:00"/>
    <n v="33"/>
    <x v="6"/>
    <x v="1"/>
  </r>
  <r>
    <x v="134"/>
    <n v="-2.27"/>
    <x v="269"/>
    <n v="2667.47"/>
    <s v="Complete Access"/>
    <x v="10"/>
    <x v="0"/>
    <x v="0"/>
    <d v="1900-01-16T00:00:00"/>
    <n v="33"/>
    <x v="6"/>
    <x v="1"/>
  </r>
  <r>
    <x v="134"/>
    <n v="-64.81"/>
    <x v="298"/>
    <n v="2669.74"/>
    <s v="Complete Access"/>
    <x v="124"/>
    <x v="8"/>
    <x v="40"/>
    <d v="1900-01-16T00:00:00"/>
    <n v="33"/>
    <x v="6"/>
    <x v="1"/>
  </r>
  <r>
    <x v="135"/>
    <n v="-0.15"/>
    <x v="292"/>
    <n v="2734.55"/>
    <s v="Complete Access"/>
    <x v="10"/>
    <x v="0"/>
    <x v="0"/>
    <d v="1900-01-15T00:00:00"/>
    <n v="33"/>
    <x v="6"/>
    <x v="1"/>
  </r>
  <r>
    <x v="135"/>
    <n v="-4.41"/>
    <x v="290"/>
    <n v="2734.7"/>
    <s v="Complete Access"/>
    <x v="109"/>
    <x v="8"/>
    <x v="40"/>
    <d v="1900-01-15T00:00:00"/>
    <n v="33"/>
    <x v="6"/>
    <x v="1"/>
  </r>
  <r>
    <x v="135"/>
    <n v="-0.15"/>
    <x v="292"/>
    <n v="2739.11"/>
    <s v="Complete Access"/>
    <x v="10"/>
    <x v="0"/>
    <x v="0"/>
    <d v="1900-01-15T00:00:00"/>
    <n v="33"/>
    <x v="6"/>
    <x v="1"/>
  </r>
  <r>
    <x v="135"/>
    <n v="-4.41"/>
    <x v="290"/>
    <n v="2739.26"/>
    <s v="Complete Access"/>
    <x v="109"/>
    <x v="8"/>
    <x v="40"/>
    <d v="1900-01-15T00:00:00"/>
    <n v="33"/>
    <x v="6"/>
    <x v="1"/>
  </r>
  <r>
    <x v="135"/>
    <n v="-0.15"/>
    <x v="292"/>
    <n v="2743.67"/>
    <s v="Complete Access"/>
    <x v="10"/>
    <x v="0"/>
    <x v="0"/>
    <d v="1900-01-15T00:00:00"/>
    <n v="33"/>
    <x v="6"/>
    <x v="1"/>
  </r>
  <r>
    <x v="135"/>
    <n v="-4.42"/>
    <x v="290"/>
    <n v="2743.82"/>
    <s v="Complete Access"/>
    <x v="109"/>
    <x v="8"/>
    <x v="40"/>
    <d v="1900-01-15T00:00:00"/>
    <n v="33"/>
    <x v="6"/>
    <x v="1"/>
  </r>
  <r>
    <x v="135"/>
    <n v="-0.41"/>
    <x v="292"/>
    <n v="2748.24"/>
    <s v="Complete Access"/>
    <x v="10"/>
    <x v="0"/>
    <x v="0"/>
    <d v="1900-01-15T00:00:00"/>
    <n v="33"/>
    <x v="6"/>
    <x v="1"/>
  </r>
  <r>
    <x v="135"/>
    <n v="-11.58"/>
    <x v="299"/>
    <n v="2748.65"/>
    <s v="Complete Access"/>
    <x v="125"/>
    <x v="8"/>
    <x v="40"/>
    <d v="1900-01-15T00:00:00"/>
    <n v="33"/>
    <x v="6"/>
    <x v="1"/>
  </r>
  <r>
    <x v="135"/>
    <n v="-4.0599999999999996"/>
    <x v="292"/>
    <n v="2760.23"/>
    <s v="Complete Access"/>
    <x v="10"/>
    <x v="0"/>
    <x v="0"/>
    <d v="1900-01-15T00:00:00"/>
    <n v="33"/>
    <x v="6"/>
    <x v="1"/>
  </r>
  <r>
    <x v="135"/>
    <n v="-115.86"/>
    <x v="300"/>
    <n v="2764.29"/>
    <s v="Complete Access"/>
    <x v="126"/>
    <x v="8"/>
    <x v="40"/>
    <d v="1900-01-15T00:00:00"/>
    <n v="33"/>
    <x v="6"/>
    <x v="1"/>
  </r>
  <r>
    <x v="135"/>
    <n v="-0.5"/>
    <x v="301"/>
    <n v="2880.15"/>
    <s v="Complete Access"/>
    <x v="10"/>
    <x v="0"/>
    <x v="0"/>
    <d v="1900-01-15T00:00:00"/>
    <n v="33"/>
    <x v="6"/>
    <x v="1"/>
  </r>
  <r>
    <x v="135"/>
    <n v="-14.26"/>
    <x v="302"/>
    <n v="2880.65"/>
    <s v="Complete Access"/>
    <x v="127"/>
    <x v="8"/>
    <x v="40"/>
    <d v="1900-01-15T00:00:00"/>
    <n v="33"/>
    <x v="6"/>
    <x v="1"/>
  </r>
  <r>
    <x v="135"/>
    <n v="-0.11"/>
    <x v="301"/>
    <n v="2894.91"/>
    <s v="Complete Access"/>
    <x v="10"/>
    <x v="0"/>
    <x v="0"/>
    <d v="1900-01-15T00:00:00"/>
    <n v="33"/>
    <x v="6"/>
    <x v="1"/>
  </r>
  <r>
    <x v="135"/>
    <n v="-3.17"/>
    <x v="303"/>
    <n v="2895.02"/>
    <s v="Complete Access"/>
    <x v="127"/>
    <x v="8"/>
    <x v="40"/>
    <d v="1900-01-15T00:00:00"/>
    <n v="33"/>
    <x v="6"/>
    <x v="1"/>
  </r>
  <r>
    <x v="135"/>
    <n v="-1.5"/>
    <x v="292"/>
    <n v="2898.19"/>
    <s v="Complete Access"/>
    <x v="10"/>
    <x v="0"/>
    <x v="0"/>
    <d v="1900-01-15T00:00:00"/>
    <n v="33"/>
    <x v="6"/>
    <x v="1"/>
  </r>
  <r>
    <x v="135"/>
    <n v="-42.73"/>
    <x v="304"/>
    <n v="2899.69"/>
    <s v="Complete Access"/>
    <x v="128"/>
    <x v="8"/>
    <x v="40"/>
    <d v="1900-01-15T00:00:00"/>
    <n v="33"/>
    <x v="6"/>
    <x v="1"/>
  </r>
  <r>
    <x v="135"/>
    <n v="-1.39"/>
    <x v="274"/>
    <n v="2942.42"/>
    <s v="Complete Access"/>
    <x v="10"/>
    <x v="0"/>
    <x v="0"/>
    <d v="1900-01-15T00:00:00"/>
    <n v="33"/>
    <x v="6"/>
    <x v="1"/>
  </r>
  <r>
    <x v="135"/>
    <n v="-39.75"/>
    <x v="305"/>
    <n v="2943.81"/>
    <s v="Complete Access"/>
    <x v="106"/>
    <x v="5"/>
    <x v="41"/>
    <d v="1900-01-15T00:00:00"/>
    <n v="33"/>
    <x v="6"/>
    <x v="1"/>
  </r>
  <r>
    <x v="136"/>
    <n v="-11.8"/>
    <x v="11"/>
    <n v="2983.56"/>
    <s v="Complete Access"/>
    <x v="9"/>
    <x v="4"/>
    <x v="6"/>
    <d v="1900-01-14T00:00:00"/>
    <n v="33"/>
    <x v="6"/>
    <x v="1"/>
  </r>
  <r>
    <x v="136"/>
    <n v="-6.15"/>
    <x v="306"/>
    <n v="2995.36"/>
    <s v="Complete Access"/>
    <x v="129"/>
    <x v="0"/>
    <x v="42"/>
    <d v="1900-01-14T00:00:00"/>
    <n v="33"/>
    <x v="6"/>
    <x v="1"/>
  </r>
  <r>
    <x v="136"/>
    <n v="-32.83"/>
    <x v="307"/>
    <n v="3001.51"/>
    <s v="Complete Access"/>
    <x v="130"/>
    <x v="0"/>
    <x v="0"/>
    <d v="1900-01-14T00:00:00"/>
    <n v="33"/>
    <x v="6"/>
    <x v="1"/>
  </r>
  <r>
    <x v="136"/>
    <n v="-1408.62"/>
    <x v="15"/>
    <n v="3034.34"/>
    <s v="Complete Access"/>
    <x v="13"/>
    <x v="0"/>
    <x v="0"/>
    <d v="1900-01-14T00:00:00"/>
    <n v="33"/>
    <x v="6"/>
    <x v="1"/>
  </r>
  <r>
    <x v="136"/>
    <n v="-0.23"/>
    <x v="301"/>
    <n v="4442.96"/>
    <s v="Complete Access"/>
    <x v="10"/>
    <x v="0"/>
    <x v="0"/>
    <d v="1900-01-14T00:00:00"/>
    <n v="33"/>
    <x v="6"/>
    <x v="1"/>
  </r>
  <r>
    <x v="136"/>
    <n v="-6.47"/>
    <x v="308"/>
    <n v="4443.1899999999996"/>
    <s v="Complete Access"/>
    <x v="109"/>
    <x v="8"/>
    <x v="40"/>
    <d v="1900-01-14T00:00:00"/>
    <n v="33"/>
    <x v="6"/>
    <x v="1"/>
  </r>
  <r>
    <x v="136"/>
    <n v="-0.15"/>
    <x v="301"/>
    <n v="4449.66"/>
    <s v="Complete Access"/>
    <x v="10"/>
    <x v="0"/>
    <x v="0"/>
    <d v="1900-01-14T00:00:00"/>
    <n v="33"/>
    <x v="6"/>
    <x v="1"/>
  </r>
  <r>
    <x v="136"/>
    <n v="-4.42"/>
    <x v="309"/>
    <n v="4449.8100000000004"/>
    <s v="Complete Access"/>
    <x v="109"/>
    <x v="8"/>
    <x v="40"/>
    <d v="1900-01-14T00:00:00"/>
    <n v="33"/>
    <x v="6"/>
    <x v="1"/>
  </r>
  <r>
    <x v="136"/>
    <n v="-0.3"/>
    <x v="301"/>
    <n v="4454.2299999999996"/>
    <s v="Complete Access"/>
    <x v="10"/>
    <x v="0"/>
    <x v="0"/>
    <d v="1900-01-14T00:00:00"/>
    <n v="33"/>
    <x v="6"/>
    <x v="1"/>
  </r>
  <r>
    <x v="136"/>
    <n v="-8.64"/>
    <x v="310"/>
    <n v="4454.53"/>
    <s v="Complete Access"/>
    <x v="131"/>
    <x v="8"/>
    <x v="40"/>
    <d v="1900-01-14T00:00:00"/>
    <n v="33"/>
    <x v="6"/>
    <x v="1"/>
  </r>
  <r>
    <x v="136"/>
    <n v="-0.53"/>
    <x v="301"/>
    <n v="4463.17"/>
    <s v="Complete Access"/>
    <x v="10"/>
    <x v="0"/>
    <x v="0"/>
    <d v="1900-01-14T00:00:00"/>
    <n v="33"/>
    <x v="6"/>
    <x v="1"/>
  </r>
  <r>
    <x v="136"/>
    <n v="-15.05"/>
    <x v="311"/>
    <n v="4463.7"/>
    <s v="Complete Access"/>
    <x v="132"/>
    <x v="8"/>
    <x v="40"/>
    <d v="1900-01-14T00:00:00"/>
    <n v="33"/>
    <x v="6"/>
    <x v="1"/>
  </r>
  <r>
    <x v="136"/>
    <n v="-1.71"/>
    <x v="292"/>
    <n v="4478.75"/>
    <s v="Complete Access"/>
    <x v="10"/>
    <x v="0"/>
    <x v="0"/>
    <d v="1900-01-14T00:00:00"/>
    <n v="33"/>
    <x v="6"/>
    <x v="1"/>
  </r>
  <r>
    <x v="136"/>
    <n v="-48.94"/>
    <x v="312"/>
    <n v="4480.46"/>
    <s v="Complete Access"/>
    <x v="128"/>
    <x v="8"/>
    <x v="40"/>
    <d v="1900-01-14T00:00:00"/>
    <n v="33"/>
    <x v="6"/>
    <x v="1"/>
  </r>
  <r>
    <x v="136"/>
    <n v="-1.86"/>
    <x v="301"/>
    <n v="4529.3999999999996"/>
    <s v="Complete Access"/>
    <x v="10"/>
    <x v="0"/>
    <x v="0"/>
    <d v="1900-01-14T00:00:00"/>
    <n v="33"/>
    <x v="6"/>
    <x v="1"/>
  </r>
  <r>
    <x v="136"/>
    <n v="-53.02"/>
    <x v="313"/>
    <n v="4531.26"/>
    <s v="Complete Access"/>
    <x v="133"/>
    <x v="8"/>
    <x v="40"/>
    <d v="1900-01-14T00:00:00"/>
    <n v="33"/>
    <x v="6"/>
    <x v="1"/>
  </r>
  <r>
    <x v="136"/>
    <n v="-0.8"/>
    <x v="292"/>
    <n v="4584.28"/>
    <s v="Complete Access"/>
    <x v="10"/>
    <x v="0"/>
    <x v="0"/>
    <d v="1900-01-14T00:00:00"/>
    <n v="33"/>
    <x v="6"/>
    <x v="1"/>
  </r>
  <r>
    <x v="136"/>
    <n v="-22.96"/>
    <x v="314"/>
    <n v="4585.08"/>
    <s v="Complete Access"/>
    <x v="106"/>
    <x v="5"/>
    <x v="41"/>
    <d v="1900-01-14T00:00:00"/>
    <n v="33"/>
    <x v="6"/>
    <x v="1"/>
  </r>
  <r>
    <x v="136"/>
    <n v="2672"/>
    <x v="315"/>
    <n v="4608.04"/>
    <s v="Complete Access"/>
    <x v="14"/>
    <x v="6"/>
    <x v="9"/>
    <d v="1900-01-14T00:00:00"/>
    <n v="33"/>
    <x v="6"/>
    <x v="1"/>
  </r>
  <r>
    <x v="137"/>
    <n v="-3.73"/>
    <x v="316"/>
    <n v="1936.04"/>
    <s v="Complete Access"/>
    <x v="10"/>
    <x v="0"/>
    <x v="0"/>
    <d v="1900-01-12T00:00:00"/>
    <n v="33"/>
    <x v="6"/>
    <x v="1"/>
  </r>
  <r>
    <x v="137"/>
    <n v="-106.7"/>
    <x v="317"/>
    <n v="1939.77"/>
    <s v="Complete Access"/>
    <x v="134"/>
    <x v="8"/>
    <x v="40"/>
    <d v="1900-01-12T00:00:00"/>
    <n v="33"/>
    <x v="6"/>
    <x v="1"/>
  </r>
  <r>
    <x v="137"/>
    <n v="-12.69"/>
    <x v="318"/>
    <n v="2046.47"/>
    <s v="Complete Access"/>
    <x v="10"/>
    <x v="0"/>
    <x v="0"/>
    <d v="1900-01-12T00:00:00"/>
    <n v="33"/>
    <x v="6"/>
    <x v="1"/>
  </r>
  <r>
    <x v="137"/>
    <n v="-362.63"/>
    <x v="319"/>
    <n v="2059.16"/>
    <s v="Complete Access"/>
    <x v="135"/>
    <x v="8"/>
    <x v="40"/>
    <d v="1900-01-12T00:00:00"/>
    <n v="33"/>
    <x v="6"/>
    <x v="1"/>
  </r>
  <r>
    <x v="137"/>
    <n v="-1.17"/>
    <x v="320"/>
    <n v="2421.79"/>
    <s v="Complete Access"/>
    <x v="10"/>
    <x v="0"/>
    <x v="0"/>
    <d v="1900-01-12T00:00:00"/>
    <n v="33"/>
    <x v="6"/>
    <x v="1"/>
  </r>
  <r>
    <x v="137"/>
    <n v="-33.520000000000003"/>
    <x v="321"/>
    <n v="2422.96"/>
    <s v="Complete Access"/>
    <x v="11"/>
    <x v="4"/>
    <x v="7"/>
    <d v="1900-01-12T00:00:00"/>
    <n v="33"/>
    <x v="6"/>
    <x v="1"/>
  </r>
  <r>
    <x v="138"/>
    <n v="-4.2699999999999996"/>
    <x v="322"/>
    <n v="2456.48"/>
    <s v="Complete Access"/>
    <x v="10"/>
    <x v="0"/>
    <x v="0"/>
    <d v="1900-01-09T00:00:00"/>
    <n v="32"/>
    <x v="6"/>
    <x v="1"/>
  </r>
  <r>
    <x v="138"/>
    <n v="-121.9"/>
    <x v="323"/>
    <n v="2460.75"/>
    <s v="Complete Access"/>
    <x v="136"/>
    <x v="8"/>
    <x v="40"/>
    <d v="1900-01-09T00:00:00"/>
    <n v="32"/>
    <x v="6"/>
    <x v="1"/>
  </r>
  <r>
    <x v="138"/>
    <n v="-2.1"/>
    <x v="324"/>
    <n v="2582.65"/>
    <s v="Complete Access"/>
    <x v="10"/>
    <x v="0"/>
    <x v="0"/>
    <d v="1900-01-09T00:00:00"/>
    <n v="32"/>
    <x v="6"/>
    <x v="1"/>
  </r>
  <r>
    <x v="138"/>
    <n v="-60.03"/>
    <x v="325"/>
    <n v="2584.75"/>
    <s v="Complete Access"/>
    <x v="137"/>
    <x v="8"/>
    <x v="40"/>
    <d v="1900-01-09T00:00:00"/>
    <n v="32"/>
    <x v="6"/>
    <x v="1"/>
  </r>
  <r>
    <x v="138"/>
    <n v="-2.89"/>
    <x v="324"/>
    <n v="2644.78"/>
    <s v="Complete Access"/>
    <x v="10"/>
    <x v="0"/>
    <x v="0"/>
    <d v="1900-01-09T00:00:00"/>
    <n v="32"/>
    <x v="6"/>
    <x v="1"/>
  </r>
  <r>
    <x v="138"/>
    <n v="-82.49"/>
    <x v="326"/>
    <n v="2647.67"/>
    <s v="Complete Access"/>
    <x v="138"/>
    <x v="8"/>
    <x v="40"/>
    <d v="1900-01-09T00:00:00"/>
    <n v="32"/>
    <x v="6"/>
    <x v="1"/>
  </r>
  <r>
    <x v="139"/>
    <n v="-89"/>
    <x v="327"/>
    <n v="2730.16"/>
    <s v="Complete Access"/>
    <x v="17"/>
    <x v="7"/>
    <x v="11"/>
    <d v="1900-01-08T00:00:00"/>
    <n v="32"/>
    <x v="6"/>
    <x v="1"/>
  </r>
  <r>
    <x v="140"/>
    <n v="-3.61"/>
    <x v="324"/>
    <n v="2819.16"/>
    <s v="Complete Access"/>
    <x v="10"/>
    <x v="0"/>
    <x v="0"/>
    <d v="1900-01-07T00:00:00"/>
    <n v="32"/>
    <x v="6"/>
    <x v="1"/>
  </r>
  <r>
    <x v="140"/>
    <n v="-103.02"/>
    <x v="328"/>
    <n v="2822.77"/>
    <s v="Complete Access"/>
    <x v="8"/>
    <x v="1"/>
    <x v="5"/>
    <d v="1900-01-07T00:00:00"/>
    <n v="32"/>
    <x v="6"/>
    <x v="1"/>
  </r>
  <r>
    <x v="141"/>
    <n v="-6.74"/>
    <x v="329"/>
    <n v="2925.79"/>
    <s v="Complete Access"/>
    <x v="10"/>
    <x v="0"/>
    <x v="0"/>
    <d v="1900-01-05T00:00:00"/>
    <n v="32"/>
    <x v="6"/>
    <x v="1"/>
  </r>
  <r>
    <x v="141"/>
    <n v="-192.53"/>
    <x v="330"/>
    <n v="2932.53"/>
    <s v="Complete Access"/>
    <x v="139"/>
    <x v="8"/>
    <x v="40"/>
    <d v="1900-01-05T00:00:00"/>
    <n v="32"/>
    <x v="6"/>
    <x v="1"/>
  </r>
  <r>
    <x v="141"/>
    <n v="-1.08"/>
    <x v="331"/>
    <n v="3125.06"/>
    <s v="Complete Access"/>
    <x v="10"/>
    <x v="0"/>
    <x v="0"/>
    <d v="1900-01-05T00:00:00"/>
    <n v="32"/>
    <x v="6"/>
    <x v="1"/>
  </r>
  <r>
    <x v="141"/>
    <n v="-30.85"/>
    <x v="332"/>
    <n v="3126.14"/>
    <s v="Complete Access"/>
    <x v="106"/>
    <x v="5"/>
    <x v="41"/>
    <d v="1900-01-05T00:00:00"/>
    <n v="32"/>
    <x v="6"/>
    <x v="1"/>
  </r>
  <r>
    <x v="141"/>
    <n v="-0.75"/>
    <x v="331"/>
    <n v="3156.99"/>
    <s v="Complete Access"/>
    <x v="10"/>
    <x v="0"/>
    <x v="0"/>
    <d v="1900-01-05T00:00:00"/>
    <n v="32"/>
    <x v="6"/>
    <x v="1"/>
  </r>
  <r>
    <x v="141"/>
    <n v="-21.47"/>
    <x v="333"/>
    <n v="3157.74"/>
    <s v="Complete Access"/>
    <x v="106"/>
    <x v="5"/>
    <x v="41"/>
    <d v="1900-01-05T00:00:00"/>
    <n v="32"/>
    <x v="6"/>
    <x v="1"/>
  </r>
  <r>
    <x v="141"/>
    <n v="-1.04"/>
    <x v="331"/>
    <n v="3179.21"/>
    <s v="Complete Access"/>
    <x v="10"/>
    <x v="0"/>
    <x v="0"/>
    <d v="1900-01-05T00:00:00"/>
    <n v="32"/>
    <x v="6"/>
    <x v="1"/>
  </r>
  <r>
    <x v="141"/>
    <n v="-29.61"/>
    <x v="334"/>
    <n v="3180.25"/>
    <s v="Complete Access"/>
    <x v="140"/>
    <x v="8"/>
    <x v="40"/>
    <d v="1900-01-05T00:00:00"/>
    <n v="32"/>
    <x v="6"/>
    <x v="1"/>
  </r>
  <r>
    <x v="141"/>
    <n v="-8.64"/>
    <x v="335"/>
    <n v="3209.86"/>
    <s v="Complete Access"/>
    <x v="10"/>
    <x v="0"/>
    <x v="0"/>
    <d v="1900-01-05T00:00:00"/>
    <n v="32"/>
    <x v="6"/>
    <x v="1"/>
  </r>
  <r>
    <x v="141"/>
    <n v="-246.93"/>
    <x v="336"/>
    <n v="3218.5"/>
    <s v="Complete Access"/>
    <x v="141"/>
    <x v="8"/>
    <x v="40"/>
    <d v="1900-01-05T00:00:00"/>
    <n v="32"/>
    <x v="6"/>
    <x v="1"/>
  </r>
  <r>
    <x v="141"/>
    <n v="-3.8"/>
    <x v="331"/>
    <n v="3465.43"/>
    <s v="Complete Access"/>
    <x v="10"/>
    <x v="0"/>
    <x v="0"/>
    <d v="1900-01-05T00:00:00"/>
    <n v="32"/>
    <x v="6"/>
    <x v="1"/>
  </r>
  <r>
    <x v="141"/>
    <n v="-108.56"/>
    <x v="337"/>
    <n v="3469.23"/>
    <s v="Complete Access"/>
    <x v="142"/>
    <x v="8"/>
    <x v="40"/>
    <d v="1900-01-05T00:00:00"/>
    <n v="32"/>
    <x v="6"/>
    <x v="1"/>
  </r>
  <r>
    <x v="141"/>
    <n v="-0.86"/>
    <x v="331"/>
    <n v="3577.79"/>
    <s v="Complete Access"/>
    <x v="10"/>
    <x v="0"/>
    <x v="0"/>
    <d v="1900-01-05T00:00:00"/>
    <n v="32"/>
    <x v="6"/>
    <x v="1"/>
  </r>
  <r>
    <x v="141"/>
    <n v="-24.68"/>
    <x v="338"/>
    <n v="3578.65"/>
    <s v="Complete Access"/>
    <x v="143"/>
    <x v="8"/>
    <x v="40"/>
    <d v="1900-01-05T00:00:00"/>
    <n v="32"/>
    <x v="6"/>
    <x v="1"/>
  </r>
  <r>
    <x v="141"/>
    <n v="-0.38"/>
    <x v="331"/>
    <n v="3603.33"/>
    <s v="Complete Access"/>
    <x v="10"/>
    <x v="0"/>
    <x v="0"/>
    <d v="1900-01-05T00:00:00"/>
    <n v="32"/>
    <x v="6"/>
    <x v="1"/>
  </r>
  <r>
    <x v="141"/>
    <n v="-10.8"/>
    <x v="339"/>
    <n v="3603.71"/>
    <s v="Complete Access"/>
    <x v="144"/>
    <x v="8"/>
    <x v="40"/>
    <d v="1900-01-05T00:00:00"/>
    <n v="32"/>
    <x v="6"/>
    <x v="1"/>
  </r>
  <r>
    <x v="141"/>
    <n v="-0.65"/>
    <x v="331"/>
    <n v="3614.51"/>
    <s v="Complete Access"/>
    <x v="10"/>
    <x v="0"/>
    <x v="0"/>
    <d v="1900-01-05T00:00:00"/>
    <n v="32"/>
    <x v="6"/>
    <x v="1"/>
  </r>
  <r>
    <x v="141"/>
    <n v="-18.600000000000001"/>
    <x v="340"/>
    <n v="3615.16"/>
    <s v="Complete Access"/>
    <x v="145"/>
    <x v="8"/>
    <x v="40"/>
    <d v="1900-01-05T00:00:00"/>
    <n v="32"/>
    <x v="6"/>
    <x v="1"/>
  </r>
  <r>
    <x v="141"/>
    <n v="-5.84"/>
    <x v="331"/>
    <n v="3633.76"/>
    <s v="Complete Access"/>
    <x v="10"/>
    <x v="0"/>
    <x v="0"/>
    <d v="1900-01-05T00:00:00"/>
    <n v="32"/>
    <x v="6"/>
    <x v="1"/>
  </r>
  <r>
    <x v="141"/>
    <n v="-166.93"/>
    <x v="341"/>
    <n v="3639.6"/>
    <s v="Complete Access"/>
    <x v="146"/>
    <x v="8"/>
    <x v="40"/>
    <d v="1900-01-05T00:00:00"/>
    <n v="32"/>
    <x v="6"/>
    <x v="1"/>
  </r>
  <r>
    <x v="141"/>
    <n v="-0.59"/>
    <x v="331"/>
    <n v="3806.53"/>
    <s v="Complete Access"/>
    <x v="10"/>
    <x v="0"/>
    <x v="0"/>
    <d v="1900-01-05T00:00:00"/>
    <n v="32"/>
    <x v="6"/>
    <x v="1"/>
  </r>
  <r>
    <x v="141"/>
    <n v="-16.93"/>
    <x v="342"/>
    <n v="3807.12"/>
    <s v="Complete Access"/>
    <x v="106"/>
    <x v="5"/>
    <x v="41"/>
    <d v="1900-01-05T00:00:00"/>
    <n v="32"/>
    <x v="6"/>
    <x v="1"/>
  </r>
  <r>
    <x v="141"/>
    <n v="-2.5"/>
    <x v="331"/>
    <n v="3824.05"/>
    <s v="Complete Access"/>
    <x v="10"/>
    <x v="0"/>
    <x v="0"/>
    <d v="1900-01-05T00:00:00"/>
    <n v="32"/>
    <x v="6"/>
    <x v="1"/>
  </r>
  <r>
    <x v="141"/>
    <n v="-71.44"/>
    <x v="343"/>
    <n v="3826.55"/>
    <s v="Complete Access"/>
    <x v="147"/>
    <x v="8"/>
    <x v="40"/>
    <d v="1900-01-05T00:00:00"/>
    <n v="32"/>
    <x v="6"/>
    <x v="1"/>
  </r>
  <r>
    <x v="141"/>
    <n v="-0.61"/>
    <x v="331"/>
    <n v="3897.99"/>
    <s v="Complete Access"/>
    <x v="10"/>
    <x v="0"/>
    <x v="0"/>
    <d v="1900-01-05T00:00:00"/>
    <n v="32"/>
    <x v="6"/>
    <x v="1"/>
  </r>
  <r>
    <x v="141"/>
    <n v="-17.57"/>
    <x v="344"/>
    <n v="3898.6"/>
    <s v="Complete Access"/>
    <x v="148"/>
    <x v="8"/>
    <x v="40"/>
    <d v="1900-01-05T00:00:00"/>
    <n v="32"/>
    <x v="6"/>
    <x v="1"/>
  </r>
  <r>
    <x v="141"/>
    <n v="-22.82"/>
    <x v="331"/>
    <n v="3916.17"/>
    <s v="Complete Access"/>
    <x v="10"/>
    <x v="0"/>
    <x v="0"/>
    <d v="1900-01-05T00:00:00"/>
    <n v="32"/>
    <x v="6"/>
    <x v="1"/>
  </r>
  <r>
    <x v="141"/>
    <n v="-652.08000000000004"/>
    <x v="345"/>
    <n v="3938.99"/>
    <s v="Complete Access"/>
    <x v="149"/>
    <x v="8"/>
    <x v="40"/>
    <d v="1900-01-05T00:00:00"/>
    <n v="32"/>
    <x v="6"/>
    <x v="1"/>
  </r>
  <r>
    <x v="142"/>
    <n v="-1.08"/>
    <x v="346"/>
    <n v="4591.07"/>
    <s v="Complete Access"/>
    <x v="10"/>
    <x v="0"/>
    <x v="0"/>
    <d v="1900-01-02T00:00:00"/>
    <n v="31"/>
    <x v="6"/>
    <x v="1"/>
  </r>
  <r>
    <x v="142"/>
    <n v="-30.88"/>
    <x v="347"/>
    <n v="4592.1499999999996"/>
    <s v="Complete Access"/>
    <x v="150"/>
    <x v="8"/>
    <x v="40"/>
    <d v="1900-01-02T00:00:00"/>
    <n v="31"/>
    <x v="6"/>
    <x v="1"/>
  </r>
  <r>
    <x v="142"/>
    <n v="-3.38"/>
    <x v="346"/>
    <n v="4623.03"/>
    <s v="Complete Access"/>
    <x v="10"/>
    <x v="0"/>
    <x v="0"/>
    <d v="1900-01-02T00:00:00"/>
    <n v="31"/>
    <x v="6"/>
    <x v="1"/>
  </r>
  <r>
    <x v="142"/>
    <n v="-96.67"/>
    <x v="348"/>
    <n v="4626.41"/>
    <s v="Complete Access"/>
    <x v="151"/>
    <x v="8"/>
    <x v="40"/>
    <d v="1900-01-02T00:00:00"/>
    <n v="31"/>
    <x v="6"/>
    <x v="1"/>
  </r>
  <r>
    <x v="143"/>
    <n v="-11.8"/>
    <x v="11"/>
    <n v="4723.08"/>
    <s v="Complete Access"/>
    <x v="9"/>
    <x v="4"/>
    <x v="6"/>
    <d v="1899-12-31T00:00:00"/>
    <n v="31"/>
    <x v="6"/>
    <x v="1"/>
  </r>
  <r>
    <x v="143"/>
    <n v="-5.4"/>
    <x v="349"/>
    <n v="4734.88"/>
    <s v="Complete Access"/>
    <x v="76"/>
    <x v="2"/>
    <x v="2"/>
    <d v="1899-12-31T00:00:00"/>
    <n v="31"/>
    <x v="6"/>
    <x v="1"/>
  </r>
  <r>
    <x v="143"/>
    <n v="-1408.62"/>
    <x v="15"/>
    <n v="4740.28"/>
    <s v="Complete Access"/>
    <x v="13"/>
    <x v="0"/>
    <x v="0"/>
    <d v="1899-12-31T00:00:00"/>
    <n v="31"/>
    <x v="6"/>
    <x v="1"/>
  </r>
  <r>
    <x v="143"/>
    <n v="-1.98"/>
    <x v="350"/>
    <n v="6148.9"/>
    <s v="Complete Access"/>
    <x v="10"/>
    <x v="0"/>
    <x v="0"/>
    <d v="1899-12-31T00:00:00"/>
    <n v="31"/>
    <x v="6"/>
    <x v="1"/>
  </r>
  <r>
    <x v="143"/>
    <n v="-56.55"/>
    <x v="351"/>
    <n v="6150.88"/>
    <s v="Complete Access"/>
    <x v="27"/>
    <x v="1"/>
    <x v="5"/>
    <d v="1899-12-31T00:00:00"/>
    <n v="31"/>
    <x v="6"/>
    <x v="1"/>
  </r>
  <r>
    <x v="143"/>
    <n v="2672"/>
    <x v="352"/>
    <n v="6207.43"/>
    <s v="Complete Access"/>
    <x v="14"/>
    <x v="6"/>
    <x v="9"/>
    <d v="1899-12-31T00:00:00"/>
    <n v="31"/>
    <x v="6"/>
    <x v="1"/>
  </r>
  <r>
    <x v="144"/>
    <n v="-26.63"/>
    <x v="353"/>
    <n v="3535.43"/>
    <s v="Complete Access"/>
    <x v="10"/>
    <x v="0"/>
    <x v="0"/>
    <d v="1900-01-30T00:00:00"/>
    <n v="31"/>
    <x v="7"/>
    <x v="1"/>
  </r>
  <r>
    <x v="144"/>
    <n v="-760.78"/>
    <x v="354"/>
    <n v="3562.06"/>
    <s v="Complete Access"/>
    <x v="152"/>
    <x v="8"/>
    <x v="40"/>
    <d v="1900-01-30T00:00:00"/>
    <n v="31"/>
    <x v="7"/>
    <x v="1"/>
  </r>
  <r>
    <x v="144"/>
    <n v="-12.99"/>
    <x v="355"/>
    <n v="4322.84"/>
    <s v="Complete Access"/>
    <x v="77"/>
    <x v="4"/>
    <x v="27"/>
    <d v="1900-01-30T00:00:00"/>
    <n v="31"/>
    <x v="7"/>
    <x v="1"/>
  </r>
  <r>
    <x v="145"/>
    <n v="-1"/>
    <x v="356"/>
    <n v="4335.83"/>
    <s v="Complete Access"/>
    <x v="10"/>
    <x v="0"/>
    <x v="0"/>
    <d v="1900-01-29T00:00:00"/>
    <n v="31"/>
    <x v="7"/>
    <x v="1"/>
  </r>
  <r>
    <x v="145"/>
    <n v="-28.65"/>
    <x v="357"/>
    <n v="4336.83"/>
    <s v="Complete Access"/>
    <x v="153"/>
    <x v="8"/>
    <x v="40"/>
    <d v="1900-01-29T00:00:00"/>
    <n v="31"/>
    <x v="7"/>
    <x v="1"/>
  </r>
  <r>
    <x v="145"/>
    <n v="-1.03"/>
    <x v="356"/>
    <n v="4365.4799999999996"/>
    <s v="Complete Access"/>
    <x v="10"/>
    <x v="0"/>
    <x v="0"/>
    <d v="1900-01-29T00:00:00"/>
    <n v="31"/>
    <x v="7"/>
    <x v="1"/>
  </r>
  <r>
    <x v="145"/>
    <n v="-29.38"/>
    <x v="358"/>
    <n v="4366.51"/>
    <s v="Complete Access"/>
    <x v="27"/>
    <x v="1"/>
    <x v="5"/>
    <d v="1900-01-29T00:00:00"/>
    <n v="31"/>
    <x v="7"/>
    <x v="1"/>
  </r>
  <r>
    <x v="145"/>
    <n v="-4.78"/>
    <x v="359"/>
    <n v="4395.8900000000003"/>
    <s v="Complete Access"/>
    <x v="10"/>
    <x v="0"/>
    <x v="0"/>
    <d v="1900-01-29T00:00:00"/>
    <n v="31"/>
    <x v="7"/>
    <x v="1"/>
  </r>
  <r>
    <x v="145"/>
    <n v="-136.58000000000001"/>
    <x v="360"/>
    <n v="4400.67"/>
    <s v="Complete Access"/>
    <x v="154"/>
    <x v="8"/>
    <x v="40"/>
    <d v="1900-01-29T00:00:00"/>
    <n v="31"/>
    <x v="7"/>
    <x v="1"/>
  </r>
  <r>
    <x v="145"/>
    <n v="-0.11"/>
    <x v="359"/>
    <n v="4537.25"/>
    <s v="Complete Access"/>
    <x v="10"/>
    <x v="0"/>
    <x v="0"/>
    <d v="1900-01-29T00:00:00"/>
    <n v="31"/>
    <x v="7"/>
    <x v="1"/>
  </r>
  <r>
    <x v="145"/>
    <n v="-3.06"/>
    <x v="361"/>
    <n v="4537.3599999999997"/>
    <s v="Complete Access"/>
    <x v="155"/>
    <x v="8"/>
    <x v="40"/>
    <d v="1900-01-29T00:00:00"/>
    <n v="31"/>
    <x v="7"/>
    <x v="1"/>
  </r>
  <r>
    <x v="145"/>
    <n v="-1.38"/>
    <x v="359"/>
    <n v="4540.42"/>
    <s v="Complete Access"/>
    <x v="10"/>
    <x v="0"/>
    <x v="0"/>
    <d v="1900-01-29T00:00:00"/>
    <n v="31"/>
    <x v="7"/>
    <x v="1"/>
  </r>
  <r>
    <x v="145"/>
    <n v="-39.57"/>
    <x v="362"/>
    <n v="4541.8"/>
    <s v="Complete Access"/>
    <x v="156"/>
    <x v="8"/>
    <x v="40"/>
    <d v="1900-01-29T00:00:00"/>
    <n v="31"/>
    <x v="7"/>
    <x v="1"/>
  </r>
  <r>
    <x v="145"/>
    <n v="-2.4700000000000002"/>
    <x v="359"/>
    <n v="4581.37"/>
    <s v="Complete Access"/>
    <x v="10"/>
    <x v="0"/>
    <x v="0"/>
    <d v="1900-01-29T00:00:00"/>
    <n v="31"/>
    <x v="7"/>
    <x v="1"/>
  </r>
  <r>
    <x v="145"/>
    <n v="-70.510000000000005"/>
    <x v="363"/>
    <n v="4583.84"/>
    <s v="Complete Access"/>
    <x v="157"/>
    <x v="8"/>
    <x v="40"/>
    <d v="1900-01-29T00:00:00"/>
    <n v="31"/>
    <x v="7"/>
    <x v="1"/>
  </r>
  <r>
    <x v="145"/>
    <n v="-0.2"/>
    <x v="359"/>
    <n v="4654.3500000000004"/>
    <s v="Complete Access"/>
    <x v="10"/>
    <x v="0"/>
    <x v="0"/>
    <d v="1900-01-29T00:00:00"/>
    <n v="31"/>
    <x v="7"/>
    <x v="1"/>
  </r>
  <r>
    <x v="145"/>
    <n v="-5.65"/>
    <x v="364"/>
    <n v="4654.55"/>
    <s v="Complete Access"/>
    <x v="157"/>
    <x v="8"/>
    <x v="40"/>
    <d v="1900-01-29T00:00:00"/>
    <n v="31"/>
    <x v="7"/>
    <x v="1"/>
  </r>
  <r>
    <x v="145"/>
    <n v="-2.36"/>
    <x v="356"/>
    <n v="4660.2"/>
    <s v="Complete Access"/>
    <x v="10"/>
    <x v="0"/>
    <x v="0"/>
    <d v="1900-01-29T00:00:00"/>
    <n v="31"/>
    <x v="7"/>
    <x v="1"/>
  </r>
  <r>
    <x v="145"/>
    <n v="-67.34"/>
    <x v="365"/>
    <n v="4662.5600000000004"/>
    <s v="Complete Access"/>
    <x v="158"/>
    <x v="8"/>
    <x v="40"/>
    <d v="1900-01-29T00:00:00"/>
    <n v="31"/>
    <x v="7"/>
    <x v="1"/>
  </r>
  <r>
    <x v="145"/>
    <n v="-0.54"/>
    <x v="359"/>
    <n v="4729.8999999999996"/>
    <s v="Complete Access"/>
    <x v="10"/>
    <x v="0"/>
    <x v="0"/>
    <d v="1900-01-29T00:00:00"/>
    <n v="31"/>
    <x v="7"/>
    <x v="1"/>
  </r>
  <r>
    <x v="145"/>
    <n v="-15.36"/>
    <x v="366"/>
    <n v="4730.4399999999996"/>
    <s v="Complete Access"/>
    <x v="159"/>
    <x v="8"/>
    <x v="40"/>
    <d v="1900-01-29T00:00:00"/>
    <n v="31"/>
    <x v="7"/>
    <x v="1"/>
  </r>
  <r>
    <x v="145"/>
    <n v="-67.540000000000006"/>
    <x v="367"/>
    <n v="4745.8"/>
    <s v="Complete Access"/>
    <x v="10"/>
    <x v="0"/>
    <x v="0"/>
    <d v="1900-01-29T00:00:00"/>
    <n v="31"/>
    <x v="7"/>
    <x v="1"/>
  </r>
  <r>
    <x v="145"/>
    <n v="-1929.62"/>
    <x v="368"/>
    <n v="4813.34"/>
    <s v="Complete Access"/>
    <x v="160"/>
    <x v="17"/>
    <x v="43"/>
    <d v="1900-01-29T00:00:00"/>
    <n v="31"/>
    <x v="7"/>
    <x v="1"/>
  </r>
  <r>
    <x v="145"/>
    <n v="-19.95"/>
    <x v="359"/>
    <n v="6742.96"/>
    <s v="Complete Access"/>
    <x v="10"/>
    <x v="0"/>
    <x v="0"/>
    <d v="1900-01-29T00:00:00"/>
    <n v="31"/>
    <x v="7"/>
    <x v="1"/>
  </r>
  <r>
    <x v="145"/>
    <n v="-569.92999999999995"/>
    <x v="369"/>
    <n v="6762.91"/>
    <s v="Complete Access"/>
    <x v="161"/>
    <x v="8"/>
    <x v="40"/>
    <d v="1900-01-29T00:00:00"/>
    <n v="31"/>
    <x v="7"/>
    <x v="1"/>
  </r>
  <r>
    <x v="146"/>
    <n v="1107"/>
    <x v="370"/>
    <n v="7332.84"/>
    <s v="Complete Access"/>
    <x v="36"/>
    <x v="0"/>
    <x v="0"/>
    <d v="1900-01-27T00:00:00"/>
    <n v="31"/>
    <x v="7"/>
    <x v="1"/>
  </r>
  <r>
    <x v="147"/>
    <n v="-1.71"/>
    <x v="371"/>
    <n v="6225.84"/>
    <s v="Complete Access"/>
    <x v="10"/>
    <x v="0"/>
    <x v="0"/>
    <d v="1900-01-25T00:00:00"/>
    <n v="30"/>
    <x v="7"/>
    <x v="1"/>
  </r>
  <r>
    <x v="147"/>
    <n v="-48.98"/>
    <x v="372"/>
    <n v="6227.55"/>
    <s v="Complete Access"/>
    <x v="27"/>
    <x v="1"/>
    <x v="5"/>
    <d v="1900-01-25T00:00:00"/>
    <n v="30"/>
    <x v="7"/>
    <x v="1"/>
  </r>
  <r>
    <x v="147"/>
    <n v="-0.12"/>
    <x v="371"/>
    <n v="6276.53"/>
    <s v="Complete Access"/>
    <x v="10"/>
    <x v="0"/>
    <x v="0"/>
    <d v="1900-01-25T00:00:00"/>
    <n v="30"/>
    <x v="7"/>
    <x v="1"/>
  </r>
  <r>
    <x v="147"/>
    <n v="-3.39"/>
    <x v="373"/>
    <n v="6276.65"/>
    <s v="Complete Access"/>
    <x v="157"/>
    <x v="8"/>
    <x v="40"/>
    <d v="1900-01-25T00:00:00"/>
    <n v="30"/>
    <x v="7"/>
    <x v="1"/>
  </r>
  <r>
    <x v="147"/>
    <n v="-5"/>
    <x v="374"/>
    <n v="6280.04"/>
    <s v="Complete Access"/>
    <x v="17"/>
    <x v="7"/>
    <x v="11"/>
    <d v="1900-01-25T00:00:00"/>
    <n v="30"/>
    <x v="7"/>
    <x v="1"/>
  </r>
  <r>
    <x v="147"/>
    <n v="-4.6100000000000003"/>
    <x v="371"/>
    <n v="6285.04"/>
    <s v="Complete Access"/>
    <x v="10"/>
    <x v="0"/>
    <x v="0"/>
    <d v="1900-01-25T00:00:00"/>
    <n v="30"/>
    <x v="7"/>
    <x v="1"/>
  </r>
  <r>
    <x v="147"/>
    <n v="-131.59"/>
    <x v="375"/>
    <n v="6289.65"/>
    <s v="Complete Access"/>
    <x v="148"/>
    <x v="8"/>
    <x v="40"/>
    <d v="1900-01-25T00:00:00"/>
    <n v="30"/>
    <x v="7"/>
    <x v="1"/>
  </r>
  <r>
    <x v="148"/>
    <n v="-75.45"/>
    <x v="376"/>
    <n v="6421.24"/>
    <s v="Complete Access"/>
    <x v="5"/>
    <x v="3"/>
    <x v="3"/>
    <d v="1900-01-24T00:00:00"/>
    <n v="30"/>
    <x v="7"/>
    <x v="1"/>
  </r>
  <r>
    <x v="148"/>
    <n v="-29.5"/>
    <x v="377"/>
    <n v="6496.69"/>
    <s v="Complete Access"/>
    <x v="17"/>
    <x v="7"/>
    <x v="11"/>
    <d v="1900-01-24T00:00:00"/>
    <n v="30"/>
    <x v="7"/>
    <x v="1"/>
  </r>
  <r>
    <x v="149"/>
    <n v="-67.37"/>
    <x v="378"/>
    <n v="6526.19"/>
    <s v="Complete Access"/>
    <x v="162"/>
    <x v="8"/>
    <x v="40"/>
    <d v="1900-01-23T00:00:00"/>
    <n v="30"/>
    <x v="7"/>
    <x v="1"/>
  </r>
  <r>
    <x v="150"/>
    <n v="-5"/>
    <x v="379"/>
    <n v="6593.56"/>
    <s v="Complete Access"/>
    <x v="17"/>
    <x v="7"/>
    <x v="11"/>
    <d v="1900-01-22T00:00:00"/>
    <n v="30"/>
    <x v="7"/>
    <x v="1"/>
  </r>
  <r>
    <x v="150"/>
    <n v="-138.87"/>
    <x v="380"/>
    <n v="6598.56"/>
    <s v="Complete Access"/>
    <x v="3"/>
    <x v="2"/>
    <x v="2"/>
    <d v="1900-01-22T00:00:00"/>
    <n v="30"/>
    <x v="7"/>
    <x v="1"/>
  </r>
  <r>
    <x v="150"/>
    <n v="-0.16"/>
    <x v="381"/>
    <n v="6737.43"/>
    <s v="Complete Access"/>
    <x v="10"/>
    <x v="0"/>
    <x v="0"/>
    <d v="1900-01-22T00:00:00"/>
    <n v="30"/>
    <x v="7"/>
    <x v="1"/>
  </r>
  <r>
    <x v="150"/>
    <n v="-4.47"/>
    <x v="382"/>
    <n v="6737.59"/>
    <s v="Complete Access"/>
    <x v="157"/>
    <x v="8"/>
    <x v="40"/>
    <d v="1900-01-22T00:00:00"/>
    <n v="30"/>
    <x v="7"/>
    <x v="1"/>
  </r>
  <r>
    <x v="151"/>
    <n v="-59.99"/>
    <x v="383"/>
    <n v="6742.06"/>
    <s v="Complete Access"/>
    <x v="114"/>
    <x v="16"/>
    <x v="7"/>
    <d v="1900-01-19T00:00:00"/>
    <n v="29"/>
    <x v="7"/>
    <x v="1"/>
  </r>
  <r>
    <x v="152"/>
    <n v="-10.1"/>
    <x v="384"/>
    <n v="6802.05"/>
    <s v="Complete Access"/>
    <x v="163"/>
    <x v="11"/>
    <x v="44"/>
    <d v="1900-01-18T00:00:00"/>
    <n v="29"/>
    <x v="7"/>
    <x v="1"/>
  </r>
  <r>
    <x v="152"/>
    <n v="-16.989999999999998"/>
    <x v="385"/>
    <n v="6812.15"/>
    <s v="Complete Access"/>
    <x v="164"/>
    <x v="16"/>
    <x v="7"/>
    <d v="1900-01-18T00:00:00"/>
    <n v="29"/>
    <x v="7"/>
    <x v="1"/>
  </r>
  <r>
    <x v="153"/>
    <n v="-11.8"/>
    <x v="11"/>
    <n v="6829.14"/>
    <s v="Complete Access"/>
    <x v="9"/>
    <x v="4"/>
    <x v="6"/>
    <d v="1900-01-17T00:00:00"/>
    <n v="29"/>
    <x v="7"/>
    <x v="1"/>
  </r>
  <r>
    <x v="153"/>
    <n v="-1408.62"/>
    <x v="15"/>
    <n v="6840.94"/>
    <s v="Complete Access"/>
    <x v="13"/>
    <x v="0"/>
    <x v="0"/>
    <d v="1900-01-17T00:00:00"/>
    <n v="29"/>
    <x v="7"/>
    <x v="1"/>
  </r>
  <r>
    <x v="153"/>
    <n v="-29.5"/>
    <x v="386"/>
    <n v="8249.56"/>
    <s v="Complete Access"/>
    <x v="165"/>
    <x v="8"/>
    <x v="22"/>
    <d v="1900-01-17T00:00:00"/>
    <n v="29"/>
    <x v="7"/>
    <x v="1"/>
  </r>
  <r>
    <x v="153"/>
    <n v="-472.6"/>
    <x v="387"/>
    <n v="8279.06"/>
    <s v="Complete Access"/>
    <x v="166"/>
    <x v="2"/>
    <x v="2"/>
    <d v="1900-01-17T00:00:00"/>
    <n v="29"/>
    <x v="7"/>
    <x v="1"/>
  </r>
  <r>
    <x v="153"/>
    <n v="2671.99"/>
    <x v="388"/>
    <n v="8751.66"/>
    <s v="Complete Access"/>
    <x v="14"/>
    <x v="6"/>
    <x v="9"/>
    <d v="1900-01-17T00:00:00"/>
    <n v="29"/>
    <x v="7"/>
    <x v="1"/>
  </r>
  <r>
    <x v="154"/>
    <n v="-229.93"/>
    <x v="389"/>
    <n v="6079.67"/>
    <s v="Complete Access"/>
    <x v="73"/>
    <x v="1"/>
    <x v="23"/>
    <d v="1900-01-16T00:00:00"/>
    <n v="29"/>
    <x v="7"/>
    <x v="1"/>
  </r>
  <r>
    <x v="154"/>
    <n v="-35"/>
    <x v="390"/>
    <n v="6309.6"/>
    <s v="Complete Access"/>
    <x v="61"/>
    <x v="1"/>
    <x v="1"/>
    <d v="1900-01-16T00:00:00"/>
    <n v="29"/>
    <x v="7"/>
    <x v="1"/>
  </r>
  <r>
    <x v="154"/>
    <n v="-39.24"/>
    <x v="391"/>
    <n v="6344.6"/>
    <s v="Complete Access"/>
    <x v="1"/>
    <x v="1"/>
    <x v="1"/>
    <d v="1900-01-16T00:00:00"/>
    <n v="29"/>
    <x v="7"/>
    <x v="1"/>
  </r>
  <r>
    <x v="154"/>
    <n v="23.8"/>
    <x v="392"/>
    <n v="6383.84"/>
    <s v="Complete Access"/>
    <x v="167"/>
    <x v="4"/>
    <x v="20"/>
    <d v="1900-01-16T00:00:00"/>
    <n v="29"/>
    <x v="7"/>
    <x v="1"/>
  </r>
  <r>
    <x v="155"/>
    <n v="-11.65"/>
    <x v="393"/>
    <n v="6360.04"/>
    <s v="Complete Access"/>
    <x v="47"/>
    <x v="1"/>
    <x v="5"/>
    <d v="1900-01-15T00:00:00"/>
    <n v="29"/>
    <x v="7"/>
    <x v="1"/>
  </r>
  <r>
    <x v="155"/>
    <n v="-19.25"/>
    <x v="394"/>
    <n v="6371.69"/>
    <s v="Complete Access"/>
    <x v="168"/>
    <x v="1"/>
    <x v="5"/>
    <d v="1900-01-15T00:00:00"/>
    <n v="29"/>
    <x v="7"/>
    <x v="1"/>
  </r>
  <r>
    <x v="155"/>
    <n v="-47.15"/>
    <x v="395"/>
    <n v="6390.94"/>
    <s v="Complete Access"/>
    <x v="169"/>
    <x v="3"/>
    <x v="15"/>
    <d v="1900-01-15T00:00:00"/>
    <n v="29"/>
    <x v="7"/>
    <x v="1"/>
  </r>
  <r>
    <x v="155"/>
    <n v="-1.5"/>
    <x v="396"/>
    <n v="6438.09"/>
    <s v="Complete Access"/>
    <x v="60"/>
    <x v="14"/>
    <x v="32"/>
    <d v="1900-01-15T00:00:00"/>
    <n v="29"/>
    <x v="7"/>
    <x v="1"/>
  </r>
  <r>
    <x v="155"/>
    <n v="-40"/>
    <x v="397"/>
    <n v="6439.59"/>
    <s v="Complete Access"/>
    <x v="12"/>
    <x v="5"/>
    <x v="8"/>
    <d v="1900-01-15T00:00:00"/>
    <n v="29"/>
    <x v="7"/>
    <x v="1"/>
  </r>
  <r>
    <x v="156"/>
    <n v="-49.6"/>
    <x v="398"/>
    <n v="6479.59"/>
    <s v="Complete Access"/>
    <x v="170"/>
    <x v="3"/>
    <x v="15"/>
    <d v="1900-01-14T00:00:00"/>
    <n v="29"/>
    <x v="7"/>
    <x v="1"/>
  </r>
  <r>
    <x v="156"/>
    <n v="-18.190000000000001"/>
    <x v="399"/>
    <n v="6529.19"/>
    <s v="Complete Access"/>
    <x v="171"/>
    <x v="11"/>
    <x v="14"/>
    <d v="1900-01-14T00:00:00"/>
    <n v="29"/>
    <x v="7"/>
    <x v="1"/>
  </r>
  <r>
    <x v="156"/>
    <n v="-12.94"/>
    <x v="30"/>
    <n v="6547.38"/>
    <s v="Complete Access"/>
    <x v="21"/>
    <x v="10"/>
    <x v="13"/>
    <d v="1900-01-14T00:00:00"/>
    <n v="29"/>
    <x v="7"/>
    <x v="1"/>
  </r>
  <r>
    <x v="157"/>
    <n v="-8.15"/>
    <x v="400"/>
    <n v="6560.32"/>
    <s v="Complete Access"/>
    <x v="172"/>
    <x v="1"/>
    <x v="5"/>
    <d v="1900-01-13T00:00:00"/>
    <n v="29"/>
    <x v="7"/>
    <x v="1"/>
  </r>
  <r>
    <x v="157"/>
    <n v="-12.08"/>
    <x v="401"/>
    <n v="6568.47"/>
    <s v="Complete Access"/>
    <x v="173"/>
    <x v="1"/>
    <x v="5"/>
    <d v="1900-01-13T00:00:00"/>
    <n v="29"/>
    <x v="7"/>
    <x v="1"/>
  </r>
  <r>
    <x v="157"/>
    <n v="-25"/>
    <x v="402"/>
    <n v="6580.55"/>
    <s v="Complete Access"/>
    <x v="174"/>
    <x v="1"/>
    <x v="5"/>
    <d v="1900-01-13T00:00:00"/>
    <n v="29"/>
    <x v="7"/>
    <x v="1"/>
  </r>
  <r>
    <x v="157"/>
    <n v="-11"/>
    <x v="403"/>
    <n v="6605.55"/>
    <s v="Complete Access"/>
    <x v="175"/>
    <x v="1"/>
    <x v="5"/>
    <d v="1900-01-13T00:00:00"/>
    <n v="29"/>
    <x v="7"/>
    <x v="1"/>
  </r>
  <r>
    <x v="157"/>
    <n v="-30"/>
    <x v="404"/>
    <n v="6616.55"/>
    <s v="Complete Access"/>
    <x v="176"/>
    <x v="1"/>
    <x v="5"/>
    <d v="1900-01-13T00:00:00"/>
    <n v="29"/>
    <x v="7"/>
    <x v="1"/>
  </r>
  <r>
    <x v="158"/>
    <n v="-61.96"/>
    <x v="405"/>
    <n v="6646.55"/>
    <s v="Complete Access"/>
    <x v="177"/>
    <x v="1"/>
    <x v="1"/>
    <d v="1900-01-12T00:00:00"/>
    <n v="28"/>
    <x v="7"/>
    <x v="1"/>
  </r>
  <r>
    <x v="158"/>
    <n v="-40"/>
    <x v="406"/>
    <n v="6708.51"/>
    <s v="Complete Access"/>
    <x v="178"/>
    <x v="3"/>
    <x v="15"/>
    <d v="1900-01-12T00:00:00"/>
    <n v="28"/>
    <x v="7"/>
    <x v="1"/>
  </r>
  <r>
    <x v="158"/>
    <n v="-1.1399999999999999"/>
    <x v="407"/>
    <n v="6748.51"/>
    <s v="Complete Access"/>
    <x v="10"/>
    <x v="0"/>
    <x v="0"/>
    <d v="1900-01-12T00:00:00"/>
    <n v="28"/>
    <x v="7"/>
    <x v="1"/>
  </r>
  <r>
    <x v="158"/>
    <n v="-32.69"/>
    <x v="408"/>
    <n v="6749.65"/>
    <s v="Complete Access"/>
    <x v="11"/>
    <x v="4"/>
    <x v="7"/>
    <d v="1900-01-12T00:00:00"/>
    <n v="28"/>
    <x v="7"/>
    <x v="1"/>
  </r>
  <r>
    <x v="159"/>
    <n v="-19.45"/>
    <x v="104"/>
    <n v="6782.34"/>
    <s v="Complete Access"/>
    <x v="30"/>
    <x v="4"/>
    <x v="20"/>
    <d v="1900-01-11T00:00:00"/>
    <n v="28"/>
    <x v="7"/>
    <x v="1"/>
  </r>
  <r>
    <x v="159"/>
    <n v="-26.86"/>
    <x v="394"/>
    <n v="6801.79"/>
    <s v="Complete Access"/>
    <x v="168"/>
    <x v="1"/>
    <x v="5"/>
    <d v="1900-01-11T00:00:00"/>
    <n v="28"/>
    <x v="7"/>
    <x v="1"/>
  </r>
  <r>
    <x v="160"/>
    <n v="-84"/>
    <x v="409"/>
    <n v="6828.65"/>
    <s v="Complete Access"/>
    <x v="17"/>
    <x v="7"/>
    <x v="11"/>
    <d v="1900-01-09T00:00:00"/>
    <n v="28"/>
    <x v="7"/>
    <x v="1"/>
  </r>
  <r>
    <x v="160"/>
    <n v="-23.8"/>
    <x v="410"/>
    <n v="6912.65"/>
    <s v="Complete Access"/>
    <x v="167"/>
    <x v="4"/>
    <x v="20"/>
    <d v="1900-01-09T00:00:00"/>
    <n v="28"/>
    <x v="7"/>
    <x v="1"/>
  </r>
  <r>
    <x v="160"/>
    <n v="-44.3"/>
    <x v="411"/>
    <n v="6936.45"/>
    <s v="Complete Access"/>
    <x v="179"/>
    <x v="1"/>
    <x v="1"/>
    <d v="1900-01-09T00:00:00"/>
    <n v="28"/>
    <x v="7"/>
    <x v="1"/>
  </r>
  <r>
    <x v="161"/>
    <n v="-15"/>
    <x v="18"/>
    <n v="6980.75"/>
    <s v="Complete Access"/>
    <x v="16"/>
    <x v="1"/>
    <x v="5"/>
    <d v="1900-01-08T00:00:00"/>
    <n v="28"/>
    <x v="7"/>
    <x v="1"/>
  </r>
  <r>
    <x v="162"/>
    <n v="-15"/>
    <x v="412"/>
    <n v="6995.75"/>
    <s v="Complete Access"/>
    <x v="180"/>
    <x v="1"/>
    <x v="1"/>
    <d v="1900-01-06T00:00:00"/>
    <n v="28"/>
    <x v="7"/>
    <x v="1"/>
  </r>
  <r>
    <x v="163"/>
    <n v="-97.65"/>
    <x v="70"/>
    <n v="7010.75"/>
    <s v="Complete Access"/>
    <x v="8"/>
    <x v="1"/>
    <x v="5"/>
    <d v="1900-01-04T00:00:00"/>
    <n v="27"/>
    <x v="7"/>
    <x v="1"/>
  </r>
  <r>
    <x v="164"/>
    <n v="-1408.62"/>
    <x v="15"/>
    <n v="7120.2"/>
    <s v="Complete Access"/>
    <x v="13"/>
    <x v="0"/>
    <x v="0"/>
    <d v="1900-01-03T00:00:00"/>
    <n v="27"/>
    <x v="7"/>
    <x v="1"/>
  </r>
  <r>
    <x v="164"/>
    <n v="2671.99"/>
    <x v="413"/>
    <n v="8528.82"/>
    <s v="Complete Access"/>
    <x v="14"/>
    <x v="6"/>
    <x v="9"/>
    <d v="1900-01-03T00:00:00"/>
    <n v="27"/>
    <x v="7"/>
    <x v="1"/>
  </r>
  <r>
    <x v="164"/>
    <n v="-11.8"/>
    <x v="11"/>
    <n v="7108.4"/>
    <s v="Complete Access"/>
    <x v="9"/>
    <x v="4"/>
    <x v="6"/>
    <d v="1900-01-03T00:00:00"/>
    <n v="27"/>
    <x v="7"/>
    <x v="1"/>
  </r>
  <r>
    <x v="165"/>
    <n v="-16"/>
    <x v="8"/>
    <n v="5856.83"/>
    <s v="Complete Access"/>
    <x v="7"/>
    <x v="1"/>
    <x v="5"/>
    <d v="1900-01-01T00:00:00"/>
    <n v="27"/>
    <x v="7"/>
    <x v="1"/>
  </r>
  <r>
    <x v="165"/>
    <n v="-27.45"/>
    <x v="414"/>
    <n v="5872.83"/>
    <s v="Complete Access"/>
    <x v="46"/>
    <x v="1"/>
    <x v="1"/>
    <d v="1900-01-01T00:00:00"/>
    <n v="27"/>
    <x v="7"/>
    <x v="1"/>
  </r>
  <r>
    <x v="165"/>
    <n v="-12.99"/>
    <x v="415"/>
    <n v="5900.28"/>
    <s v="Complete Access"/>
    <x v="77"/>
    <x v="4"/>
    <x v="27"/>
    <d v="1900-01-01T00:00:00"/>
    <n v="27"/>
    <x v="7"/>
    <x v="1"/>
  </r>
  <r>
    <x v="165"/>
    <n v="-38.14"/>
    <x v="416"/>
    <n v="5913.27"/>
    <s v="Complete Access"/>
    <x v="181"/>
    <x v="15"/>
    <x v="41"/>
    <d v="1900-01-01T00:00:00"/>
    <n v="27"/>
    <x v="7"/>
    <x v="1"/>
  </r>
  <r>
    <x v="166"/>
    <n v="-5.4"/>
    <x v="417"/>
    <n v="5951.41"/>
    <s v="Complete Access"/>
    <x v="76"/>
    <x v="2"/>
    <x v="2"/>
    <d v="1899-12-31T00:00:00"/>
    <n v="27"/>
    <x v="7"/>
    <x v="1"/>
  </r>
  <r>
    <x v="166"/>
    <n v="-447.26"/>
    <x v="418"/>
    <n v="5956.81"/>
    <s v="Complete Access"/>
    <x v="40"/>
    <x v="13"/>
    <x v="24"/>
    <d v="1899-12-31T00:00:00"/>
    <n v="27"/>
    <x v="7"/>
    <x v="1"/>
  </r>
  <r>
    <x v="167"/>
    <n v="-13.5"/>
    <x v="419"/>
    <n v="6404.07"/>
    <s v="Complete Access"/>
    <x v="182"/>
    <x v="8"/>
    <x v="29"/>
    <d v="1900-01-29T00:00:00"/>
    <n v="27"/>
    <x v="8"/>
    <x v="1"/>
  </r>
  <r>
    <x v="168"/>
    <n v="-13.72"/>
    <x v="420"/>
    <n v="6417.57"/>
    <s v="Complete Access"/>
    <x v="183"/>
    <x v="8"/>
    <x v="29"/>
    <d v="1900-01-28T00:00:00"/>
    <n v="26"/>
    <x v="8"/>
    <x v="1"/>
  </r>
  <r>
    <x v="169"/>
    <n v="-50.25"/>
    <x v="421"/>
    <n v="6431.29"/>
    <s v="Complete Access"/>
    <x v="1"/>
    <x v="1"/>
    <x v="1"/>
    <d v="1900-01-27T00:00:00"/>
    <n v="26"/>
    <x v="8"/>
    <x v="1"/>
  </r>
  <r>
    <x v="170"/>
    <n v="-71.86"/>
    <x v="422"/>
    <n v="6481.54"/>
    <s v="Complete Access"/>
    <x v="1"/>
    <x v="1"/>
    <x v="1"/>
    <d v="1900-01-25T00:00:00"/>
    <n v="26"/>
    <x v="8"/>
    <x v="1"/>
  </r>
  <r>
    <x v="170"/>
    <n v="-40"/>
    <x v="423"/>
    <n v="6553.4"/>
    <s v="Complete Access"/>
    <x v="12"/>
    <x v="5"/>
    <x v="8"/>
    <d v="1900-01-25T00:00:00"/>
    <n v="26"/>
    <x v="8"/>
    <x v="1"/>
  </r>
  <r>
    <x v="171"/>
    <n v="-3"/>
    <x v="424"/>
    <n v="6593.4"/>
    <s v="Complete Access"/>
    <x v="0"/>
    <x v="0"/>
    <x v="0"/>
    <d v="1900-01-24T00:00:00"/>
    <n v="26"/>
    <x v="8"/>
    <x v="1"/>
  </r>
  <r>
    <x v="171"/>
    <n v="-16"/>
    <x v="8"/>
    <n v="6596.4"/>
    <s v="Complete Access"/>
    <x v="7"/>
    <x v="1"/>
    <x v="5"/>
    <d v="1900-01-24T00:00:00"/>
    <n v="26"/>
    <x v="8"/>
    <x v="1"/>
  </r>
  <r>
    <x v="171"/>
    <n v="-29.5"/>
    <x v="425"/>
    <n v="6612.4"/>
    <s v="Complete Access"/>
    <x v="17"/>
    <x v="7"/>
    <x v="11"/>
    <d v="1900-01-24T00:00:00"/>
    <n v="26"/>
    <x v="8"/>
    <x v="1"/>
  </r>
  <r>
    <x v="172"/>
    <n v="-138.87"/>
    <x v="426"/>
    <n v="6641.9"/>
    <s v="Complete Access"/>
    <x v="3"/>
    <x v="2"/>
    <x v="2"/>
    <d v="1900-01-20T00:00:00"/>
    <n v="25"/>
    <x v="8"/>
    <x v="1"/>
  </r>
  <r>
    <x v="173"/>
    <n v="-11.35"/>
    <x v="11"/>
    <n v="6780.77"/>
    <s v="Complete Access"/>
    <x v="9"/>
    <x v="4"/>
    <x v="6"/>
    <d v="1900-01-19T00:00:00"/>
    <n v="25"/>
    <x v="8"/>
    <x v="1"/>
  </r>
  <r>
    <x v="173"/>
    <n v="-14.23"/>
    <x v="427"/>
    <n v="6792.12"/>
    <s v="Complete Access"/>
    <x v="184"/>
    <x v="1"/>
    <x v="5"/>
    <d v="1900-01-19T00:00:00"/>
    <n v="25"/>
    <x v="8"/>
    <x v="1"/>
  </r>
  <r>
    <x v="173"/>
    <n v="-85.37"/>
    <x v="7"/>
    <n v="6806.35"/>
    <s v="Complete Access"/>
    <x v="1"/>
    <x v="1"/>
    <x v="1"/>
    <d v="1900-01-19T00:00:00"/>
    <n v="25"/>
    <x v="8"/>
    <x v="1"/>
  </r>
  <r>
    <x v="173"/>
    <n v="-1408.62"/>
    <x v="15"/>
    <n v="6891.72"/>
    <s v="Complete Access"/>
    <x v="13"/>
    <x v="0"/>
    <x v="0"/>
    <d v="1900-01-19T00:00:00"/>
    <n v="25"/>
    <x v="8"/>
    <x v="1"/>
  </r>
  <r>
    <x v="173"/>
    <n v="2599.9899999999998"/>
    <x v="428"/>
    <n v="8300.34"/>
    <s v="Complete Access"/>
    <x v="14"/>
    <x v="6"/>
    <x v="9"/>
    <d v="1900-01-19T00:00:00"/>
    <n v="25"/>
    <x v="8"/>
    <x v="1"/>
  </r>
  <r>
    <x v="174"/>
    <n v="-30.65"/>
    <x v="7"/>
    <n v="5700.35"/>
    <s v="Complete Access"/>
    <x v="1"/>
    <x v="1"/>
    <x v="1"/>
    <d v="1900-01-17T00:00:00"/>
    <n v="25"/>
    <x v="8"/>
    <x v="1"/>
  </r>
  <r>
    <x v="174"/>
    <n v="-15"/>
    <x v="18"/>
    <n v="5731"/>
    <s v="Complete Access"/>
    <x v="16"/>
    <x v="1"/>
    <x v="5"/>
    <d v="1900-01-17T00:00:00"/>
    <n v="25"/>
    <x v="8"/>
    <x v="1"/>
  </r>
  <r>
    <x v="174"/>
    <n v="-109.62"/>
    <x v="429"/>
    <n v="5746"/>
    <s v="Complete Access"/>
    <x v="185"/>
    <x v="8"/>
    <x v="22"/>
    <d v="1900-01-17T00:00:00"/>
    <n v="25"/>
    <x v="8"/>
    <x v="1"/>
  </r>
  <r>
    <x v="174"/>
    <n v="-34.549999999999997"/>
    <x v="430"/>
    <n v="5855.62"/>
    <s v="Complete Access"/>
    <x v="8"/>
    <x v="1"/>
    <x v="5"/>
    <d v="1900-01-17T00:00:00"/>
    <n v="25"/>
    <x v="8"/>
    <x v="1"/>
  </r>
  <r>
    <x v="175"/>
    <n v="-71"/>
    <x v="431"/>
    <n v="5890.17"/>
    <s v="Complete Access"/>
    <x v="0"/>
    <x v="0"/>
    <x v="0"/>
    <d v="1900-01-14T00:00:00"/>
    <n v="24"/>
    <x v="8"/>
    <x v="1"/>
  </r>
  <r>
    <x v="175"/>
    <n v="-30"/>
    <x v="432"/>
    <n v="5961.17"/>
    <s v="Complete Access"/>
    <x v="0"/>
    <x v="0"/>
    <x v="0"/>
    <d v="1900-01-14T00:00:00"/>
    <n v="24"/>
    <x v="8"/>
    <x v="1"/>
  </r>
  <r>
    <x v="176"/>
    <n v="-37.74"/>
    <x v="433"/>
    <n v="5991.17"/>
    <s v="Complete Access"/>
    <x v="1"/>
    <x v="1"/>
    <x v="1"/>
    <d v="1900-01-13T00:00:00"/>
    <n v="24"/>
    <x v="8"/>
    <x v="1"/>
  </r>
  <r>
    <x v="177"/>
    <n v="-1.17"/>
    <x v="434"/>
    <n v="6028.91"/>
    <s v="Complete Access"/>
    <x v="10"/>
    <x v="0"/>
    <x v="0"/>
    <d v="1900-01-12T00:00:00"/>
    <n v="24"/>
    <x v="8"/>
    <x v="1"/>
  </r>
  <r>
    <x v="177"/>
    <n v="-33.47"/>
    <x v="435"/>
    <n v="6030.08"/>
    <s v="Complete Access"/>
    <x v="11"/>
    <x v="4"/>
    <x v="7"/>
    <d v="1900-01-12T00:00:00"/>
    <n v="24"/>
    <x v="8"/>
    <x v="1"/>
  </r>
  <r>
    <x v="178"/>
    <n v="-26.06"/>
    <x v="436"/>
    <n v="6063.55"/>
    <s v="Complete Access"/>
    <x v="186"/>
    <x v="1"/>
    <x v="5"/>
    <d v="1900-01-10T00:00:00"/>
    <n v="24"/>
    <x v="8"/>
    <x v="1"/>
  </r>
  <r>
    <x v="178"/>
    <n v="-83.54"/>
    <x v="437"/>
    <n v="6089.61"/>
    <s v="Complete Access"/>
    <x v="17"/>
    <x v="7"/>
    <x v="11"/>
    <d v="1900-01-10T00:00:00"/>
    <n v="24"/>
    <x v="8"/>
    <x v="1"/>
  </r>
  <r>
    <x v="178"/>
    <n v="-29.47"/>
    <x v="438"/>
    <n v="6173.15"/>
    <s v="Complete Access"/>
    <x v="21"/>
    <x v="10"/>
    <x v="13"/>
    <d v="1900-01-10T00:00:00"/>
    <n v="24"/>
    <x v="8"/>
    <x v="1"/>
  </r>
  <r>
    <x v="179"/>
    <n v="-27.87"/>
    <x v="394"/>
    <n v="6202.62"/>
    <s v="Complete Access"/>
    <x v="168"/>
    <x v="1"/>
    <x v="5"/>
    <d v="1900-01-09T00:00:00"/>
    <n v="24"/>
    <x v="8"/>
    <x v="1"/>
  </r>
  <r>
    <x v="180"/>
    <n v="-39"/>
    <x v="439"/>
    <n v="6230.49"/>
    <s v="Complete Access"/>
    <x v="0"/>
    <x v="0"/>
    <x v="0"/>
    <d v="1900-01-06T00:00:00"/>
    <n v="23"/>
    <x v="8"/>
    <x v="1"/>
  </r>
  <r>
    <x v="181"/>
    <n v="-11.35"/>
    <x v="11"/>
    <n v="6269.49"/>
    <s v="Complete Access"/>
    <x v="9"/>
    <x v="4"/>
    <x v="6"/>
    <d v="1900-01-05T00:00:00"/>
    <n v="23"/>
    <x v="8"/>
    <x v="1"/>
  </r>
  <r>
    <x v="181"/>
    <n v="-1408.62"/>
    <x v="15"/>
    <n v="6280.84"/>
    <s v="Complete Access"/>
    <x v="13"/>
    <x v="0"/>
    <x v="0"/>
    <d v="1900-01-05T00:00:00"/>
    <n v="23"/>
    <x v="8"/>
    <x v="1"/>
  </r>
  <r>
    <x v="181"/>
    <n v="-84"/>
    <x v="440"/>
    <n v="7689.46"/>
    <s v="Complete Access"/>
    <x v="1"/>
    <x v="1"/>
    <x v="1"/>
    <d v="1900-01-05T00:00:00"/>
    <n v="23"/>
    <x v="8"/>
    <x v="1"/>
  </r>
  <r>
    <x v="181"/>
    <n v="-40"/>
    <x v="441"/>
    <n v="7773.46"/>
    <s v="Complete Access"/>
    <x v="12"/>
    <x v="5"/>
    <x v="8"/>
    <d v="1900-01-05T00:00:00"/>
    <n v="23"/>
    <x v="8"/>
    <x v="1"/>
  </r>
  <r>
    <x v="181"/>
    <n v="2599.9899999999998"/>
    <x v="442"/>
    <n v="7813.46"/>
    <s v="Complete Access"/>
    <x v="14"/>
    <x v="6"/>
    <x v="9"/>
    <d v="1900-01-05T00:00:00"/>
    <n v="23"/>
    <x v="8"/>
    <x v="1"/>
  </r>
  <r>
    <x v="182"/>
    <n v="70"/>
    <x v="443"/>
    <n v="5213.47"/>
    <s v="Complete Access"/>
    <x v="36"/>
    <x v="0"/>
    <x v="0"/>
    <d v="1900-01-04T00:00:00"/>
    <n v="23"/>
    <x v="8"/>
    <x v="1"/>
  </r>
  <r>
    <x v="182"/>
    <n v="-67.81"/>
    <x v="444"/>
    <n v="5143.47"/>
    <s v="Complete Access"/>
    <x v="187"/>
    <x v="9"/>
    <x v="12"/>
    <d v="1900-01-04T00:00:00"/>
    <n v="23"/>
    <x v="8"/>
    <x v="1"/>
  </r>
  <r>
    <x v="183"/>
    <n v="-33.93"/>
    <x v="445"/>
    <n v="5211.28"/>
    <s v="Complete Access"/>
    <x v="104"/>
    <x v="1"/>
    <x v="5"/>
    <d v="1900-01-03T00:00:00"/>
    <n v="23"/>
    <x v="8"/>
    <x v="1"/>
  </r>
  <r>
    <x v="184"/>
    <n v="-5.4"/>
    <x v="446"/>
    <n v="5245.21"/>
    <s v="Complete Access"/>
    <x v="76"/>
    <x v="2"/>
    <x v="2"/>
    <d v="1900-01-02T00:00:00"/>
    <n v="23"/>
    <x v="8"/>
    <x v="1"/>
  </r>
  <r>
    <x v="185"/>
    <n v="-14.9"/>
    <x v="447"/>
    <n v="5250.61"/>
    <s v="Complete Access"/>
    <x v="21"/>
    <x v="10"/>
    <x v="13"/>
    <d v="1900-01-01T00:00:00"/>
    <n v="23"/>
    <x v="8"/>
    <x v="1"/>
  </r>
  <r>
    <x v="186"/>
    <n v="-16.73"/>
    <x v="448"/>
    <n v="5265.51"/>
    <s v="Complete Access"/>
    <x v="46"/>
    <x v="1"/>
    <x v="1"/>
    <d v="1899-12-31T00:00:00"/>
    <n v="22"/>
    <x v="8"/>
    <x v="1"/>
  </r>
  <r>
    <x v="187"/>
    <n v="-4.2"/>
    <x v="449"/>
    <n v="5282.24"/>
    <s v="Complete Access"/>
    <x v="188"/>
    <x v="1"/>
    <x v="1"/>
    <d v="1900-01-29T00:00:00"/>
    <n v="22"/>
    <x v="9"/>
    <x v="1"/>
  </r>
  <r>
    <x v="188"/>
    <n v="-15.22"/>
    <x v="450"/>
    <n v="5286.44"/>
    <s v="Complete Access"/>
    <x v="189"/>
    <x v="1"/>
    <x v="5"/>
    <d v="1900-01-28T00:00:00"/>
    <n v="22"/>
    <x v="9"/>
    <x v="1"/>
  </r>
  <r>
    <x v="189"/>
    <n v="-14.5"/>
    <x v="155"/>
    <n v="5301.66"/>
    <s v="Complete Access"/>
    <x v="62"/>
    <x v="1"/>
    <x v="5"/>
    <d v="1900-01-26T00:00:00"/>
    <n v="22"/>
    <x v="9"/>
    <x v="1"/>
  </r>
  <r>
    <x v="190"/>
    <n v="-45.16"/>
    <x v="119"/>
    <n v="5316.16"/>
    <s v="Complete Access"/>
    <x v="8"/>
    <x v="1"/>
    <x v="5"/>
    <d v="1900-01-25T00:00:00"/>
    <n v="22"/>
    <x v="9"/>
    <x v="1"/>
  </r>
  <r>
    <x v="191"/>
    <n v="-31.87"/>
    <x v="451"/>
    <n v="5361.32"/>
    <s v="Complete Access"/>
    <x v="190"/>
    <x v="8"/>
    <x v="29"/>
    <d v="1900-01-24T00:00:00"/>
    <n v="21"/>
    <x v="9"/>
    <x v="1"/>
  </r>
  <r>
    <x v="191"/>
    <n v="-22.84"/>
    <x v="451"/>
    <n v="5393.19"/>
    <s v="Complete Access"/>
    <x v="190"/>
    <x v="8"/>
    <x v="29"/>
    <d v="1900-01-24T00:00:00"/>
    <n v="21"/>
    <x v="9"/>
    <x v="1"/>
  </r>
  <r>
    <x v="191"/>
    <n v="-10.66"/>
    <x v="451"/>
    <n v="5416.03"/>
    <s v="Complete Access"/>
    <x v="190"/>
    <x v="8"/>
    <x v="29"/>
    <d v="1900-01-24T00:00:00"/>
    <n v="21"/>
    <x v="9"/>
    <x v="1"/>
  </r>
  <r>
    <x v="191"/>
    <n v="-10.66"/>
    <x v="451"/>
    <n v="5426.69"/>
    <s v="Complete Access"/>
    <x v="190"/>
    <x v="8"/>
    <x v="29"/>
    <d v="1900-01-24T00:00:00"/>
    <n v="21"/>
    <x v="9"/>
    <x v="1"/>
  </r>
  <r>
    <x v="191"/>
    <n v="-25.38"/>
    <x v="451"/>
    <n v="5437.35"/>
    <s v="Complete Access"/>
    <x v="190"/>
    <x v="8"/>
    <x v="29"/>
    <d v="1900-01-24T00:00:00"/>
    <n v="21"/>
    <x v="9"/>
    <x v="1"/>
  </r>
  <r>
    <x v="191"/>
    <n v="-10.66"/>
    <x v="451"/>
    <n v="5462.73"/>
    <s v="Complete Access"/>
    <x v="190"/>
    <x v="8"/>
    <x v="29"/>
    <d v="1900-01-24T00:00:00"/>
    <n v="21"/>
    <x v="9"/>
    <x v="1"/>
  </r>
  <r>
    <x v="192"/>
    <n v="-20"/>
    <x v="141"/>
    <n v="5473.39"/>
    <s v="Complete Access"/>
    <x v="58"/>
    <x v="8"/>
    <x v="29"/>
    <d v="1900-01-23T00:00:00"/>
    <n v="21"/>
    <x v="9"/>
    <x v="1"/>
  </r>
  <r>
    <x v="192"/>
    <n v="-18.989999999999998"/>
    <x v="452"/>
    <n v="5493.39"/>
    <s v="Complete Access"/>
    <x v="46"/>
    <x v="1"/>
    <x v="1"/>
    <d v="1900-01-23T00:00:00"/>
    <n v="21"/>
    <x v="9"/>
    <x v="1"/>
  </r>
  <r>
    <x v="192"/>
    <n v="-29.5"/>
    <x v="453"/>
    <n v="5512.38"/>
    <s v="Complete Access"/>
    <x v="17"/>
    <x v="7"/>
    <x v="11"/>
    <d v="1900-01-23T00:00:00"/>
    <n v="21"/>
    <x v="9"/>
    <x v="1"/>
  </r>
  <r>
    <x v="193"/>
    <n v="-11.35"/>
    <x v="454"/>
    <n v="5541.88"/>
    <s v="Complete Access"/>
    <x v="9"/>
    <x v="4"/>
    <x v="6"/>
    <d v="1900-01-22T00:00:00"/>
    <n v="21"/>
    <x v="9"/>
    <x v="1"/>
  </r>
  <r>
    <x v="193"/>
    <n v="-1408.62"/>
    <x v="15"/>
    <n v="5553.23"/>
    <s v="Complete Access"/>
    <x v="13"/>
    <x v="0"/>
    <x v="0"/>
    <d v="1900-01-22T00:00:00"/>
    <n v="21"/>
    <x v="9"/>
    <x v="1"/>
  </r>
  <r>
    <x v="193"/>
    <n v="-37.11"/>
    <x v="455"/>
    <n v="6961.85"/>
    <s v="Complete Access"/>
    <x v="1"/>
    <x v="1"/>
    <x v="1"/>
    <d v="1900-01-22T00:00:00"/>
    <n v="21"/>
    <x v="9"/>
    <x v="1"/>
  </r>
  <r>
    <x v="193"/>
    <n v="-40"/>
    <x v="456"/>
    <n v="6998.96"/>
    <s v="Complete Access"/>
    <x v="12"/>
    <x v="5"/>
    <x v="8"/>
    <d v="1900-01-22T00:00:00"/>
    <n v="21"/>
    <x v="9"/>
    <x v="1"/>
  </r>
  <r>
    <x v="193"/>
    <n v="2599.9899999999998"/>
    <x v="457"/>
    <n v="7038.96"/>
    <s v="Complete Access"/>
    <x v="14"/>
    <x v="6"/>
    <x v="9"/>
    <d v="1900-01-22T00:00:00"/>
    <n v="21"/>
    <x v="9"/>
    <x v="1"/>
  </r>
  <r>
    <x v="194"/>
    <n v="-12.5"/>
    <x v="18"/>
    <n v="4438.97"/>
    <s v="Complete Access"/>
    <x v="16"/>
    <x v="1"/>
    <x v="5"/>
    <d v="1900-01-21T00:00:00"/>
    <n v="21"/>
    <x v="9"/>
    <x v="1"/>
  </r>
  <r>
    <x v="195"/>
    <n v="-23.38"/>
    <x v="427"/>
    <n v="4451.47"/>
    <s v="Complete Access"/>
    <x v="184"/>
    <x v="1"/>
    <x v="5"/>
    <d v="1900-01-20T00:00:00"/>
    <n v="21"/>
    <x v="9"/>
    <x v="1"/>
  </r>
  <r>
    <x v="195"/>
    <n v="-15"/>
    <x v="18"/>
    <n v="4474.8500000000004"/>
    <s v="Complete Access"/>
    <x v="16"/>
    <x v="1"/>
    <x v="5"/>
    <d v="1900-01-20T00:00:00"/>
    <n v="21"/>
    <x v="9"/>
    <x v="1"/>
  </r>
  <r>
    <x v="195"/>
    <n v="-57.03"/>
    <x v="458"/>
    <n v="4489.8500000000004"/>
    <s v="Complete Access"/>
    <x v="1"/>
    <x v="1"/>
    <x v="1"/>
    <d v="1900-01-20T00:00:00"/>
    <n v="21"/>
    <x v="9"/>
    <x v="1"/>
  </r>
  <r>
    <x v="195"/>
    <n v="-69.95"/>
    <x v="459"/>
    <n v="4546.88"/>
    <s v="Complete Access"/>
    <x v="21"/>
    <x v="10"/>
    <x v="13"/>
    <d v="1900-01-20T00:00:00"/>
    <n v="21"/>
    <x v="9"/>
    <x v="1"/>
  </r>
  <r>
    <x v="196"/>
    <n v="-198"/>
    <x v="460"/>
    <n v="4616.83"/>
    <s v="Complete Access"/>
    <x v="191"/>
    <x v="10"/>
    <x v="13"/>
    <d v="1900-01-17T00:00:00"/>
    <n v="20"/>
    <x v="9"/>
    <x v="1"/>
  </r>
  <r>
    <x v="196"/>
    <n v="-5.3"/>
    <x v="460"/>
    <n v="4814.83"/>
    <s v="Complete Access"/>
    <x v="191"/>
    <x v="10"/>
    <x v="13"/>
    <d v="1900-01-17T00:00:00"/>
    <n v="20"/>
    <x v="9"/>
    <x v="1"/>
  </r>
  <r>
    <x v="196"/>
    <n v="-339"/>
    <x v="129"/>
    <n v="4820.13"/>
    <s v="Complete Access"/>
    <x v="50"/>
    <x v="4"/>
    <x v="25"/>
    <d v="1900-01-17T00:00:00"/>
    <n v="20"/>
    <x v="9"/>
    <x v="1"/>
  </r>
  <r>
    <x v="197"/>
    <n v="-138.47"/>
    <x v="461"/>
    <n v="5159.13"/>
    <s v="Complete Access"/>
    <x v="192"/>
    <x v="4"/>
    <x v="20"/>
    <d v="1900-01-16T00:00:00"/>
    <n v="20"/>
    <x v="9"/>
    <x v="1"/>
  </r>
  <r>
    <x v="198"/>
    <n v="-22.35"/>
    <x v="30"/>
    <n v="5297.6"/>
    <s v="Complete Access"/>
    <x v="21"/>
    <x v="10"/>
    <x v="13"/>
    <d v="1900-01-15T00:00:00"/>
    <n v="20"/>
    <x v="9"/>
    <x v="1"/>
  </r>
  <r>
    <x v="198"/>
    <n v="-30"/>
    <x v="462"/>
    <n v="5319.95"/>
    <s v="Complete Access"/>
    <x v="0"/>
    <x v="0"/>
    <x v="0"/>
    <d v="1900-01-15T00:00:00"/>
    <n v="20"/>
    <x v="9"/>
    <x v="1"/>
  </r>
  <r>
    <x v="198"/>
    <n v="-220.09"/>
    <x v="463"/>
    <n v="5349.95"/>
    <s v="Complete Access"/>
    <x v="193"/>
    <x v="4"/>
    <x v="45"/>
    <d v="1900-01-15T00:00:00"/>
    <n v="20"/>
    <x v="9"/>
    <x v="1"/>
  </r>
  <r>
    <x v="199"/>
    <n v="-12.78"/>
    <x v="30"/>
    <n v="5570.04"/>
    <s v="Complete Access"/>
    <x v="21"/>
    <x v="10"/>
    <x v="13"/>
    <d v="1900-01-13T00:00:00"/>
    <n v="20"/>
    <x v="9"/>
    <x v="1"/>
  </r>
  <r>
    <x v="199"/>
    <n v="30.17"/>
    <x v="464"/>
    <n v="5582.82"/>
    <s v="Complete Access"/>
    <x v="21"/>
    <x v="10"/>
    <x v="13"/>
    <d v="1900-01-13T00:00:00"/>
    <n v="20"/>
    <x v="9"/>
    <x v="1"/>
  </r>
  <r>
    <x v="199"/>
    <n v="-70.5"/>
    <x v="465"/>
    <n v="5552.65"/>
    <s v="Complete Access"/>
    <x v="21"/>
    <x v="10"/>
    <x v="13"/>
    <d v="1900-01-13T00:00:00"/>
    <n v="20"/>
    <x v="9"/>
    <x v="1"/>
  </r>
  <r>
    <x v="199"/>
    <n v="-11.9"/>
    <x v="18"/>
    <n v="5623.15"/>
    <s v="Complete Access"/>
    <x v="16"/>
    <x v="1"/>
    <x v="5"/>
    <d v="1900-01-13T00:00:00"/>
    <n v="20"/>
    <x v="9"/>
    <x v="1"/>
  </r>
  <r>
    <x v="199"/>
    <n v="-75.900000000000006"/>
    <x v="466"/>
    <n v="5635.05"/>
    <s v="Complete Access"/>
    <x v="73"/>
    <x v="1"/>
    <x v="23"/>
    <d v="1900-01-13T00:00:00"/>
    <n v="20"/>
    <x v="9"/>
    <x v="1"/>
  </r>
  <r>
    <x v="199"/>
    <n v="-102"/>
    <x v="467"/>
    <n v="5710.95"/>
    <s v="Complete Access"/>
    <x v="17"/>
    <x v="7"/>
    <x v="11"/>
    <d v="1900-01-13T00:00:00"/>
    <n v="20"/>
    <x v="9"/>
    <x v="1"/>
  </r>
  <r>
    <x v="199"/>
    <n v="-558"/>
    <x v="468"/>
    <n v="5812.95"/>
    <s v="Complete Access"/>
    <x v="191"/>
    <x v="10"/>
    <x v="13"/>
    <d v="1900-01-13T00:00:00"/>
    <n v="20"/>
    <x v="9"/>
    <x v="1"/>
  </r>
  <r>
    <x v="199"/>
    <n v="-409"/>
    <x v="469"/>
    <n v="6370.95"/>
    <s v="Complete Access"/>
    <x v="77"/>
    <x v="4"/>
    <x v="27"/>
    <d v="1900-01-13T00:00:00"/>
    <n v="20"/>
    <x v="9"/>
    <x v="1"/>
  </r>
  <r>
    <x v="199"/>
    <n v="-1"/>
    <x v="470"/>
    <n v="6779.95"/>
    <s v="Complete Access"/>
    <x v="10"/>
    <x v="0"/>
    <x v="0"/>
    <d v="1900-01-13T00:00:00"/>
    <n v="20"/>
    <x v="9"/>
    <x v="1"/>
  </r>
  <r>
    <x v="199"/>
    <n v="-33.36"/>
    <x v="471"/>
    <n v="6780.95"/>
    <s v="Complete Access"/>
    <x v="11"/>
    <x v="4"/>
    <x v="7"/>
    <d v="1900-01-13T00:00:00"/>
    <n v="20"/>
    <x v="9"/>
    <x v="1"/>
  </r>
  <r>
    <x v="199"/>
    <n v="-1699"/>
    <x v="472"/>
    <n v="6814.31"/>
    <s v="Complete Access"/>
    <x v="194"/>
    <x v="4"/>
    <x v="45"/>
    <d v="1900-01-13T00:00:00"/>
    <n v="20"/>
    <x v="9"/>
    <x v="1"/>
  </r>
  <r>
    <x v="199"/>
    <n v="-50.19"/>
    <x v="473"/>
    <n v="8513.31"/>
    <s v="Complete Access"/>
    <x v="56"/>
    <x v="9"/>
    <x v="31"/>
    <d v="1900-01-13T00:00:00"/>
    <n v="20"/>
    <x v="9"/>
    <x v="1"/>
  </r>
  <r>
    <x v="200"/>
    <n v="-127"/>
    <x v="190"/>
    <n v="8563.5"/>
    <s v="Complete Access"/>
    <x v="75"/>
    <x v="1"/>
    <x v="5"/>
    <d v="1900-01-11T00:00:00"/>
    <n v="20"/>
    <x v="9"/>
    <x v="1"/>
  </r>
  <r>
    <x v="201"/>
    <n v="-28.42"/>
    <x v="161"/>
    <n v="8690.5"/>
    <s v="Complete Access"/>
    <x v="66"/>
    <x v="1"/>
    <x v="5"/>
    <d v="1900-01-10T00:00:00"/>
    <n v="19"/>
    <x v="9"/>
    <x v="1"/>
  </r>
  <r>
    <x v="201"/>
    <n v="-11.65"/>
    <x v="474"/>
    <n v="8718.92"/>
    <s v="Complete Access"/>
    <x v="195"/>
    <x v="1"/>
    <x v="1"/>
    <d v="1900-01-10T00:00:00"/>
    <n v="19"/>
    <x v="9"/>
    <x v="1"/>
  </r>
  <r>
    <x v="201"/>
    <n v="-11.3"/>
    <x v="475"/>
    <n v="8730.57"/>
    <s v="Complete Access"/>
    <x v="47"/>
    <x v="1"/>
    <x v="5"/>
    <d v="1900-01-10T00:00:00"/>
    <n v="19"/>
    <x v="9"/>
    <x v="1"/>
  </r>
  <r>
    <x v="202"/>
    <n v="-300"/>
    <x v="476"/>
    <n v="8741.8700000000008"/>
    <s v="Complete Access"/>
    <x v="0"/>
    <x v="0"/>
    <x v="0"/>
    <d v="1900-01-09T00:00:00"/>
    <n v="19"/>
    <x v="9"/>
    <x v="1"/>
  </r>
  <r>
    <x v="203"/>
    <n v="-11.35"/>
    <x v="454"/>
    <n v="9041.8700000000008"/>
    <s v="Complete Access"/>
    <x v="9"/>
    <x v="4"/>
    <x v="6"/>
    <d v="1900-01-08T00:00:00"/>
    <n v="19"/>
    <x v="9"/>
    <x v="1"/>
  </r>
  <r>
    <x v="203"/>
    <n v="-14.05"/>
    <x v="477"/>
    <n v="9053.2199999999993"/>
    <s v="Complete Access"/>
    <x v="188"/>
    <x v="1"/>
    <x v="1"/>
    <d v="1900-01-08T00:00:00"/>
    <n v="19"/>
    <x v="9"/>
    <x v="1"/>
  </r>
  <r>
    <x v="203"/>
    <n v="-1849"/>
    <x v="478"/>
    <n v="9067.27"/>
    <s v="Complete Access"/>
    <x v="50"/>
    <x v="4"/>
    <x v="25"/>
    <d v="1900-01-08T00:00:00"/>
    <n v="19"/>
    <x v="9"/>
    <x v="1"/>
  </r>
  <r>
    <x v="203"/>
    <n v="-40"/>
    <x v="479"/>
    <n v="10916.27"/>
    <s v="Complete Access"/>
    <x v="12"/>
    <x v="5"/>
    <x v="8"/>
    <d v="1900-01-08T00:00:00"/>
    <n v="19"/>
    <x v="9"/>
    <x v="1"/>
  </r>
  <r>
    <x v="203"/>
    <n v="-1408.62"/>
    <x v="15"/>
    <n v="10956.27"/>
    <s v="Complete Access"/>
    <x v="13"/>
    <x v="0"/>
    <x v="0"/>
    <d v="1900-01-08T00:00:00"/>
    <n v="19"/>
    <x v="9"/>
    <x v="1"/>
  </r>
  <r>
    <x v="203"/>
    <n v="2599.9899999999998"/>
    <x v="480"/>
    <n v="12364.89"/>
    <s v="Complete Access"/>
    <x v="14"/>
    <x v="6"/>
    <x v="9"/>
    <d v="1900-01-08T00:00:00"/>
    <n v="19"/>
    <x v="9"/>
    <x v="1"/>
  </r>
  <r>
    <x v="204"/>
    <n v="-16"/>
    <x v="8"/>
    <n v="9764.9"/>
    <s v="Complete Access"/>
    <x v="7"/>
    <x v="1"/>
    <x v="5"/>
    <d v="1900-01-07T00:00:00"/>
    <n v="19"/>
    <x v="9"/>
    <x v="1"/>
  </r>
  <r>
    <x v="204"/>
    <n v="472.77"/>
    <x v="481"/>
    <n v="9780.9"/>
    <s v="Complete Access"/>
    <x v="76"/>
    <x v="2"/>
    <x v="2"/>
    <d v="1900-01-07T00:00:00"/>
    <n v="19"/>
    <x v="9"/>
    <x v="1"/>
  </r>
  <r>
    <x v="204"/>
    <n v="-50.98"/>
    <x v="482"/>
    <n v="9308.1299999999992"/>
    <s v="Complete Access"/>
    <x v="196"/>
    <x v="11"/>
    <x v="14"/>
    <d v="1900-01-07T00:00:00"/>
    <n v="19"/>
    <x v="9"/>
    <x v="1"/>
  </r>
  <r>
    <x v="205"/>
    <n v="-1514.59"/>
    <x v="418"/>
    <n v="9359.11"/>
    <s v="Complete Access"/>
    <x v="40"/>
    <x v="13"/>
    <x v="24"/>
    <d v="1900-01-05T00:00:00"/>
    <n v="19"/>
    <x v="9"/>
    <x v="1"/>
  </r>
  <r>
    <x v="206"/>
    <n v="-11.37"/>
    <x v="483"/>
    <n v="10873.7"/>
    <s v="Complete Access"/>
    <x v="197"/>
    <x v="1"/>
    <x v="1"/>
    <d v="1900-01-04T00:00:00"/>
    <n v="19"/>
    <x v="9"/>
    <x v="1"/>
  </r>
  <r>
    <x v="206"/>
    <n v="-32.1"/>
    <x v="30"/>
    <n v="10885.07"/>
    <s v="Complete Access"/>
    <x v="21"/>
    <x v="10"/>
    <x v="13"/>
    <d v="1900-01-04T00:00:00"/>
    <n v="19"/>
    <x v="9"/>
    <x v="1"/>
  </r>
  <r>
    <x v="207"/>
    <n v="-70.38"/>
    <x v="484"/>
    <n v="10917.17"/>
    <s v="Complete Access"/>
    <x v="187"/>
    <x v="9"/>
    <x v="12"/>
    <d v="1900-01-02T00:00:00"/>
    <n v="18"/>
    <x v="9"/>
    <x v="1"/>
  </r>
  <r>
    <x v="207"/>
    <n v="-12"/>
    <x v="460"/>
    <n v="10987.55"/>
    <s v="Complete Access"/>
    <x v="191"/>
    <x v="10"/>
    <x v="13"/>
    <d v="1900-01-02T00:00:00"/>
    <n v="18"/>
    <x v="9"/>
    <x v="1"/>
  </r>
  <r>
    <x v="208"/>
    <n v="-201.79"/>
    <x v="485"/>
    <n v="10999.55"/>
    <s v="Complete Access"/>
    <x v="76"/>
    <x v="2"/>
    <x v="2"/>
    <d v="1899-12-31T00:00:00"/>
    <n v="18"/>
    <x v="9"/>
    <x v="1"/>
  </r>
  <r>
    <x v="208"/>
    <n v="-10.8"/>
    <x v="486"/>
    <n v="11201.34"/>
    <s v="Complete Access"/>
    <x v="198"/>
    <x v="1"/>
    <x v="5"/>
    <d v="1899-12-31T00:00:00"/>
    <n v="18"/>
    <x v="9"/>
    <x v="1"/>
  </r>
  <r>
    <x v="208"/>
    <n v="-53.4"/>
    <x v="487"/>
    <n v="11212.14"/>
    <s v="Complete Access"/>
    <x v="199"/>
    <x v="14"/>
    <x v="46"/>
    <d v="1899-12-31T00:00:00"/>
    <n v="18"/>
    <x v="9"/>
    <x v="1"/>
  </r>
  <r>
    <x v="208"/>
    <n v="-132.19999999999999"/>
    <x v="488"/>
    <n v="11265.54"/>
    <s v="Complete Access"/>
    <x v="200"/>
    <x v="3"/>
    <x v="3"/>
    <d v="1899-12-31T00:00:00"/>
    <n v="18"/>
    <x v="9"/>
    <x v="1"/>
  </r>
  <r>
    <x v="208"/>
    <n v="-31.73"/>
    <x v="489"/>
    <n v="11397.74"/>
    <s v="Complete Access"/>
    <x v="5"/>
    <x v="3"/>
    <x v="3"/>
    <d v="1899-12-31T00:00:00"/>
    <n v="18"/>
    <x v="9"/>
    <x v="1"/>
  </r>
  <r>
    <x v="208"/>
    <n v="-35.99"/>
    <x v="489"/>
    <n v="11429.47"/>
    <s v="Complete Access"/>
    <x v="5"/>
    <x v="3"/>
    <x v="3"/>
    <d v="1899-12-31T00:00:00"/>
    <n v="18"/>
    <x v="9"/>
    <x v="1"/>
  </r>
  <r>
    <x v="209"/>
    <n v="-15"/>
    <x v="18"/>
    <n v="11465.46"/>
    <s v="Complete Access"/>
    <x v="16"/>
    <x v="1"/>
    <x v="5"/>
    <d v="1900-01-29T00:00:00"/>
    <n v="18"/>
    <x v="10"/>
    <x v="1"/>
  </r>
  <r>
    <x v="209"/>
    <n v="-28.6"/>
    <x v="490"/>
    <n v="11480.46"/>
    <s v="Complete Access"/>
    <x v="1"/>
    <x v="1"/>
    <x v="1"/>
    <d v="1900-01-29T00:00:00"/>
    <n v="18"/>
    <x v="10"/>
    <x v="1"/>
  </r>
  <r>
    <x v="209"/>
    <n v="-48.93"/>
    <x v="491"/>
    <n v="11509.06"/>
    <s v="Complete Access"/>
    <x v="19"/>
    <x v="3"/>
    <x v="3"/>
    <d v="1900-01-29T00:00:00"/>
    <n v="18"/>
    <x v="10"/>
    <x v="1"/>
  </r>
  <r>
    <x v="209"/>
    <n v="-0.34"/>
    <x v="492"/>
    <n v="11557.99"/>
    <s v="Complete Access"/>
    <x v="10"/>
    <x v="0"/>
    <x v="0"/>
    <d v="1900-01-29T00:00:00"/>
    <n v="18"/>
    <x v="10"/>
    <x v="1"/>
  </r>
  <r>
    <x v="209"/>
    <n v="-11.38"/>
    <x v="493"/>
    <n v="11558.33"/>
    <s v="Complete Access"/>
    <x v="201"/>
    <x v="4"/>
    <x v="47"/>
    <d v="1900-01-29T00:00:00"/>
    <n v="18"/>
    <x v="10"/>
    <x v="1"/>
  </r>
  <r>
    <x v="210"/>
    <n v="-31.15"/>
    <x v="494"/>
    <n v="11569.71"/>
    <s v="Complete Access"/>
    <x v="202"/>
    <x v="1"/>
    <x v="5"/>
    <d v="1900-01-26T00:00:00"/>
    <n v="17"/>
    <x v="10"/>
    <x v="1"/>
  </r>
  <r>
    <x v="210"/>
    <n v="-48"/>
    <x v="495"/>
    <n v="11600.86"/>
    <s v="Complete Access"/>
    <x v="203"/>
    <x v="13"/>
    <x v="48"/>
    <d v="1900-01-26T00:00:00"/>
    <n v="17"/>
    <x v="10"/>
    <x v="1"/>
  </r>
  <r>
    <x v="210"/>
    <n v="48"/>
    <x v="496"/>
    <n v="11648.86"/>
    <s v="Complete Access"/>
    <x v="203"/>
    <x v="13"/>
    <x v="48"/>
    <d v="1900-01-26T00:00:00"/>
    <n v="17"/>
    <x v="10"/>
    <x v="1"/>
  </r>
  <r>
    <x v="211"/>
    <n v="-11.35"/>
    <x v="454"/>
    <n v="11600.86"/>
    <s v="Complete Access"/>
    <x v="9"/>
    <x v="4"/>
    <x v="6"/>
    <d v="1900-01-25T00:00:00"/>
    <n v="17"/>
    <x v="10"/>
    <x v="1"/>
  </r>
  <r>
    <x v="211"/>
    <n v="-1408.62"/>
    <x v="15"/>
    <n v="11612.21"/>
    <s v="Complete Access"/>
    <x v="13"/>
    <x v="0"/>
    <x v="0"/>
    <d v="1900-01-25T00:00:00"/>
    <n v="17"/>
    <x v="10"/>
    <x v="1"/>
  </r>
  <r>
    <x v="212"/>
    <n v="-2.6"/>
    <x v="72"/>
    <n v="13020.83"/>
    <s v="Complete Access"/>
    <x v="37"/>
    <x v="0"/>
    <x v="0"/>
    <d v="1900-01-24T00:00:00"/>
    <n v="17"/>
    <x v="10"/>
    <x v="1"/>
  </r>
  <r>
    <x v="212"/>
    <n v="-40"/>
    <x v="497"/>
    <n v="13023.43"/>
    <s v="Complete Access"/>
    <x v="130"/>
    <x v="0"/>
    <x v="0"/>
    <d v="1900-01-24T00:00:00"/>
    <n v="17"/>
    <x v="10"/>
    <x v="1"/>
  </r>
  <r>
    <x v="212"/>
    <n v="-13.2"/>
    <x v="498"/>
    <n v="13063.43"/>
    <s v="Complete Access"/>
    <x v="204"/>
    <x v="8"/>
    <x v="29"/>
    <d v="1900-01-24T00:00:00"/>
    <n v="17"/>
    <x v="10"/>
    <x v="1"/>
  </r>
  <r>
    <x v="212"/>
    <n v="-704.31"/>
    <x v="15"/>
    <n v="13076.63"/>
    <s v="Complete Access"/>
    <x v="13"/>
    <x v="0"/>
    <x v="0"/>
    <d v="1900-01-24T00:00:00"/>
    <n v="17"/>
    <x v="10"/>
    <x v="1"/>
  </r>
  <r>
    <x v="212"/>
    <n v="-48"/>
    <x v="499"/>
    <n v="13780.94"/>
    <s v="Complete Access"/>
    <x v="203"/>
    <x v="13"/>
    <x v="48"/>
    <d v="1900-01-24T00:00:00"/>
    <n v="17"/>
    <x v="10"/>
    <x v="1"/>
  </r>
  <r>
    <x v="212"/>
    <n v="-40"/>
    <x v="500"/>
    <n v="13828.94"/>
    <s v="Complete Access"/>
    <x v="12"/>
    <x v="5"/>
    <x v="8"/>
    <d v="1900-01-24T00:00:00"/>
    <n v="17"/>
    <x v="10"/>
    <x v="1"/>
  </r>
  <r>
    <x v="213"/>
    <n v="-60.18"/>
    <x v="501"/>
    <n v="13868.94"/>
    <s v="Complete Access"/>
    <x v="205"/>
    <x v="11"/>
    <x v="49"/>
    <d v="1900-01-23T00:00:00"/>
    <n v="17"/>
    <x v="10"/>
    <x v="1"/>
  </r>
  <r>
    <x v="213"/>
    <n v="-20.07"/>
    <x v="502"/>
    <n v="13881.12"/>
    <s v="Complete Access"/>
    <x v="56"/>
    <x v="9"/>
    <x v="31"/>
    <d v="1900-01-23T00:00:00"/>
    <n v="17"/>
    <x v="10"/>
    <x v="1"/>
  </r>
  <r>
    <x v="213"/>
    <n v="2599.98"/>
    <x v="503"/>
    <n v="13901.19"/>
    <s v="Complete Access"/>
    <x v="14"/>
    <x v="6"/>
    <x v="9"/>
    <d v="1900-01-23T00:00:00"/>
    <n v="17"/>
    <x v="10"/>
    <x v="1"/>
  </r>
  <r>
    <x v="213"/>
    <n v="48"/>
    <x v="504"/>
    <n v="13929.12"/>
    <s v="Complete Access"/>
    <x v="203"/>
    <x v="13"/>
    <x v="48"/>
    <d v="1900-01-23T00:00:00"/>
    <n v="17"/>
    <x v="10"/>
    <x v="1"/>
  </r>
  <r>
    <x v="214"/>
    <n v="-15.35"/>
    <x v="7"/>
    <n v="11301.21"/>
    <s v="Complete Access"/>
    <x v="1"/>
    <x v="1"/>
    <x v="1"/>
    <d v="1900-01-22T00:00:00"/>
    <n v="17"/>
    <x v="10"/>
    <x v="1"/>
  </r>
  <r>
    <x v="214"/>
    <n v="-15"/>
    <x v="18"/>
    <n v="11337.56"/>
    <s v="Complete Access"/>
    <x v="16"/>
    <x v="1"/>
    <x v="5"/>
    <d v="1900-01-22T00:00:00"/>
    <n v="17"/>
    <x v="10"/>
    <x v="1"/>
  </r>
  <r>
    <x v="214"/>
    <n v="-21"/>
    <x v="207"/>
    <n v="11316.56"/>
    <s v="Complete Access"/>
    <x v="81"/>
    <x v="16"/>
    <x v="35"/>
    <d v="1900-01-22T00:00:00"/>
    <n v="17"/>
    <x v="10"/>
    <x v="1"/>
  </r>
  <r>
    <x v="214"/>
    <n v="-48"/>
    <x v="505"/>
    <n v="11352.56"/>
    <s v="Complete Access"/>
    <x v="203"/>
    <x v="13"/>
    <x v="48"/>
    <d v="1900-01-22T00:00:00"/>
    <n v="17"/>
    <x v="10"/>
    <x v="1"/>
  </r>
  <r>
    <x v="214"/>
    <n v="-8"/>
    <x v="506"/>
    <n v="11400.56"/>
    <s v="Complete Access"/>
    <x v="60"/>
    <x v="14"/>
    <x v="32"/>
    <d v="1900-01-22T00:00:00"/>
    <n v="17"/>
    <x v="10"/>
    <x v="1"/>
  </r>
  <r>
    <x v="215"/>
    <n v="-11.34"/>
    <x v="465"/>
    <n v="11408.56"/>
    <s v="Complete Access"/>
    <x v="21"/>
    <x v="10"/>
    <x v="13"/>
    <d v="1900-01-20T00:00:00"/>
    <n v="17"/>
    <x v="10"/>
    <x v="1"/>
  </r>
  <r>
    <x v="215"/>
    <n v="-220"/>
    <x v="507"/>
    <n v="11419.9"/>
    <s v="Complete Access"/>
    <x v="206"/>
    <x v="13"/>
    <x v="50"/>
    <d v="1900-01-20T00:00:00"/>
    <n v="17"/>
    <x v="10"/>
    <x v="1"/>
  </r>
  <r>
    <x v="216"/>
    <n v="-73.709999999999994"/>
    <x v="7"/>
    <n v="11639.9"/>
    <s v="Complete Access"/>
    <x v="1"/>
    <x v="1"/>
    <x v="1"/>
    <d v="1900-01-19T00:00:00"/>
    <n v="16"/>
    <x v="10"/>
    <x v="1"/>
  </r>
  <r>
    <x v="216"/>
    <n v="-17.72"/>
    <x v="30"/>
    <n v="11713.61"/>
    <s v="Complete Access"/>
    <x v="21"/>
    <x v="10"/>
    <x v="13"/>
    <d v="1900-01-19T00:00:00"/>
    <n v="16"/>
    <x v="10"/>
    <x v="1"/>
  </r>
  <r>
    <x v="216"/>
    <n v="-22.99"/>
    <x v="508"/>
    <n v="11731.33"/>
    <s v="Complete Access"/>
    <x v="5"/>
    <x v="3"/>
    <x v="3"/>
    <d v="1900-01-19T00:00:00"/>
    <n v="16"/>
    <x v="10"/>
    <x v="1"/>
  </r>
  <r>
    <x v="217"/>
    <n v="-13.36"/>
    <x v="509"/>
    <n v="11754.32"/>
    <s v="Complete Access"/>
    <x v="207"/>
    <x v="7"/>
    <x v="11"/>
    <d v="1900-01-18T00:00:00"/>
    <n v="16"/>
    <x v="10"/>
    <x v="1"/>
  </r>
  <r>
    <x v="218"/>
    <n v="-25.38"/>
    <x v="161"/>
    <n v="11767.68"/>
    <s v="Complete Access"/>
    <x v="66"/>
    <x v="1"/>
    <x v="5"/>
    <d v="1900-01-17T00:00:00"/>
    <n v="16"/>
    <x v="10"/>
    <x v="1"/>
  </r>
  <r>
    <x v="218"/>
    <n v="-4.84"/>
    <x v="30"/>
    <n v="11793.06"/>
    <s v="Complete Access"/>
    <x v="21"/>
    <x v="10"/>
    <x v="13"/>
    <d v="1900-01-17T00:00:00"/>
    <n v="16"/>
    <x v="10"/>
    <x v="1"/>
  </r>
  <r>
    <x v="219"/>
    <n v="-28.83"/>
    <x v="510"/>
    <n v="12005.21"/>
    <s v="Complete Access"/>
    <x v="208"/>
    <x v="8"/>
    <x v="29"/>
    <d v="1900-01-16T00:00:00"/>
    <n v="16"/>
    <x v="10"/>
    <x v="1"/>
  </r>
  <r>
    <x v="219"/>
    <n v="-33.5"/>
    <x v="510"/>
    <n v="12034.04"/>
    <s v="Complete Access"/>
    <x v="208"/>
    <x v="8"/>
    <x v="29"/>
    <d v="1900-01-16T00:00:00"/>
    <n v="16"/>
    <x v="10"/>
    <x v="1"/>
  </r>
  <r>
    <x v="219"/>
    <n v="-35.130000000000003"/>
    <x v="511"/>
    <n v="12067.54"/>
    <s v="Complete Access"/>
    <x v="187"/>
    <x v="9"/>
    <x v="12"/>
    <d v="1900-01-16T00:00:00"/>
    <n v="16"/>
    <x v="10"/>
    <x v="1"/>
  </r>
  <r>
    <x v="219"/>
    <n v="-97.58"/>
    <x v="30"/>
    <n v="11797.9"/>
    <s v="Complete Access"/>
    <x v="21"/>
    <x v="10"/>
    <x v="13"/>
    <d v="1900-01-16T00:00:00"/>
    <n v="16"/>
    <x v="10"/>
    <x v="1"/>
  </r>
  <r>
    <x v="219"/>
    <n v="-97.23"/>
    <x v="30"/>
    <n v="11895.48"/>
    <s v="Complete Access"/>
    <x v="21"/>
    <x v="10"/>
    <x v="13"/>
    <d v="1900-01-16T00:00:00"/>
    <n v="16"/>
    <x v="10"/>
    <x v="1"/>
  </r>
  <r>
    <x v="219"/>
    <n v="-12.5"/>
    <x v="18"/>
    <n v="11992.71"/>
    <s v="Complete Access"/>
    <x v="16"/>
    <x v="1"/>
    <x v="5"/>
    <d v="1900-01-16T00:00:00"/>
    <n v="16"/>
    <x v="10"/>
    <x v="1"/>
  </r>
  <r>
    <x v="220"/>
    <n v="-67.5"/>
    <x v="512"/>
    <n v="12262.04"/>
    <s v="Complete Access"/>
    <x v="209"/>
    <x v="1"/>
    <x v="5"/>
    <d v="1900-01-15T00:00:00"/>
    <n v="16"/>
    <x v="10"/>
    <x v="1"/>
  </r>
  <r>
    <x v="220"/>
    <n v="-10"/>
    <x v="7"/>
    <n v="12102.67"/>
    <s v="Complete Access"/>
    <x v="1"/>
    <x v="1"/>
    <x v="1"/>
    <d v="1900-01-15T00:00:00"/>
    <n v="16"/>
    <x v="10"/>
    <x v="1"/>
  </r>
  <r>
    <x v="220"/>
    <n v="-15"/>
    <x v="18"/>
    <n v="12112.67"/>
    <s v="Complete Access"/>
    <x v="16"/>
    <x v="1"/>
    <x v="5"/>
    <d v="1900-01-15T00:00:00"/>
    <n v="16"/>
    <x v="10"/>
    <x v="1"/>
  </r>
  <r>
    <x v="220"/>
    <n v="-134.37"/>
    <x v="513"/>
    <n v="12127.67"/>
    <s v="Complete Access"/>
    <x v="210"/>
    <x v="3"/>
    <x v="15"/>
    <d v="1900-01-15T00:00:00"/>
    <n v="16"/>
    <x v="10"/>
    <x v="1"/>
  </r>
  <r>
    <x v="221"/>
    <n v="-13.3"/>
    <x v="514"/>
    <n v="12329.54"/>
    <s v="Complete Access"/>
    <x v="35"/>
    <x v="1"/>
    <x v="23"/>
    <d v="1900-01-14T00:00:00"/>
    <n v="16"/>
    <x v="10"/>
    <x v="1"/>
  </r>
  <r>
    <x v="222"/>
    <n v="-31.28"/>
    <x v="515"/>
    <n v="12342.84"/>
    <s v="Complete Access"/>
    <x v="21"/>
    <x v="10"/>
    <x v="13"/>
    <d v="1900-01-13T00:00:00"/>
    <n v="16"/>
    <x v="10"/>
    <x v="1"/>
  </r>
  <r>
    <x v="223"/>
    <n v="-3419.9"/>
    <x v="516"/>
    <n v="12374.12"/>
    <s v="Complete Access"/>
    <x v="211"/>
    <x v="13"/>
    <x v="51"/>
    <d v="1900-01-12T00:00:00"/>
    <n v="15"/>
    <x v="10"/>
    <x v="1"/>
  </r>
  <r>
    <x v="223"/>
    <n v="-51.53"/>
    <x v="447"/>
    <n v="15794.02"/>
    <s v="Complete Access"/>
    <x v="21"/>
    <x v="10"/>
    <x v="13"/>
    <d v="1900-01-12T00:00:00"/>
    <n v="15"/>
    <x v="10"/>
    <x v="1"/>
  </r>
  <r>
    <x v="223"/>
    <n v="-10.3"/>
    <x v="517"/>
    <n v="15845.55"/>
    <s v="Complete Access"/>
    <x v="34"/>
    <x v="9"/>
    <x v="12"/>
    <d v="1900-01-12T00:00:00"/>
    <n v="15"/>
    <x v="10"/>
    <x v="1"/>
  </r>
  <r>
    <x v="223"/>
    <n v="-1.01"/>
    <x v="518"/>
    <n v="15855.85"/>
    <s v="Complete Access"/>
    <x v="10"/>
    <x v="0"/>
    <x v="0"/>
    <d v="1900-01-12T00:00:00"/>
    <n v="15"/>
    <x v="10"/>
    <x v="1"/>
  </r>
  <r>
    <x v="223"/>
    <n v="-33.83"/>
    <x v="519"/>
    <n v="15856.86"/>
    <s v="Complete Access"/>
    <x v="11"/>
    <x v="4"/>
    <x v="7"/>
    <d v="1900-01-12T00:00:00"/>
    <n v="15"/>
    <x v="10"/>
    <x v="1"/>
  </r>
  <r>
    <x v="223"/>
    <n v="-129.69999999999999"/>
    <x v="520"/>
    <n v="15890.69"/>
    <s v="Complete Access"/>
    <x v="3"/>
    <x v="2"/>
    <x v="2"/>
    <d v="1900-01-12T00:00:00"/>
    <n v="15"/>
    <x v="10"/>
    <x v="1"/>
  </r>
  <r>
    <x v="224"/>
    <n v="-26.25"/>
    <x v="521"/>
    <n v="16020.39"/>
    <s v="Complete Access"/>
    <x v="212"/>
    <x v="9"/>
    <x v="12"/>
    <d v="1900-01-11T00:00:00"/>
    <n v="15"/>
    <x v="10"/>
    <x v="1"/>
  </r>
  <r>
    <x v="225"/>
    <n v="-100"/>
    <x v="522"/>
    <n v="16064.34"/>
    <s v="Complete Access"/>
    <x v="211"/>
    <x v="13"/>
    <x v="51"/>
    <d v="1900-01-10T00:00:00"/>
    <n v="15"/>
    <x v="10"/>
    <x v="1"/>
  </r>
  <r>
    <x v="225"/>
    <n v="-11.35"/>
    <x v="454"/>
    <n v="16046.64"/>
    <s v="Complete Access"/>
    <x v="9"/>
    <x v="4"/>
    <x v="6"/>
    <d v="1900-01-10T00:00:00"/>
    <n v="15"/>
    <x v="10"/>
    <x v="1"/>
  </r>
  <r>
    <x v="225"/>
    <n v="-6.35"/>
    <x v="523"/>
    <n v="16057.99"/>
    <s v="Complete Access"/>
    <x v="212"/>
    <x v="9"/>
    <x v="12"/>
    <d v="1900-01-10T00:00:00"/>
    <n v="15"/>
    <x v="10"/>
    <x v="1"/>
  </r>
  <r>
    <x v="225"/>
    <n v="-3.5"/>
    <x v="524"/>
    <n v="16164.34"/>
    <s v="Complete Access"/>
    <x v="213"/>
    <x v="1"/>
    <x v="23"/>
    <d v="1900-01-10T00:00:00"/>
    <n v="15"/>
    <x v="10"/>
    <x v="1"/>
  </r>
  <r>
    <x v="225"/>
    <n v="-3"/>
    <x v="524"/>
    <n v="16167.84"/>
    <s v="Complete Access"/>
    <x v="213"/>
    <x v="1"/>
    <x v="23"/>
    <d v="1900-01-10T00:00:00"/>
    <n v="15"/>
    <x v="10"/>
    <x v="1"/>
  </r>
  <r>
    <x v="225"/>
    <n v="-40"/>
    <x v="525"/>
    <n v="16170.84"/>
    <s v="Complete Access"/>
    <x v="12"/>
    <x v="5"/>
    <x v="8"/>
    <d v="1900-01-10T00:00:00"/>
    <n v="15"/>
    <x v="10"/>
    <x v="1"/>
  </r>
  <r>
    <x v="225"/>
    <n v="-10.49"/>
    <x v="526"/>
    <n v="16210.84"/>
    <s v="Complete Access"/>
    <x v="5"/>
    <x v="3"/>
    <x v="3"/>
    <d v="1900-01-10T00:00:00"/>
    <n v="15"/>
    <x v="10"/>
    <x v="1"/>
  </r>
  <r>
    <x v="225"/>
    <n v="-500"/>
    <x v="527"/>
    <n v="16221.33"/>
    <s v="Complete Access"/>
    <x v="13"/>
    <x v="0"/>
    <x v="0"/>
    <d v="1900-01-10T00:00:00"/>
    <n v="15"/>
    <x v="10"/>
    <x v="1"/>
  </r>
  <r>
    <x v="225"/>
    <n v="2599.9899999999998"/>
    <x v="528"/>
    <n v="16721.330000000002"/>
    <s v="Complete Access"/>
    <x v="14"/>
    <x v="6"/>
    <x v="9"/>
    <d v="1900-01-10T00:00:00"/>
    <n v="15"/>
    <x v="10"/>
    <x v="1"/>
  </r>
  <r>
    <x v="226"/>
    <n v="-16"/>
    <x v="8"/>
    <n v="14121.34"/>
    <s v="Complete Access"/>
    <x v="7"/>
    <x v="1"/>
    <x v="5"/>
    <d v="1900-01-09T00:00:00"/>
    <n v="15"/>
    <x v="10"/>
    <x v="1"/>
  </r>
  <r>
    <x v="227"/>
    <n v="-42.57"/>
    <x v="28"/>
    <n v="14137.34"/>
    <s v="Complete Access"/>
    <x v="20"/>
    <x v="9"/>
    <x v="12"/>
    <d v="1900-01-08T00:00:00"/>
    <n v="15"/>
    <x v="10"/>
    <x v="1"/>
  </r>
  <r>
    <x v="227"/>
    <n v="-16"/>
    <x v="8"/>
    <n v="14179.91"/>
    <s v="Complete Access"/>
    <x v="7"/>
    <x v="1"/>
    <x v="5"/>
    <d v="1900-01-08T00:00:00"/>
    <n v="15"/>
    <x v="10"/>
    <x v="1"/>
  </r>
  <r>
    <x v="227"/>
    <n v="-31.14"/>
    <x v="529"/>
    <n v="14195.91"/>
    <s v="Complete Access"/>
    <x v="104"/>
    <x v="1"/>
    <x v="5"/>
    <d v="1900-01-08T00:00:00"/>
    <n v="15"/>
    <x v="10"/>
    <x v="1"/>
  </r>
  <r>
    <x v="227"/>
    <n v="-139"/>
    <x v="530"/>
    <n v="14227.05"/>
    <s v="Complete Access"/>
    <x v="214"/>
    <x v="4"/>
    <x v="52"/>
    <d v="1900-01-08T00:00:00"/>
    <n v="15"/>
    <x v="10"/>
    <x v="1"/>
  </r>
  <r>
    <x v="228"/>
    <n v="-3.07"/>
    <x v="531"/>
    <n v="14366.05"/>
    <s v="Complete Access"/>
    <x v="215"/>
    <x v="1"/>
    <x v="1"/>
    <d v="1900-01-06T00:00:00"/>
    <n v="15"/>
    <x v="10"/>
    <x v="1"/>
  </r>
  <r>
    <x v="228"/>
    <n v="-5.5"/>
    <x v="532"/>
    <n v="14369.12"/>
    <s v="Complete Access"/>
    <x v="1"/>
    <x v="1"/>
    <x v="1"/>
    <d v="1900-01-06T00:00:00"/>
    <n v="15"/>
    <x v="10"/>
    <x v="1"/>
  </r>
  <r>
    <x v="228"/>
    <n v="-9"/>
    <x v="533"/>
    <n v="14374.62"/>
    <s v="Complete Access"/>
    <x v="215"/>
    <x v="1"/>
    <x v="1"/>
    <d v="1900-01-06T00:00:00"/>
    <n v="15"/>
    <x v="10"/>
    <x v="1"/>
  </r>
  <r>
    <x v="228"/>
    <n v="-43.95"/>
    <x v="405"/>
    <n v="14383.62"/>
    <s v="Complete Access"/>
    <x v="177"/>
    <x v="1"/>
    <x v="1"/>
    <d v="1900-01-06T00:00:00"/>
    <n v="15"/>
    <x v="10"/>
    <x v="1"/>
  </r>
  <r>
    <x v="229"/>
    <n v="5000"/>
    <x v="534"/>
    <n v="14427.57"/>
    <s v="Complete Access"/>
    <x v="36"/>
    <x v="0"/>
    <x v="0"/>
    <d v="1900-01-05T00:00:00"/>
    <n v="14"/>
    <x v="10"/>
    <x v="1"/>
  </r>
  <r>
    <x v="229"/>
    <n v="-23.9"/>
    <x v="535"/>
    <n v="9427.57"/>
    <s v="Complete Access"/>
    <x v="104"/>
    <x v="1"/>
    <x v="5"/>
    <d v="1900-01-05T00:00:00"/>
    <n v="14"/>
    <x v="10"/>
    <x v="1"/>
  </r>
  <r>
    <x v="230"/>
    <n v="-1045.5"/>
    <x v="536"/>
    <n v="9451.4699999999993"/>
    <s v="Complete Access"/>
    <x v="216"/>
    <x v="9"/>
    <x v="36"/>
    <d v="1900-01-04T00:00:00"/>
    <n v="14"/>
    <x v="10"/>
    <x v="1"/>
  </r>
  <r>
    <x v="230"/>
    <n v="-75000"/>
    <x v="537"/>
    <n v="10496.97"/>
    <s v="Complete Access"/>
    <x v="217"/>
    <x v="0"/>
    <x v="0"/>
    <d v="1900-01-04T00:00:00"/>
    <n v="14"/>
    <x v="10"/>
    <x v="1"/>
  </r>
  <r>
    <x v="230"/>
    <n v="75000"/>
    <x v="370"/>
    <n v="85496.97"/>
    <s v="Complete Access"/>
    <x v="36"/>
    <x v="0"/>
    <x v="0"/>
    <d v="1900-01-04T00:00:00"/>
    <n v="14"/>
    <x v="10"/>
    <x v="1"/>
  </r>
  <r>
    <x v="230"/>
    <n v="-10000"/>
    <x v="538"/>
    <n v="10496.97"/>
    <s v="Complete Access"/>
    <x v="0"/>
    <x v="0"/>
    <x v="0"/>
    <d v="1900-01-04T00:00:00"/>
    <n v="14"/>
    <x v="10"/>
    <x v="1"/>
  </r>
  <r>
    <x v="231"/>
    <n v="10000"/>
    <x v="539"/>
    <n v="20496.97"/>
    <s v="Complete Access"/>
    <x v="36"/>
    <x v="0"/>
    <x v="0"/>
    <d v="1900-01-02T00:00:00"/>
    <n v="14"/>
    <x v="10"/>
    <x v="1"/>
  </r>
  <r>
    <x v="231"/>
    <n v="-36.32"/>
    <x v="540"/>
    <n v="10496.97"/>
    <s v="Complete Access"/>
    <x v="8"/>
    <x v="1"/>
    <x v="5"/>
    <d v="1900-01-02T00:00:00"/>
    <n v="14"/>
    <x v="10"/>
    <x v="1"/>
  </r>
  <r>
    <x v="231"/>
    <n v="-8.3800000000000008"/>
    <x v="541"/>
    <n v="10533.29"/>
    <s v="Complete Access"/>
    <x v="218"/>
    <x v="8"/>
    <x v="29"/>
    <d v="1900-01-02T00:00:00"/>
    <n v="14"/>
    <x v="10"/>
    <x v="1"/>
  </r>
  <r>
    <x v="231"/>
    <n v="-9.39"/>
    <x v="541"/>
    <n v="10541.67"/>
    <s v="Complete Access"/>
    <x v="218"/>
    <x v="8"/>
    <x v="29"/>
    <d v="1900-01-02T00:00:00"/>
    <n v="14"/>
    <x v="10"/>
    <x v="1"/>
  </r>
  <r>
    <x v="231"/>
    <n v="-23.9"/>
    <x v="542"/>
    <n v="10551.06"/>
    <s v="Complete Access"/>
    <x v="104"/>
    <x v="1"/>
    <x v="5"/>
    <d v="1900-01-02T00:00:00"/>
    <n v="14"/>
    <x v="10"/>
    <x v="1"/>
  </r>
  <r>
    <x v="231"/>
    <n v="-24.2"/>
    <x v="543"/>
    <n v="10574.96"/>
    <s v="Complete Access"/>
    <x v="8"/>
    <x v="1"/>
    <x v="5"/>
    <d v="1900-01-02T00:00:00"/>
    <n v="14"/>
    <x v="10"/>
    <x v="1"/>
  </r>
  <r>
    <x v="231"/>
    <n v="-45"/>
    <x v="544"/>
    <n v="10599.16"/>
    <s v="Complete Access"/>
    <x v="219"/>
    <x v="7"/>
    <x v="53"/>
    <d v="1900-01-02T00:00:00"/>
    <n v="14"/>
    <x v="10"/>
    <x v="1"/>
  </r>
  <r>
    <x v="232"/>
    <n v="-201.79"/>
    <x v="545"/>
    <n v="10644.16"/>
    <s v="Complete Access"/>
    <x v="76"/>
    <x v="2"/>
    <x v="2"/>
    <d v="1900-01-01T00:00:00"/>
    <n v="14"/>
    <x v="10"/>
    <x v="1"/>
  </r>
  <r>
    <x v="232"/>
    <n v="-35.85"/>
    <x v="405"/>
    <n v="10845.95"/>
    <s v="Complete Access"/>
    <x v="177"/>
    <x v="1"/>
    <x v="1"/>
    <d v="1900-01-01T00:00:00"/>
    <n v="14"/>
    <x v="10"/>
    <x v="1"/>
  </r>
  <r>
    <x v="232"/>
    <n v="-15.65"/>
    <x v="546"/>
    <n v="10881.8"/>
    <s v="Complete Access"/>
    <x v="220"/>
    <x v="1"/>
    <x v="5"/>
    <d v="1900-01-01T00:00:00"/>
    <n v="14"/>
    <x v="10"/>
    <x v="1"/>
  </r>
  <r>
    <x v="233"/>
    <n v="-30.17"/>
    <x v="517"/>
    <n v="10897.45"/>
    <s v="Complete Access"/>
    <x v="34"/>
    <x v="9"/>
    <x v="12"/>
    <d v="1899-12-31T00:00:00"/>
    <n v="14"/>
    <x v="10"/>
    <x v="1"/>
  </r>
  <r>
    <x v="233"/>
    <n v="10000"/>
    <x v="547"/>
    <n v="10927.62"/>
    <s v="Complete Access"/>
    <x v="36"/>
    <x v="0"/>
    <x v="0"/>
    <d v="1899-12-31T00:00:00"/>
    <n v="14"/>
    <x v="10"/>
    <x v="1"/>
  </r>
  <r>
    <x v="234"/>
    <n v="-2"/>
    <x v="548"/>
    <n v="927.62"/>
    <s v="Complete Access"/>
    <x v="13"/>
    <x v="0"/>
    <x v="0"/>
    <d v="1900-01-29T00:00:00"/>
    <n v="13"/>
    <x v="11"/>
    <x v="1"/>
  </r>
  <r>
    <x v="234"/>
    <n v="-1"/>
    <x v="548"/>
    <n v="929.62"/>
    <s v="Complete Access"/>
    <x v="13"/>
    <x v="0"/>
    <x v="0"/>
    <d v="1900-01-29T00:00:00"/>
    <n v="13"/>
    <x v="11"/>
    <x v="1"/>
  </r>
  <r>
    <x v="234"/>
    <n v="-13"/>
    <x v="96"/>
    <n v="930.62"/>
    <s v="Complete Access"/>
    <x v="47"/>
    <x v="1"/>
    <x v="5"/>
    <d v="1900-01-29T00:00:00"/>
    <n v="13"/>
    <x v="11"/>
    <x v="1"/>
  </r>
  <r>
    <x v="235"/>
    <n v="-24000"/>
    <x v="538"/>
    <n v="943.62"/>
    <s v="Complete Access"/>
    <x v="0"/>
    <x v="0"/>
    <x v="0"/>
    <d v="1900-01-28T00:00:00"/>
    <n v="13"/>
    <x v="11"/>
    <x v="1"/>
  </r>
  <r>
    <x v="235"/>
    <n v="10000"/>
    <x v="549"/>
    <n v="24943.62"/>
    <s v="Complete Access"/>
    <x v="36"/>
    <x v="0"/>
    <x v="0"/>
    <d v="1900-01-28T00:00:00"/>
    <n v="13"/>
    <x v="11"/>
    <x v="1"/>
  </r>
  <r>
    <x v="236"/>
    <n v="-11.35"/>
    <x v="454"/>
    <n v="14943.62"/>
    <s v="Complete Access"/>
    <x v="9"/>
    <x v="4"/>
    <x v="6"/>
    <d v="1900-01-27T00:00:00"/>
    <n v="13"/>
    <x v="11"/>
    <x v="1"/>
  </r>
  <r>
    <x v="236"/>
    <n v="10000"/>
    <x v="550"/>
    <n v="14954.97"/>
    <s v="Complete Access"/>
    <x v="36"/>
    <x v="0"/>
    <x v="0"/>
    <d v="1900-01-27T00:00:00"/>
    <n v="13"/>
    <x v="11"/>
    <x v="1"/>
  </r>
  <r>
    <x v="236"/>
    <n v="-500"/>
    <x v="527"/>
    <n v="4954.97"/>
    <s v="Complete Access"/>
    <x v="13"/>
    <x v="0"/>
    <x v="0"/>
    <d v="1900-01-27T00:00:00"/>
    <n v="13"/>
    <x v="11"/>
    <x v="1"/>
  </r>
  <r>
    <x v="236"/>
    <n v="2599.9899999999998"/>
    <x v="551"/>
    <n v="5454.97"/>
    <s v="Complete Access"/>
    <x v="14"/>
    <x v="6"/>
    <x v="9"/>
    <d v="1900-01-27T00:00:00"/>
    <n v="13"/>
    <x v="11"/>
    <x v="1"/>
  </r>
  <r>
    <x v="237"/>
    <n v="-2.8"/>
    <x v="72"/>
    <n v="2854.98"/>
    <s v="Complete Access"/>
    <x v="37"/>
    <x v="0"/>
    <x v="0"/>
    <d v="1900-01-26T00:00:00"/>
    <n v="13"/>
    <x v="11"/>
    <x v="1"/>
  </r>
  <r>
    <x v="237"/>
    <n v="-50"/>
    <x v="552"/>
    <n v="2857.78"/>
    <s v="Complete Access"/>
    <x v="130"/>
    <x v="0"/>
    <x v="0"/>
    <d v="1900-01-26T00:00:00"/>
    <n v="13"/>
    <x v="11"/>
    <x v="1"/>
  </r>
  <r>
    <x v="238"/>
    <n v="-6.99"/>
    <x v="405"/>
    <n v="2907.78"/>
    <s v="Complete Access"/>
    <x v="177"/>
    <x v="1"/>
    <x v="1"/>
    <d v="1900-01-25T00:00:00"/>
    <n v="13"/>
    <x v="11"/>
    <x v="1"/>
  </r>
  <r>
    <x v="238"/>
    <n v="-36.36"/>
    <x v="553"/>
    <n v="2914.77"/>
    <s v="Complete Access"/>
    <x v="104"/>
    <x v="1"/>
    <x v="5"/>
    <d v="1900-01-25T00:00:00"/>
    <n v="13"/>
    <x v="11"/>
    <x v="1"/>
  </r>
  <r>
    <x v="238"/>
    <n v="-25.65"/>
    <x v="554"/>
    <n v="2951.13"/>
    <s v="Complete Access"/>
    <x v="104"/>
    <x v="1"/>
    <x v="5"/>
    <d v="1900-01-25T00:00:00"/>
    <n v="13"/>
    <x v="11"/>
    <x v="1"/>
  </r>
  <r>
    <x v="238"/>
    <n v="-16.47"/>
    <x v="555"/>
    <n v="2976.78"/>
    <s v="Complete Access"/>
    <x v="104"/>
    <x v="1"/>
    <x v="5"/>
    <d v="1900-01-25T00:00:00"/>
    <n v="13"/>
    <x v="11"/>
    <x v="1"/>
  </r>
  <r>
    <x v="239"/>
    <n v="-53.27"/>
    <x v="532"/>
    <n v="2993.25"/>
    <s v="Complete Access"/>
    <x v="1"/>
    <x v="1"/>
    <x v="1"/>
    <d v="1900-01-24T00:00:00"/>
    <n v="13"/>
    <x v="11"/>
    <x v="1"/>
  </r>
  <r>
    <x v="239"/>
    <n v="-20000"/>
    <x v="538"/>
    <n v="3046.52"/>
    <s v="Complete Access"/>
    <x v="0"/>
    <x v="0"/>
    <x v="0"/>
    <d v="1900-01-24T00:00:00"/>
    <n v="13"/>
    <x v="11"/>
    <x v="1"/>
  </r>
  <r>
    <x v="240"/>
    <n v="10000"/>
    <x v="556"/>
    <n v="23046.52"/>
    <s v="Complete Access"/>
    <x v="36"/>
    <x v="0"/>
    <x v="0"/>
    <d v="1900-01-23T00:00:00"/>
    <n v="13"/>
    <x v="11"/>
    <x v="1"/>
  </r>
  <r>
    <x v="240"/>
    <n v="-14.21"/>
    <x v="557"/>
    <n v="13046.52"/>
    <s v="Complete Access"/>
    <x v="221"/>
    <x v="1"/>
    <x v="5"/>
    <d v="1900-01-23T00:00:00"/>
    <n v="13"/>
    <x v="11"/>
    <x v="1"/>
  </r>
  <r>
    <x v="240"/>
    <n v="-13.52"/>
    <x v="405"/>
    <n v="13060.73"/>
    <s v="Complete Access"/>
    <x v="177"/>
    <x v="1"/>
    <x v="1"/>
    <d v="1900-01-23T00:00:00"/>
    <n v="13"/>
    <x v="11"/>
    <x v="1"/>
  </r>
  <r>
    <x v="240"/>
    <n v="-10.82"/>
    <x v="533"/>
    <n v="13074.25"/>
    <s v="Complete Access"/>
    <x v="215"/>
    <x v="1"/>
    <x v="1"/>
    <d v="1900-01-23T00:00:00"/>
    <n v="13"/>
    <x v="11"/>
    <x v="1"/>
  </r>
  <r>
    <x v="241"/>
    <n v="10000"/>
    <x v="558"/>
    <n v="13085.07"/>
    <s v="Complete Access"/>
    <x v="36"/>
    <x v="0"/>
    <x v="0"/>
    <d v="1900-01-21T00:00:00"/>
    <n v="12"/>
    <x v="11"/>
    <x v="1"/>
  </r>
  <r>
    <x v="241"/>
    <n v="-12.98"/>
    <x v="559"/>
    <n v="3085.07"/>
    <s v="Complete Access"/>
    <x v="222"/>
    <x v="11"/>
    <x v="14"/>
    <d v="1900-01-21T00:00:00"/>
    <n v="12"/>
    <x v="11"/>
    <x v="1"/>
  </r>
  <r>
    <x v="241"/>
    <n v="-69"/>
    <x v="560"/>
    <n v="3098.05"/>
    <s v="Complete Access"/>
    <x v="207"/>
    <x v="7"/>
    <x v="11"/>
    <d v="1900-01-21T00:00:00"/>
    <n v="12"/>
    <x v="11"/>
    <x v="1"/>
  </r>
  <r>
    <x v="241"/>
    <n v="-43"/>
    <x v="561"/>
    <n v="3167.05"/>
    <s v="Complete Access"/>
    <x v="223"/>
    <x v="7"/>
    <x v="53"/>
    <d v="1900-01-21T00:00:00"/>
    <n v="12"/>
    <x v="11"/>
    <x v="1"/>
  </r>
  <r>
    <x v="242"/>
    <n v="-4.5"/>
    <x v="562"/>
    <n v="3210.05"/>
    <s v="Complete Access"/>
    <x v="224"/>
    <x v="9"/>
    <x v="32"/>
    <d v="1900-01-20T00:00:00"/>
    <n v="12"/>
    <x v="11"/>
    <x v="1"/>
  </r>
  <r>
    <x v="242"/>
    <n v="-29.99"/>
    <x v="563"/>
    <n v="3214.55"/>
    <s v="Complete Access"/>
    <x v="222"/>
    <x v="11"/>
    <x v="14"/>
    <d v="1900-01-20T00:00:00"/>
    <n v="12"/>
    <x v="11"/>
    <x v="1"/>
  </r>
  <r>
    <x v="242"/>
    <n v="-134.72999999999999"/>
    <x v="564"/>
    <n v="3244.54"/>
    <s v="Complete Access"/>
    <x v="3"/>
    <x v="2"/>
    <x v="2"/>
    <d v="1900-01-20T00:00:00"/>
    <n v="12"/>
    <x v="11"/>
    <x v="1"/>
  </r>
  <r>
    <x v="243"/>
    <n v="-155"/>
    <x v="565"/>
    <n v="3379.27"/>
    <s v="Complete Access"/>
    <x v="0"/>
    <x v="0"/>
    <x v="0"/>
    <d v="1900-01-19T00:00:00"/>
    <n v="12"/>
    <x v="11"/>
    <x v="1"/>
  </r>
  <r>
    <x v="243"/>
    <n v="-20.03"/>
    <x v="566"/>
    <n v="3534.27"/>
    <s v="Complete Access"/>
    <x v="212"/>
    <x v="9"/>
    <x v="12"/>
    <d v="1900-01-19T00:00:00"/>
    <n v="12"/>
    <x v="11"/>
    <x v="1"/>
  </r>
  <r>
    <x v="243"/>
    <n v="-36.58"/>
    <x v="567"/>
    <n v="3554.3"/>
    <s v="Complete Access"/>
    <x v="79"/>
    <x v="15"/>
    <x v="34"/>
    <d v="1900-01-19T00:00:00"/>
    <n v="12"/>
    <x v="11"/>
    <x v="1"/>
  </r>
  <r>
    <x v="244"/>
    <n v="-2.8"/>
    <x v="72"/>
    <n v="3590.88"/>
    <s v="Complete Access"/>
    <x v="37"/>
    <x v="0"/>
    <x v="0"/>
    <d v="1900-01-18T00:00:00"/>
    <n v="12"/>
    <x v="11"/>
    <x v="1"/>
  </r>
  <r>
    <x v="244"/>
    <n v="-20"/>
    <x v="552"/>
    <n v="3593.68"/>
    <s v="Complete Access"/>
    <x v="130"/>
    <x v="0"/>
    <x v="0"/>
    <d v="1900-01-18T00:00:00"/>
    <n v="12"/>
    <x v="11"/>
    <x v="1"/>
  </r>
  <r>
    <x v="244"/>
    <n v="-8.6999999999999993"/>
    <x v="531"/>
    <n v="3613.68"/>
    <s v="Complete Access"/>
    <x v="215"/>
    <x v="1"/>
    <x v="1"/>
    <d v="1900-01-18T00:00:00"/>
    <n v="12"/>
    <x v="11"/>
    <x v="1"/>
  </r>
  <r>
    <x v="244"/>
    <n v="-73.88"/>
    <x v="568"/>
    <n v="3622.38"/>
    <s v="Complete Access"/>
    <x v="104"/>
    <x v="1"/>
    <x v="5"/>
    <d v="1900-01-18T00:00:00"/>
    <n v="12"/>
    <x v="11"/>
    <x v="1"/>
  </r>
  <r>
    <x v="244"/>
    <n v="-36.36"/>
    <x v="569"/>
    <n v="3696.26"/>
    <s v="Complete Access"/>
    <x v="104"/>
    <x v="1"/>
    <x v="5"/>
    <d v="1900-01-18T00:00:00"/>
    <n v="12"/>
    <x v="11"/>
    <x v="1"/>
  </r>
  <r>
    <x v="245"/>
    <n v="-8.3800000000000008"/>
    <x v="570"/>
    <n v="3732.62"/>
    <s v="Complete Access"/>
    <x v="218"/>
    <x v="8"/>
    <x v="29"/>
    <d v="1900-01-17T00:00:00"/>
    <n v="12"/>
    <x v="11"/>
    <x v="1"/>
  </r>
  <r>
    <x v="246"/>
    <n v="-8.08"/>
    <x v="571"/>
    <n v="3741"/>
    <s v="Complete Access"/>
    <x v="225"/>
    <x v="1"/>
    <x v="5"/>
    <d v="1900-01-15T00:00:00"/>
    <n v="11"/>
    <x v="11"/>
    <x v="1"/>
  </r>
  <r>
    <x v="246"/>
    <n v="-30"/>
    <x v="572"/>
    <n v="3749.08"/>
    <s v="Complete Access"/>
    <x v="226"/>
    <x v="1"/>
    <x v="29"/>
    <d v="1900-01-15T00:00:00"/>
    <n v="11"/>
    <x v="11"/>
    <x v="1"/>
  </r>
  <r>
    <x v="246"/>
    <n v="-3000"/>
    <x v="573"/>
    <n v="3779.08"/>
    <s v="Complete Access"/>
    <x v="227"/>
    <x v="13"/>
    <x v="54"/>
    <d v="1900-01-15T00:00:00"/>
    <n v="11"/>
    <x v="11"/>
    <x v="1"/>
  </r>
  <r>
    <x v="246"/>
    <n v="6.42"/>
    <x v="574"/>
    <n v="6779.08"/>
    <s v="Complete Access"/>
    <x v="228"/>
    <x v="4"/>
    <x v="7"/>
    <d v="1900-01-15T00:00:00"/>
    <n v="11"/>
    <x v="11"/>
    <x v="1"/>
  </r>
  <r>
    <x v="246"/>
    <n v="23.09"/>
    <x v="574"/>
    <n v="6772.66"/>
    <s v="Complete Access"/>
    <x v="228"/>
    <x v="4"/>
    <x v="7"/>
    <d v="1900-01-15T00:00:00"/>
    <n v="11"/>
    <x v="11"/>
    <x v="1"/>
  </r>
  <r>
    <x v="246"/>
    <n v="23.09"/>
    <x v="574"/>
    <n v="6749.57"/>
    <s v="Complete Access"/>
    <x v="228"/>
    <x v="4"/>
    <x v="7"/>
    <d v="1900-01-15T00:00:00"/>
    <n v="11"/>
    <x v="11"/>
    <x v="1"/>
  </r>
  <r>
    <x v="246"/>
    <n v="7.5"/>
    <x v="574"/>
    <n v="6726.48"/>
    <s v="Complete Access"/>
    <x v="228"/>
    <x v="4"/>
    <x v="7"/>
    <d v="1900-01-15T00:00:00"/>
    <n v="11"/>
    <x v="11"/>
    <x v="1"/>
  </r>
  <r>
    <x v="246"/>
    <n v="-23.09"/>
    <x v="575"/>
    <n v="6718.98"/>
    <s v="Complete Access"/>
    <x v="228"/>
    <x v="4"/>
    <x v="7"/>
    <d v="1900-01-15T00:00:00"/>
    <n v="11"/>
    <x v="11"/>
    <x v="1"/>
  </r>
  <r>
    <x v="246"/>
    <n v="-23.09"/>
    <x v="576"/>
    <n v="6742.07"/>
    <s v="Complete Access"/>
    <x v="228"/>
    <x v="4"/>
    <x v="7"/>
    <d v="1900-01-15T00:00:00"/>
    <n v="11"/>
    <x v="11"/>
    <x v="1"/>
  </r>
  <r>
    <x v="246"/>
    <n v="-16"/>
    <x v="577"/>
    <n v="6765.16"/>
    <s v="Complete Access"/>
    <x v="229"/>
    <x v="13"/>
    <x v="54"/>
    <d v="1900-01-15T00:00:00"/>
    <n v="11"/>
    <x v="11"/>
    <x v="1"/>
  </r>
  <r>
    <x v="246"/>
    <n v="-17.22"/>
    <x v="578"/>
    <n v="6781.16"/>
    <s v="Complete Access"/>
    <x v="177"/>
    <x v="1"/>
    <x v="1"/>
    <d v="1900-01-15T00:00:00"/>
    <n v="11"/>
    <x v="11"/>
    <x v="1"/>
  </r>
  <r>
    <x v="247"/>
    <n v="15"/>
    <x v="579"/>
    <n v="6798.38"/>
    <s v="Complete Access"/>
    <x v="36"/>
    <x v="0"/>
    <x v="0"/>
    <d v="1900-01-14T00:00:00"/>
    <n v="11"/>
    <x v="11"/>
    <x v="1"/>
  </r>
  <r>
    <x v="247"/>
    <n v="-2000"/>
    <x v="580"/>
    <n v="6783.38"/>
    <s v="Complete Access"/>
    <x v="227"/>
    <x v="13"/>
    <x v="54"/>
    <d v="1900-01-14T00:00:00"/>
    <n v="11"/>
    <x v="11"/>
    <x v="1"/>
  </r>
  <r>
    <x v="247"/>
    <n v="4000"/>
    <x v="370"/>
    <n v="8783.3799999999992"/>
    <s v="Complete Access"/>
    <x v="36"/>
    <x v="0"/>
    <x v="0"/>
    <d v="1900-01-14T00:00:00"/>
    <n v="11"/>
    <x v="11"/>
    <x v="1"/>
  </r>
  <r>
    <x v="247"/>
    <n v="-4000"/>
    <x v="581"/>
    <n v="20945.41"/>
    <s v="Netbank Saver"/>
    <x v="0"/>
    <x v="0"/>
    <x v="0"/>
    <d v="1900-01-14T00:00:00"/>
    <n v="11"/>
    <x v="11"/>
    <x v="1"/>
  </r>
  <r>
    <x v="248"/>
    <n v="-11.35"/>
    <x v="454"/>
    <n v="4783.38"/>
    <s v="Complete Access"/>
    <x v="9"/>
    <x v="4"/>
    <x v="6"/>
    <d v="1900-01-13T00:00:00"/>
    <n v="11"/>
    <x v="11"/>
    <x v="1"/>
  </r>
  <r>
    <x v="248"/>
    <n v="-7.8"/>
    <x v="533"/>
    <n v="4794.7299999999996"/>
    <s v="Complete Access"/>
    <x v="215"/>
    <x v="1"/>
    <x v="1"/>
    <d v="1900-01-13T00:00:00"/>
    <n v="11"/>
    <x v="11"/>
    <x v="1"/>
  </r>
  <r>
    <x v="248"/>
    <n v="-29307.5"/>
    <x v="582"/>
    <n v="4802.53"/>
    <s v="Complete Access"/>
    <x v="230"/>
    <x v="13"/>
    <x v="54"/>
    <d v="1900-01-13T00:00:00"/>
    <n v="11"/>
    <x v="11"/>
    <x v="1"/>
  </r>
  <r>
    <x v="248"/>
    <n v="20000"/>
    <x v="583"/>
    <n v="34110.03"/>
    <s v="Complete Access"/>
    <x v="36"/>
    <x v="0"/>
    <x v="0"/>
    <d v="1900-01-13T00:00:00"/>
    <n v="11"/>
    <x v="11"/>
    <x v="1"/>
  </r>
  <r>
    <x v="248"/>
    <n v="-27.1"/>
    <x v="584"/>
    <n v="14110.03"/>
    <s v="Complete Access"/>
    <x v="231"/>
    <x v="1"/>
    <x v="5"/>
    <d v="1900-01-13T00:00:00"/>
    <n v="11"/>
    <x v="11"/>
    <x v="1"/>
  </r>
  <r>
    <x v="248"/>
    <n v="-20000"/>
    <x v="585"/>
    <n v="24945.41"/>
    <s v="Netbank Saver"/>
    <x v="13"/>
    <x v="0"/>
    <x v="0"/>
    <d v="1900-01-13T00:00:00"/>
    <n v="11"/>
    <x v="11"/>
    <x v="1"/>
  </r>
  <r>
    <x v="248"/>
    <n v="3203.84"/>
    <x v="586"/>
    <n v="14637.13"/>
    <s v="Complete Access"/>
    <x v="14"/>
    <x v="6"/>
    <x v="9"/>
    <d v="1900-01-13T00:00:00"/>
    <n v="11"/>
    <x v="11"/>
    <x v="1"/>
  </r>
  <r>
    <x v="248"/>
    <n v="-500"/>
    <x v="527"/>
    <n v="14137.13"/>
    <s v="Complete Access"/>
    <x v="13"/>
    <x v="0"/>
    <x v="0"/>
    <d v="1900-01-13T00:00:00"/>
    <n v="11"/>
    <x v="11"/>
    <x v="1"/>
  </r>
  <r>
    <x v="249"/>
    <n v="-78.5"/>
    <x v="587"/>
    <n v="11433.29"/>
    <s v="Complete Access"/>
    <x v="232"/>
    <x v="3"/>
    <x v="15"/>
    <d v="1900-01-12T00:00:00"/>
    <n v="11"/>
    <x v="11"/>
    <x v="1"/>
  </r>
  <r>
    <x v="249"/>
    <n v="-9.3800000000000008"/>
    <x v="588"/>
    <n v="11511.79"/>
    <s v="Complete Access"/>
    <x v="233"/>
    <x v="8"/>
    <x v="29"/>
    <d v="1900-01-12T00:00:00"/>
    <n v="11"/>
    <x v="11"/>
    <x v="1"/>
  </r>
  <r>
    <x v="249"/>
    <n v="-21.49"/>
    <x v="588"/>
    <n v="11521.17"/>
    <s v="Complete Access"/>
    <x v="233"/>
    <x v="8"/>
    <x v="29"/>
    <d v="1900-01-12T00:00:00"/>
    <n v="11"/>
    <x v="11"/>
    <x v="1"/>
  </r>
  <r>
    <x v="249"/>
    <n v="-9.3800000000000008"/>
    <x v="588"/>
    <n v="11542.66"/>
    <s v="Complete Access"/>
    <x v="233"/>
    <x v="8"/>
    <x v="29"/>
    <d v="1900-01-12T00:00:00"/>
    <n v="11"/>
    <x v="11"/>
    <x v="1"/>
  </r>
  <r>
    <x v="249"/>
    <n v="-1"/>
    <x v="589"/>
    <n v="11552.04"/>
    <s v="Complete Access"/>
    <x v="10"/>
    <x v="0"/>
    <x v="0"/>
    <d v="1900-01-12T00:00:00"/>
    <n v="11"/>
    <x v="11"/>
    <x v="1"/>
  </r>
  <r>
    <x v="249"/>
    <n v="-33.28"/>
    <x v="590"/>
    <n v="11553.04"/>
    <s v="Complete Access"/>
    <x v="11"/>
    <x v="4"/>
    <x v="7"/>
    <d v="1900-01-12T00:00:00"/>
    <n v="11"/>
    <x v="11"/>
    <x v="1"/>
  </r>
  <r>
    <x v="249"/>
    <n v="-20.03"/>
    <x v="591"/>
    <n v="11586.32"/>
    <s v="Complete Access"/>
    <x v="34"/>
    <x v="9"/>
    <x v="12"/>
    <d v="1900-01-12T00:00:00"/>
    <n v="11"/>
    <x v="11"/>
    <x v="1"/>
  </r>
  <r>
    <x v="249"/>
    <n v="-29.38"/>
    <x v="592"/>
    <n v="11606.35"/>
    <s v="Complete Access"/>
    <x v="8"/>
    <x v="1"/>
    <x v="5"/>
    <d v="1900-01-12T00:00:00"/>
    <n v="11"/>
    <x v="11"/>
    <x v="1"/>
  </r>
  <r>
    <x v="249"/>
    <n v="-40"/>
    <x v="593"/>
    <n v="11635.73"/>
    <s v="Complete Access"/>
    <x v="12"/>
    <x v="5"/>
    <x v="8"/>
    <d v="1900-01-12T00:00:00"/>
    <n v="11"/>
    <x v="11"/>
    <x v="1"/>
  </r>
  <r>
    <x v="250"/>
    <n v="-23.43"/>
    <x v="578"/>
    <n v="11675.73"/>
    <s v="Complete Access"/>
    <x v="177"/>
    <x v="1"/>
    <x v="1"/>
    <d v="1900-01-11T00:00:00"/>
    <n v="11"/>
    <x v="11"/>
    <x v="1"/>
  </r>
  <r>
    <x v="250"/>
    <n v="-1.5"/>
    <x v="517"/>
    <n v="11699.16"/>
    <s v="Complete Access"/>
    <x v="34"/>
    <x v="9"/>
    <x v="12"/>
    <d v="1900-01-11T00:00:00"/>
    <n v="11"/>
    <x v="11"/>
    <x v="1"/>
  </r>
  <r>
    <x v="250"/>
    <n v="-15"/>
    <x v="18"/>
    <n v="11700.66"/>
    <s v="Complete Access"/>
    <x v="16"/>
    <x v="1"/>
    <x v="5"/>
    <d v="1900-01-11T00:00:00"/>
    <n v="11"/>
    <x v="11"/>
    <x v="1"/>
  </r>
  <r>
    <x v="250"/>
    <n v="-39.93"/>
    <x v="594"/>
    <n v="11715.66"/>
    <s v="Complete Access"/>
    <x v="8"/>
    <x v="1"/>
    <x v="5"/>
    <d v="1900-01-11T00:00:00"/>
    <n v="11"/>
    <x v="11"/>
    <x v="1"/>
  </r>
  <r>
    <x v="251"/>
    <n v="-8"/>
    <x v="532"/>
    <n v="11755.59"/>
    <s v="Complete Access"/>
    <x v="1"/>
    <x v="1"/>
    <x v="1"/>
    <d v="1900-01-10T00:00:00"/>
    <n v="11"/>
    <x v="11"/>
    <x v="1"/>
  </r>
  <r>
    <x v="252"/>
    <n v="-13.88"/>
    <x v="595"/>
    <n v="11784.59"/>
    <s v="Complete Access"/>
    <x v="234"/>
    <x v="8"/>
    <x v="29"/>
    <d v="1900-01-09T00:00:00"/>
    <n v="11"/>
    <x v="11"/>
    <x v="1"/>
  </r>
  <r>
    <x v="252"/>
    <n v="-21"/>
    <x v="596"/>
    <n v="11763.59"/>
    <s v="Complete Access"/>
    <x v="0"/>
    <x v="0"/>
    <x v="0"/>
    <d v="1900-01-09T00:00:00"/>
    <n v="11"/>
    <x v="11"/>
    <x v="1"/>
  </r>
  <r>
    <x v="253"/>
    <n v="150"/>
    <x v="597"/>
    <n v="11798.47"/>
    <s v="Complete Access"/>
    <x v="36"/>
    <x v="0"/>
    <x v="0"/>
    <d v="1900-01-08T00:00:00"/>
    <n v="10"/>
    <x v="11"/>
    <x v="1"/>
  </r>
  <r>
    <x v="253"/>
    <n v="-8.4"/>
    <x v="532"/>
    <n v="11648.47"/>
    <s v="Complete Access"/>
    <x v="1"/>
    <x v="1"/>
    <x v="1"/>
    <d v="1900-01-08T00:00:00"/>
    <n v="10"/>
    <x v="11"/>
    <x v="1"/>
  </r>
  <r>
    <x v="254"/>
    <n v="-31.17"/>
    <x v="405"/>
    <n v="11656.87"/>
    <s v="Complete Access"/>
    <x v="177"/>
    <x v="1"/>
    <x v="1"/>
    <d v="1900-01-07T00:00:00"/>
    <n v="10"/>
    <x v="11"/>
    <x v="1"/>
  </r>
  <r>
    <x v="254"/>
    <n v="-17.36"/>
    <x v="531"/>
    <n v="11688.04"/>
    <s v="Complete Access"/>
    <x v="215"/>
    <x v="1"/>
    <x v="1"/>
    <d v="1900-01-07T00:00:00"/>
    <n v="10"/>
    <x v="11"/>
    <x v="1"/>
  </r>
  <r>
    <x v="255"/>
    <n v="-11"/>
    <x v="405"/>
    <n v="11705.4"/>
    <s v="Complete Access"/>
    <x v="177"/>
    <x v="1"/>
    <x v="1"/>
    <d v="1900-01-06T00:00:00"/>
    <n v="10"/>
    <x v="11"/>
    <x v="1"/>
  </r>
  <r>
    <x v="255"/>
    <n v="-2"/>
    <x v="598"/>
    <n v="11716.4"/>
    <s v="Complete Access"/>
    <x v="235"/>
    <x v="9"/>
    <x v="32"/>
    <d v="1900-01-06T00:00:00"/>
    <n v="10"/>
    <x v="11"/>
    <x v="1"/>
  </r>
  <r>
    <x v="256"/>
    <n v="-31.94"/>
    <x v="599"/>
    <n v="11718.4"/>
    <s v="Complete Access"/>
    <x v="79"/>
    <x v="15"/>
    <x v="34"/>
    <d v="1900-01-05T00:00:00"/>
    <n v="10"/>
    <x v="11"/>
    <x v="1"/>
  </r>
  <r>
    <x v="257"/>
    <n v="-10.66"/>
    <x v="600"/>
    <n v="11750.34"/>
    <s v="Complete Access"/>
    <x v="236"/>
    <x v="8"/>
    <x v="29"/>
    <d v="1900-01-04T00:00:00"/>
    <n v="10"/>
    <x v="11"/>
    <x v="1"/>
  </r>
  <r>
    <x v="257"/>
    <n v="-19.87"/>
    <x v="601"/>
    <n v="11761"/>
    <s v="Complete Access"/>
    <x v="237"/>
    <x v="15"/>
    <x v="34"/>
    <d v="1900-01-04T00:00:00"/>
    <n v="10"/>
    <x v="11"/>
    <x v="1"/>
  </r>
  <r>
    <x v="257"/>
    <n v="-27.93"/>
    <x v="602"/>
    <n v="11780.87"/>
    <s v="Complete Access"/>
    <x v="34"/>
    <x v="9"/>
    <x v="12"/>
    <d v="1900-01-04T00:00:00"/>
    <n v="10"/>
    <x v="11"/>
    <x v="1"/>
  </r>
  <r>
    <x v="257"/>
    <n v="-25.89"/>
    <x v="603"/>
    <n v="11808.8"/>
    <s v="Complete Access"/>
    <x v="8"/>
    <x v="1"/>
    <x v="5"/>
    <d v="1900-01-04T00:00:00"/>
    <n v="10"/>
    <x v="11"/>
    <x v="1"/>
  </r>
  <r>
    <x v="258"/>
    <n v="-26.54"/>
    <x v="531"/>
    <n v="11834.69"/>
    <s v="Complete Access"/>
    <x v="215"/>
    <x v="1"/>
    <x v="1"/>
    <d v="1900-01-03T00:00:00"/>
    <n v="10"/>
    <x v="11"/>
    <x v="1"/>
  </r>
  <r>
    <x v="259"/>
    <n v="-27.04"/>
    <x v="405"/>
    <n v="11861.23"/>
    <s v="Complete Access"/>
    <x v="177"/>
    <x v="1"/>
    <x v="1"/>
    <d v="1900-01-02T00:00:00"/>
    <n v="10"/>
    <x v="11"/>
    <x v="1"/>
  </r>
  <r>
    <x v="259"/>
    <n v="10000"/>
    <x v="604"/>
    <n v="11888.27"/>
    <s v="Complete Access"/>
    <x v="36"/>
    <x v="0"/>
    <x v="0"/>
    <d v="1900-01-02T00:00:00"/>
    <n v="10"/>
    <x v="11"/>
    <x v="1"/>
  </r>
  <r>
    <x v="260"/>
    <n v="-11.42"/>
    <x v="605"/>
    <n v="1888.27"/>
    <s v="Complete Access"/>
    <x v="238"/>
    <x v="8"/>
    <x v="29"/>
    <d v="1899-12-31T00:00:00"/>
    <n v="9"/>
    <x v="11"/>
    <x v="1"/>
  </r>
  <r>
    <x v="260"/>
    <n v="-195.05"/>
    <x v="606"/>
    <n v="1899.69"/>
    <s v="Complete Access"/>
    <x v="76"/>
    <x v="2"/>
    <x v="2"/>
    <d v="1899-12-31T00:00:00"/>
    <n v="9"/>
    <x v="11"/>
    <x v="1"/>
  </r>
  <r>
    <x v="260"/>
    <n v="-18.5"/>
    <x v="607"/>
    <n v="2094.7399999999998"/>
    <s v="Complete Access"/>
    <x v="239"/>
    <x v="8"/>
    <x v="22"/>
    <d v="1899-12-31T00:00:00"/>
    <n v="9"/>
    <x v="11"/>
    <x v="1"/>
  </r>
  <r>
    <x v="260"/>
    <n v="-11.75"/>
    <x v="608"/>
    <n v="2113.2399999999998"/>
    <s v="Complete Access"/>
    <x v="236"/>
    <x v="8"/>
    <x v="29"/>
    <d v="1899-12-31T00:00:00"/>
    <n v="9"/>
    <x v="11"/>
    <x v="1"/>
  </r>
  <r>
    <x v="260"/>
    <n v="84.34"/>
    <x v="609"/>
    <n v="44945.41"/>
    <s v="Netbank Saver"/>
    <x v="240"/>
    <x v="0"/>
    <x v="55"/>
    <d v="1899-12-31T00:00:00"/>
    <n v="9"/>
    <x v="11"/>
    <x v="1"/>
  </r>
  <r>
    <x v="261"/>
    <n v="-11.35"/>
    <x v="454"/>
    <n v="2124.9899999999998"/>
    <s v="Complete Access"/>
    <x v="9"/>
    <x v="4"/>
    <x v="6"/>
    <d v="1900-01-28T00:00:00"/>
    <n v="9"/>
    <x v="0"/>
    <x v="1"/>
  </r>
  <r>
    <x v="261"/>
    <n v="2348.84"/>
    <x v="610"/>
    <n v="2636.34"/>
    <s v="Complete Access"/>
    <x v="14"/>
    <x v="6"/>
    <x v="9"/>
    <d v="1900-01-28T00:00:00"/>
    <n v="9"/>
    <x v="0"/>
    <x v="1"/>
  </r>
  <r>
    <x v="261"/>
    <n v="-500"/>
    <x v="527"/>
    <n v="2136.34"/>
    <s v="Complete Access"/>
    <x v="13"/>
    <x v="0"/>
    <x v="0"/>
    <d v="1900-01-28T00:00:00"/>
    <n v="9"/>
    <x v="0"/>
    <x v="1"/>
  </r>
  <r>
    <x v="262"/>
    <n v="-20"/>
    <x v="8"/>
    <n v="287.5"/>
    <s v="Complete Access"/>
    <x v="7"/>
    <x v="1"/>
    <x v="5"/>
    <d v="1900-01-27T00:00:00"/>
    <n v="9"/>
    <x v="0"/>
    <x v="1"/>
  </r>
  <r>
    <x v="262"/>
    <n v="-1542.5"/>
    <x v="611"/>
    <n v="307.5"/>
    <s v="Complete Access"/>
    <x v="230"/>
    <x v="13"/>
    <x v="54"/>
    <d v="1900-01-27T00:00:00"/>
    <n v="9"/>
    <x v="0"/>
    <x v="1"/>
  </r>
  <r>
    <x v="263"/>
    <n v="-13.19"/>
    <x v="578"/>
    <n v="1850"/>
    <s v="Complete Access"/>
    <x v="177"/>
    <x v="1"/>
    <x v="1"/>
    <d v="1900-01-26T00:00:00"/>
    <n v="9"/>
    <x v="0"/>
    <x v="1"/>
  </r>
  <r>
    <x v="263"/>
    <n v="-25.44"/>
    <x v="531"/>
    <n v="1863.19"/>
    <s v="Complete Access"/>
    <x v="215"/>
    <x v="1"/>
    <x v="1"/>
    <d v="1900-01-26T00:00:00"/>
    <n v="9"/>
    <x v="0"/>
    <x v="1"/>
  </r>
  <r>
    <x v="263"/>
    <n v="150"/>
    <x v="612"/>
    <n v="1888.63"/>
    <s v="Complete Access"/>
    <x v="36"/>
    <x v="0"/>
    <x v="0"/>
    <d v="1900-01-26T00:00:00"/>
    <n v="9"/>
    <x v="0"/>
    <x v="1"/>
  </r>
  <r>
    <x v="263"/>
    <n v="-26.06"/>
    <x v="613"/>
    <n v="1738.63"/>
    <s v="Complete Access"/>
    <x v="241"/>
    <x v="1"/>
    <x v="5"/>
    <d v="1900-01-26T00:00:00"/>
    <n v="9"/>
    <x v="0"/>
    <x v="1"/>
  </r>
  <r>
    <x v="263"/>
    <n v="-34.36"/>
    <x v="614"/>
    <n v="1764.69"/>
    <s v="Complete Access"/>
    <x v="104"/>
    <x v="1"/>
    <x v="5"/>
    <d v="1900-01-26T00:00:00"/>
    <n v="9"/>
    <x v="0"/>
    <x v="1"/>
  </r>
  <r>
    <x v="264"/>
    <n v="-16"/>
    <x v="8"/>
    <n v="1799.05"/>
    <s v="Complete Access"/>
    <x v="7"/>
    <x v="1"/>
    <x v="5"/>
    <d v="1900-01-25T00:00:00"/>
    <n v="9"/>
    <x v="0"/>
    <x v="1"/>
  </r>
  <r>
    <x v="265"/>
    <n v="-18.75"/>
    <x v="615"/>
    <n v="1815.05"/>
    <s v="Complete Access"/>
    <x v="47"/>
    <x v="1"/>
    <x v="5"/>
    <d v="1900-01-23T00:00:00"/>
    <n v="8"/>
    <x v="0"/>
    <x v="1"/>
  </r>
  <r>
    <x v="265"/>
    <n v="-29.99"/>
    <x v="616"/>
    <n v="1833.8"/>
    <s v="Complete Access"/>
    <x v="228"/>
    <x v="4"/>
    <x v="7"/>
    <d v="1900-01-23T00:00:00"/>
    <n v="8"/>
    <x v="0"/>
    <x v="1"/>
  </r>
  <r>
    <x v="266"/>
    <n v="-29"/>
    <x v="617"/>
    <n v="1863.79"/>
    <s v="Complete Access"/>
    <x v="206"/>
    <x v="13"/>
    <x v="50"/>
    <d v="1900-01-22T00:00:00"/>
    <n v="8"/>
    <x v="0"/>
    <x v="1"/>
  </r>
  <r>
    <x v="266"/>
    <n v="-29"/>
    <x v="618"/>
    <n v="1892.79"/>
    <s v="Complete Access"/>
    <x v="206"/>
    <x v="13"/>
    <x v="50"/>
    <d v="1900-01-22T00:00:00"/>
    <n v="8"/>
    <x v="0"/>
    <x v="1"/>
  </r>
  <r>
    <x v="266"/>
    <n v="-29.99"/>
    <x v="616"/>
    <n v="1921.79"/>
    <s v="Complete Access"/>
    <x v="228"/>
    <x v="4"/>
    <x v="7"/>
    <d v="1900-01-22T00:00:00"/>
    <n v="8"/>
    <x v="0"/>
    <x v="1"/>
  </r>
  <r>
    <x v="267"/>
    <n v="-17.2"/>
    <x v="619"/>
    <n v="1994.78"/>
    <s v="Complete Access"/>
    <x v="242"/>
    <x v="1"/>
    <x v="5"/>
    <d v="1900-01-21T00:00:00"/>
    <n v="8"/>
    <x v="0"/>
    <x v="1"/>
  </r>
  <r>
    <x v="267"/>
    <n v="-3.85"/>
    <x v="620"/>
    <n v="2011.98"/>
    <s v="Complete Access"/>
    <x v="188"/>
    <x v="1"/>
    <x v="1"/>
    <d v="1900-01-21T00:00:00"/>
    <n v="8"/>
    <x v="0"/>
    <x v="1"/>
  </r>
  <r>
    <x v="267"/>
    <n v="-43"/>
    <x v="561"/>
    <n v="1951.78"/>
    <s v="Complete Access"/>
    <x v="223"/>
    <x v="7"/>
    <x v="53"/>
    <d v="1900-01-21T00:00:00"/>
    <n v="8"/>
    <x v="0"/>
    <x v="1"/>
  </r>
  <r>
    <x v="268"/>
    <n v="-3.75"/>
    <x v="621"/>
    <n v="2015.83"/>
    <s v="Complete Access"/>
    <x v="220"/>
    <x v="1"/>
    <x v="5"/>
    <d v="1900-01-20T00:00:00"/>
    <n v="8"/>
    <x v="0"/>
    <x v="1"/>
  </r>
  <r>
    <x v="268"/>
    <n v="-16"/>
    <x v="8"/>
    <n v="2019.58"/>
    <s v="Complete Access"/>
    <x v="7"/>
    <x v="1"/>
    <x v="5"/>
    <d v="1900-01-20T00:00:00"/>
    <n v="8"/>
    <x v="0"/>
    <x v="1"/>
  </r>
  <r>
    <x v="268"/>
    <n v="-101.61"/>
    <x v="622"/>
    <n v="2035.58"/>
    <s v="Complete Access"/>
    <x v="1"/>
    <x v="1"/>
    <x v="1"/>
    <d v="1900-01-20T00:00:00"/>
    <n v="8"/>
    <x v="0"/>
    <x v="1"/>
  </r>
  <r>
    <x v="268"/>
    <n v="-40"/>
    <x v="623"/>
    <n v="2137.19"/>
    <s v="Complete Access"/>
    <x v="12"/>
    <x v="5"/>
    <x v="8"/>
    <d v="1900-01-20T00:00:00"/>
    <n v="8"/>
    <x v="0"/>
    <x v="1"/>
  </r>
  <r>
    <x v="269"/>
    <n v="300"/>
    <x v="624"/>
    <n v="2177.19"/>
    <s v="Complete Access"/>
    <x v="36"/>
    <x v="0"/>
    <x v="0"/>
    <d v="1900-01-18T00:00:00"/>
    <n v="8"/>
    <x v="0"/>
    <x v="1"/>
  </r>
  <r>
    <x v="269"/>
    <n v="-3.2"/>
    <x v="532"/>
    <n v="1877.19"/>
    <s v="Complete Access"/>
    <x v="1"/>
    <x v="1"/>
    <x v="1"/>
    <d v="1900-01-18T00:00:00"/>
    <n v="8"/>
    <x v="0"/>
    <x v="1"/>
  </r>
  <r>
    <x v="269"/>
    <n v="-15"/>
    <x v="18"/>
    <n v="1880.39"/>
    <s v="Complete Access"/>
    <x v="16"/>
    <x v="1"/>
    <x v="5"/>
    <d v="1900-01-18T00:00:00"/>
    <n v="8"/>
    <x v="0"/>
    <x v="1"/>
  </r>
  <r>
    <x v="270"/>
    <n v="-34.880000000000003"/>
    <x v="70"/>
    <n v="1895.39"/>
    <s v="Complete Access"/>
    <x v="8"/>
    <x v="1"/>
    <x v="5"/>
    <d v="1900-01-17T00:00:00"/>
    <n v="8"/>
    <x v="0"/>
    <x v="1"/>
  </r>
  <r>
    <x v="270"/>
    <n v="-13.88"/>
    <x v="595"/>
    <n v="1930.27"/>
    <s v="Complete Access"/>
    <x v="234"/>
    <x v="8"/>
    <x v="29"/>
    <d v="1900-01-17T00:00:00"/>
    <n v="8"/>
    <x v="0"/>
    <x v="1"/>
  </r>
  <r>
    <x v="271"/>
    <n v="-39"/>
    <x v="625"/>
    <n v="1944.15"/>
    <s v="Complete Access"/>
    <x v="206"/>
    <x v="13"/>
    <x v="50"/>
    <d v="1900-01-16T00:00:00"/>
    <n v="7"/>
    <x v="0"/>
    <x v="1"/>
  </r>
  <r>
    <x v="271"/>
    <n v="-29"/>
    <x v="626"/>
    <n v="1983.15"/>
    <s v="Complete Access"/>
    <x v="206"/>
    <x v="13"/>
    <x v="50"/>
    <d v="1900-01-16T00:00:00"/>
    <n v="7"/>
    <x v="0"/>
    <x v="1"/>
  </r>
  <r>
    <x v="272"/>
    <n v="-29"/>
    <x v="627"/>
    <n v="2012.15"/>
    <s v="Complete Access"/>
    <x v="206"/>
    <x v="13"/>
    <x v="50"/>
    <d v="1900-01-15T00:00:00"/>
    <n v="7"/>
    <x v="0"/>
    <x v="1"/>
  </r>
  <r>
    <x v="272"/>
    <n v="-69"/>
    <x v="628"/>
    <n v="2041.15"/>
    <s v="Complete Access"/>
    <x v="207"/>
    <x v="7"/>
    <x v="11"/>
    <d v="1900-01-15T00:00:00"/>
    <n v="7"/>
    <x v="0"/>
    <x v="1"/>
  </r>
  <r>
    <x v="273"/>
    <n v="-11.35"/>
    <x v="454"/>
    <n v="2110.15"/>
    <s v="Complete Access"/>
    <x v="9"/>
    <x v="4"/>
    <x v="6"/>
    <d v="1900-01-14T00:00:00"/>
    <n v="7"/>
    <x v="0"/>
    <x v="1"/>
  </r>
  <r>
    <x v="273"/>
    <n v="-10.130000000000001"/>
    <x v="531"/>
    <n v="2121.5"/>
    <s v="Complete Access"/>
    <x v="215"/>
    <x v="1"/>
    <x v="1"/>
    <d v="1900-01-14T00:00:00"/>
    <n v="7"/>
    <x v="0"/>
    <x v="1"/>
  </r>
  <r>
    <x v="273"/>
    <n v="2348.84"/>
    <x v="629"/>
    <n v="2631.63"/>
    <s v="Complete Access"/>
    <x v="14"/>
    <x v="6"/>
    <x v="9"/>
    <d v="1900-01-14T00:00:00"/>
    <n v="7"/>
    <x v="0"/>
    <x v="1"/>
  </r>
  <r>
    <x v="273"/>
    <n v="-500"/>
    <x v="527"/>
    <n v="2131.63"/>
    <s v="Complete Access"/>
    <x v="13"/>
    <x v="0"/>
    <x v="0"/>
    <d v="1900-01-14T00:00:00"/>
    <n v="7"/>
    <x v="0"/>
    <x v="1"/>
  </r>
  <r>
    <x v="274"/>
    <n v="-91.81"/>
    <x v="405"/>
    <n v="582.79"/>
    <s v="Complete Access"/>
    <x v="177"/>
    <x v="1"/>
    <x v="1"/>
    <d v="1900-01-13T00:00:00"/>
    <n v="7"/>
    <x v="0"/>
    <x v="1"/>
  </r>
  <r>
    <x v="274"/>
    <n v="-15"/>
    <x v="18"/>
    <n v="674.6"/>
    <s v="Complete Access"/>
    <x v="16"/>
    <x v="1"/>
    <x v="5"/>
    <d v="1900-01-13T00:00:00"/>
    <n v="7"/>
    <x v="0"/>
    <x v="1"/>
  </r>
  <r>
    <x v="274"/>
    <n v="-41.19"/>
    <x v="630"/>
    <n v="689.6"/>
    <s v="Complete Access"/>
    <x v="104"/>
    <x v="1"/>
    <x v="5"/>
    <d v="1900-01-13T00:00:00"/>
    <n v="7"/>
    <x v="0"/>
    <x v="1"/>
  </r>
  <r>
    <x v="274"/>
    <n v="-27.11"/>
    <x v="631"/>
    <n v="730.79"/>
    <s v="Complete Access"/>
    <x v="79"/>
    <x v="15"/>
    <x v="34"/>
    <d v="1900-01-13T00:00:00"/>
    <n v="7"/>
    <x v="0"/>
    <x v="1"/>
  </r>
  <r>
    <x v="274"/>
    <n v="-300"/>
    <x v="632"/>
    <n v="282.79000000000002"/>
    <s v="Complete Access"/>
    <x v="0"/>
    <x v="0"/>
    <x v="0"/>
    <d v="1900-01-13T00:00:00"/>
    <n v="7"/>
    <x v="0"/>
    <x v="1"/>
  </r>
  <r>
    <x v="275"/>
    <n v="-16"/>
    <x v="8"/>
    <n v="757.9"/>
    <s v="Complete Access"/>
    <x v="7"/>
    <x v="1"/>
    <x v="5"/>
    <d v="1900-01-12T00:00:00"/>
    <n v="7"/>
    <x v="0"/>
    <x v="1"/>
  </r>
  <r>
    <x v="275"/>
    <n v="-50"/>
    <x v="633"/>
    <n v="773.9"/>
    <s v="Complete Access"/>
    <x v="243"/>
    <x v="1"/>
    <x v="23"/>
    <d v="1900-01-12T00:00:00"/>
    <n v="7"/>
    <x v="0"/>
    <x v="1"/>
  </r>
  <r>
    <x v="275"/>
    <n v="-1.02"/>
    <x v="634"/>
    <n v="823.9"/>
    <s v="Complete Access"/>
    <x v="10"/>
    <x v="0"/>
    <x v="0"/>
    <d v="1900-01-12T00:00:00"/>
    <n v="7"/>
    <x v="0"/>
    <x v="1"/>
  </r>
  <r>
    <x v="275"/>
    <n v="-33.93"/>
    <x v="635"/>
    <n v="824.92"/>
    <s v="Complete Access"/>
    <x v="11"/>
    <x v="4"/>
    <x v="7"/>
    <d v="1900-01-12T00:00:00"/>
    <n v="7"/>
    <x v="0"/>
    <x v="1"/>
  </r>
  <r>
    <x v="275"/>
    <n v="-34.36"/>
    <x v="636"/>
    <n v="858.85"/>
    <s v="Complete Access"/>
    <x v="104"/>
    <x v="1"/>
    <x v="5"/>
    <d v="1900-01-12T00:00:00"/>
    <n v="7"/>
    <x v="0"/>
    <x v="1"/>
  </r>
  <r>
    <x v="275"/>
    <n v="-10.039999999999999"/>
    <x v="637"/>
    <n v="893.21"/>
    <s v="Complete Access"/>
    <x v="56"/>
    <x v="9"/>
    <x v="31"/>
    <d v="1900-01-12T00:00:00"/>
    <n v="7"/>
    <x v="0"/>
    <x v="1"/>
  </r>
  <r>
    <x v="275"/>
    <n v="-40"/>
    <x v="638"/>
    <n v="903.25"/>
    <s v="Complete Access"/>
    <x v="12"/>
    <x v="5"/>
    <x v="8"/>
    <d v="1900-01-12T00:00:00"/>
    <n v="7"/>
    <x v="0"/>
    <x v="1"/>
  </r>
  <r>
    <x v="276"/>
    <n v="-16.5"/>
    <x v="8"/>
    <n v="943.25"/>
    <s v="Complete Access"/>
    <x v="7"/>
    <x v="1"/>
    <x v="5"/>
    <d v="1900-01-11T00:00:00"/>
    <n v="7"/>
    <x v="0"/>
    <x v="1"/>
  </r>
  <r>
    <x v="277"/>
    <n v="800"/>
    <x v="370"/>
    <n v="959.75"/>
    <s v="Complete Access"/>
    <x v="36"/>
    <x v="0"/>
    <x v="0"/>
    <d v="1900-01-10T00:00:00"/>
    <n v="7"/>
    <x v="0"/>
    <x v="1"/>
  </r>
  <r>
    <x v="277"/>
    <n v="-3.5"/>
    <x v="639"/>
    <n v="159.75"/>
    <s v="Complete Access"/>
    <x v="1"/>
    <x v="1"/>
    <x v="1"/>
    <d v="1900-01-10T00:00:00"/>
    <n v="7"/>
    <x v="0"/>
    <x v="1"/>
  </r>
  <r>
    <x v="277"/>
    <n v="-13.88"/>
    <x v="595"/>
    <n v="163.25"/>
    <s v="Complete Access"/>
    <x v="234"/>
    <x v="8"/>
    <x v="29"/>
    <d v="1900-01-10T00:00:00"/>
    <n v="7"/>
    <x v="0"/>
    <x v="1"/>
  </r>
  <r>
    <x v="277"/>
    <n v="100"/>
    <x v="370"/>
    <n v="177.13"/>
    <s v="Complete Access"/>
    <x v="36"/>
    <x v="0"/>
    <x v="0"/>
    <d v="1900-01-10T00:00:00"/>
    <n v="7"/>
    <x v="0"/>
    <x v="1"/>
  </r>
  <r>
    <x v="277"/>
    <n v="-800"/>
    <x v="581"/>
    <n v="44861.07"/>
    <s v="Netbank Saver"/>
    <x v="0"/>
    <x v="0"/>
    <x v="0"/>
    <d v="1900-01-10T00:00:00"/>
    <n v="7"/>
    <x v="0"/>
    <x v="1"/>
  </r>
  <r>
    <x v="277"/>
    <n v="-100"/>
    <x v="581"/>
    <n v="45661.07"/>
    <s v="Netbank Saver"/>
    <x v="0"/>
    <x v="0"/>
    <x v="0"/>
    <d v="1900-01-10T00:00:00"/>
    <n v="7"/>
    <x v="0"/>
    <x v="1"/>
  </r>
  <r>
    <x v="278"/>
    <n v="-6.09"/>
    <x v="640"/>
    <n v="132.13"/>
    <s v="Complete Access"/>
    <x v="244"/>
    <x v="8"/>
    <x v="29"/>
    <d v="1900-01-09T00:00:00"/>
    <n v="6"/>
    <x v="0"/>
    <x v="1"/>
  </r>
  <r>
    <x v="278"/>
    <n v="-29"/>
    <x v="641"/>
    <n v="138.22"/>
    <s v="Complete Access"/>
    <x v="206"/>
    <x v="13"/>
    <x v="50"/>
    <d v="1900-01-09T00:00:00"/>
    <n v="6"/>
    <x v="0"/>
    <x v="1"/>
  </r>
  <r>
    <x v="278"/>
    <n v="-44.48"/>
    <x v="642"/>
    <n v="167.22"/>
    <s v="Complete Access"/>
    <x v="245"/>
    <x v="1"/>
    <x v="5"/>
    <d v="1900-01-09T00:00:00"/>
    <n v="6"/>
    <x v="0"/>
    <x v="1"/>
  </r>
  <r>
    <x v="278"/>
    <n v="-55"/>
    <x v="643"/>
    <n v="77.13"/>
    <s v="Complete Access"/>
    <x v="0"/>
    <x v="0"/>
    <x v="0"/>
    <d v="1900-01-09T00:00:00"/>
    <n v="6"/>
    <x v="0"/>
    <x v="1"/>
  </r>
  <r>
    <x v="279"/>
    <n v="99.5"/>
    <x v="644"/>
    <n v="211.7"/>
    <s v="Complete Access"/>
    <x v="246"/>
    <x v="15"/>
    <x v="56"/>
    <d v="1900-01-08T00:00:00"/>
    <n v="6"/>
    <x v="0"/>
    <x v="1"/>
  </r>
  <r>
    <x v="280"/>
    <n v="-99.5"/>
    <x v="645"/>
    <n v="112.2"/>
    <s v="Complete Access"/>
    <x v="246"/>
    <x v="15"/>
    <x v="56"/>
    <d v="1900-01-07T00:00:00"/>
    <n v="6"/>
    <x v="0"/>
    <x v="1"/>
  </r>
  <r>
    <x v="281"/>
    <n v="-60"/>
    <x v="646"/>
    <n v="211.7"/>
    <s v="Complete Access"/>
    <x v="247"/>
    <x v="9"/>
    <x v="57"/>
    <d v="1900-01-06T00:00:00"/>
    <n v="6"/>
    <x v="0"/>
    <x v="1"/>
  </r>
  <r>
    <x v="281"/>
    <n v="-14.99"/>
    <x v="647"/>
    <n v="271.7"/>
    <s v="Complete Access"/>
    <x v="248"/>
    <x v="3"/>
    <x v="58"/>
    <d v="1900-01-06T00:00:00"/>
    <n v="6"/>
    <x v="0"/>
    <x v="1"/>
  </r>
  <r>
    <x v="281"/>
    <n v="-1302.76"/>
    <x v="648"/>
    <n v="286.69"/>
    <s v="Complete Access"/>
    <x v="246"/>
    <x v="15"/>
    <x v="56"/>
    <d v="1900-01-06T00:00:00"/>
    <n v="6"/>
    <x v="0"/>
    <x v="1"/>
  </r>
  <r>
    <x v="282"/>
    <n v="-3.75"/>
    <x v="621"/>
    <n v="1589.45"/>
    <s v="Complete Access"/>
    <x v="220"/>
    <x v="1"/>
    <x v="5"/>
    <d v="1900-01-05T00:00:00"/>
    <n v="6"/>
    <x v="0"/>
    <x v="1"/>
  </r>
  <r>
    <x v="282"/>
    <n v="-16.5"/>
    <x v="8"/>
    <n v="1593.2"/>
    <s v="Complete Access"/>
    <x v="7"/>
    <x v="1"/>
    <x v="5"/>
    <d v="1900-01-05T00:00:00"/>
    <n v="6"/>
    <x v="0"/>
    <x v="1"/>
  </r>
  <r>
    <x v="282"/>
    <n v="-29"/>
    <x v="649"/>
    <n v="1609.7"/>
    <s v="Complete Access"/>
    <x v="206"/>
    <x v="13"/>
    <x v="50"/>
    <d v="1900-01-05T00:00:00"/>
    <n v="6"/>
    <x v="0"/>
    <x v="1"/>
  </r>
  <r>
    <x v="282"/>
    <n v="-19"/>
    <x v="650"/>
    <n v="1638.7"/>
    <s v="Complete Access"/>
    <x v="243"/>
    <x v="1"/>
    <x v="23"/>
    <d v="1900-01-05T00:00:00"/>
    <n v="6"/>
    <x v="0"/>
    <x v="1"/>
  </r>
  <r>
    <x v="283"/>
    <n v="-30.13"/>
    <x v="578"/>
    <n v="1657.7"/>
    <s v="Complete Access"/>
    <x v="177"/>
    <x v="1"/>
    <x v="1"/>
    <d v="1900-01-04T00:00:00"/>
    <n v="6"/>
    <x v="0"/>
    <x v="1"/>
  </r>
  <r>
    <x v="283"/>
    <n v="-20"/>
    <x v="8"/>
    <n v="1687.83"/>
    <s v="Complete Access"/>
    <x v="7"/>
    <x v="1"/>
    <x v="5"/>
    <d v="1900-01-04T00:00:00"/>
    <n v="6"/>
    <x v="0"/>
    <x v="1"/>
  </r>
  <r>
    <x v="284"/>
    <n v="-13"/>
    <x v="651"/>
    <n v="1711.02"/>
    <s v="Complete Access"/>
    <x v="188"/>
    <x v="1"/>
    <x v="1"/>
    <d v="1900-01-01T00:00:00"/>
    <n v="5"/>
    <x v="0"/>
    <x v="1"/>
  </r>
  <r>
    <x v="284"/>
    <n v="-3.19"/>
    <x v="531"/>
    <n v="1707.83"/>
    <s v="Complete Access"/>
    <x v="215"/>
    <x v="1"/>
    <x v="1"/>
    <d v="1900-01-01T00:00:00"/>
    <n v="5"/>
    <x v="0"/>
    <x v="1"/>
  </r>
  <r>
    <x v="285"/>
    <n v="-296"/>
    <x v="652"/>
    <n v="2234.42"/>
    <s v="Complete Access"/>
    <x v="217"/>
    <x v="0"/>
    <x v="0"/>
    <d v="1899-12-31T00:00:00"/>
    <n v="5"/>
    <x v="0"/>
    <x v="1"/>
  </r>
  <r>
    <x v="285"/>
    <n v="2348.84"/>
    <x v="653"/>
    <n v="3030.44"/>
    <s v="Complete Access"/>
    <x v="14"/>
    <x v="6"/>
    <x v="9"/>
    <d v="1899-12-31T00:00:00"/>
    <n v="5"/>
    <x v="0"/>
    <x v="1"/>
  </r>
  <r>
    <x v="285"/>
    <n v="-4"/>
    <x v="531"/>
    <n v="2230.42"/>
    <s v="Complete Access"/>
    <x v="215"/>
    <x v="1"/>
    <x v="1"/>
    <d v="1899-12-31T00:00:00"/>
    <n v="5"/>
    <x v="0"/>
    <x v="1"/>
  </r>
  <r>
    <x v="285"/>
    <n v="-195.05"/>
    <x v="654"/>
    <n v="1724.02"/>
    <s v="Complete Access"/>
    <x v="76"/>
    <x v="2"/>
    <x v="2"/>
    <d v="1899-12-31T00:00:00"/>
    <n v="5"/>
    <x v="0"/>
    <x v="1"/>
  </r>
  <r>
    <x v="285"/>
    <n v="-11.35"/>
    <x v="454"/>
    <n v="1919.07"/>
    <s v="Complete Access"/>
    <x v="9"/>
    <x v="4"/>
    <x v="6"/>
    <d v="1899-12-31T00:00:00"/>
    <n v="5"/>
    <x v="0"/>
    <x v="1"/>
  </r>
  <r>
    <x v="285"/>
    <n v="-0.02"/>
    <x v="655"/>
    <n v="2530.42"/>
    <s v="Complete Access"/>
    <x v="249"/>
    <x v="0"/>
    <x v="0"/>
    <d v="1899-12-31T00:00:00"/>
    <n v="5"/>
    <x v="0"/>
    <x v="1"/>
  </r>
  <r>
    <x v="285"/>
    <n v="91.35"/>
    <x v="609"/>
    <n v="45761.07"/>
    <s v="Netbank Saver"/>
    <x v="240"/>
    <x v="0"/>
    <x v="55"/>
    <d v="1899-12-31T00:00:00"/>
    <n v="5"/>
    <x v="0"/>
    <x v="1"/>
  </r>
  <r>
    <x v="285"/>
    <n v="-500"/>
    <x v="656"/>
    <n v="2530.44"/>
    <s v="Complete Access"/>
    <x v="13"/>
    <x v="0"/>
    <x v="0"/>
    <d v="1899-12-31T00:00:00"/>
    <n v="5"/>
    <x v="0"/>
    <x v="1"/>
  </r>
  <r>
    <x v="285"/>
    <n v="-300"/>
    <x v="657"/>
    <n v="1930.42"/>
    <s v="Complete Access"/>
    <x v="0"/>
    <x v="0"/>
    <x v="0"/>
    <d v="1899-12-31T00:00:00"/>
    <n v="5"/>
    <x v="0"/>
    <x v="1"/>
  </r>
  <r>
    <x v="286"/>
    <n v="-40"/>
    <x v="658"/>
    <n v="811.26"/>
    <s v="Complete Access"/>
    <x v="12"/>
    <x v="5"/>
    <x v="8"/>
    <d v="1900-01-30T00:00:00"/>
    <n v="5"/>
    <x v="1"/>
    <x v="1"/>
  </r>
  <r>
    <x v="286"/>
    <n v="-19.149999999999999"/>
    <x v="659"/>
    <n v="766.47"/>
    <s v="Complete Access"/>
    <x v="220"/>
    <x v="1"/>
    <x v="5"/>
    <d v="1900-01-30T00:00:00"/>
    <n v="5"/>
    <x v="1"/>
    <x v="1"/>
  </r>
  <r>
    <x v="286"/>
    <n v="-25.64"/>
    <x v="660"/>
    <n v="785.62"/>
    <s v="Complete Access"/>
    <x v="237"/>
    <x v="15"/>
    <x v="34"/>
    <d v="1900-01-30T00:00:00"/>
    <n v="5"/>
    <x v="1"/>
    <x v="1"/>
  </r>
  <r>
    <x v="286"/>
    <n v="-0.25"/>
    <x v="532"/>
    <n v="681.6"/>
    <s v="Complete Access"/>
    <x v="1"/>
    <x v="1"/>
    <x v="1"/>
    <d v="1900-01-30T00:00:00"/>
    <n v="5"/>
    <x v="1"/>
    <x v="1"/>
  </r>
  <r>
    <x v="286"/>
    <n v="-84.62"/>
    <x v="532"/>
    <n v="681.85"/>
    <s v="Complete Access"/>
    <x v="1"/>
    <x v="1"/>
    <x v="1"/>
    <d v="1900-01-30T00:00:00"/>
    <n v="5"/>
    <x v="1"/>
    <x v="1"/>
  </r>
  <r>
    <x v="287"/>
    <n v="-46.21"/>
    <x v="661"/>
    <n v="978.17"/>
    <s v="Complete Access"/>
    <x v="8"/>
    <x v="1"/>
    <x v="5"/>
    <d v="1900-01-29T00:00:00"/>
    <n v="5"/>
    <x v="1"/>
    <x v="1"/>
  </r>
  <r>
    <x v="287"/>
    <n v="-18.18"/>
    <x v="662"/>
    <n v="871.26"/>
    <s v="Complete Access"/>
    <x v="218"/>
    <x v="8"/>
    <x v="29"/>
    <d v="1900-01-29T00:00:00"/>
    <n v="5"/>
    <x v="1"/>
    <x v="1"/>
  </r>
  <r>
    <x v="287"/>
    <n v="-9.6"/>
    <x v="662"/>
    <n v="889.44"/>
    <s v="Complete Access"/>
    <x v="218"/>
    <x v="8"/>
    <x v="29"/>
    <d v="1900-01-29T00:00:00"/>
    <n v="5"/>
    <x v="1"/>
    <x v="1"/>
  </r>
  <r>
    <x v="287"/>
    <n v="-22.62"/>
    <x v="662"/>
    <n v="899.04"/>
    <s v="Complete Access"/>
    <x v="218"/>
    <x v="8"/>
    <x v="29"/>
    <d v="1900-01-29T00:00:00"/>
    <n v="5"/>
    <x v="1"/>
    <x v="1"/>
  </r>
  <r>
    <x v="287"/>
    <n v="-28.28"/>
    <x v="662"/>
    <n v="921.66"/>
    <s v="Complete Access"/>
    <x v="218"/>
    <x v="8"/>
    <x v="29"/>
    <d v="1900-01-29T00:00:00"/>
    <n v="5"/>
    <x v="1"/>
    <x v="1"/>
  </r>
  <r>
    <x v="287"/>
    <n v="-20"/>
    <x v="8"/>
    <n v="851.26"/>
    <s v="Complete Access"/>
    <x v="7"/>
    <x v="1"/>
    <x v="5"/>
    <d v="1900-01-29T00:00:00"/>
    <n v="5"/>
    <x v="1"/>
    <x v="1"/>
  </r>
  <r>
    <x v="287"/>
    <n v="-28.23"/>
    <x v="663"/>
    <n v="949.94"/>
    <s v="Complete Access"/>
    <x v="104"/>
    <x v="1"/>
    <x v="5"/>
    <d v="1900-01-29T00:00:00"/>
    <n v="5"/>
    <x v="1"/>
    <x v="1"/>
  </r>
  <r>
    <x v="288"/>
    <n v="-105.75"/>
    <x v="664"/>
    <n v="1024.3800000000001"/>
    <s v="Complete Access"/>
    <x v="250"/>
    <x v="18"/>
    <x v="59"/>
    <d v="1900-01-28T00:00:00"/>
    <n v="5"/>
    <x v="1"/>
    <x v="1"/>
  </r>
  <r>
    <x v="289"/>
    <n v="-35.68"/>
    <x v="405"/>
    <n v="1186.5899999999999"/>
    <s v="Complete Access"/>
    <x v="177"/>
    <x v="1"/>
    <x v="1"/>
    <d v="1900-01-26T00:00:00"/>
    <n v="4"/>
    <x v="1"/>
    <x v="1"/>
  </r>
  <r>
    <x v="289"/>
    <n v="-56.46"/>
    <x v="532"/>
    <n v="1130.1300000000001"/>
    <s v="Complete Access"/>
    <x v="1"/>
    <x v="1"/>
    <x v="1"/>
    <d v="1900-01-26T00:00:00"/>
    <n v="4"/>
    <x v="1"/>
    <x v="1"/>
  </r>
  <r>
    <x v="290"/>
    <n v="-27.39"/>
    <x v="665"/>
    <n v="1222.27"/>
    <s v="Complete Access"/>
    <x v="8"/>
    <x v="1"/>
    <x v="5"/>
    <d v="1900-01-25T00:00:00"/>
    <n v="4"/>
    <x v="1"/>
    <x v="1"/>
  </r>
  <r>
    <x v="290"/>
    <n v="-11"/>
    <x v="96"/>
    <n v="1249.6600000000001"/>
    <s v="Complete Access"/>
    <x v="47"/>
    <x v="1"/>
    <x v="5"/>
    <d v="1900-01-25T00:00:00"/>
    <n v="4"/>
    <x v="1"/>
    <x v="1"/>
  </r>
  <r>
    <x v="291"/>
    <n v="-19.95"/>
    <x v="28"/>
    <n v="1260.6600000000001"/>
    <s v="Complete Access"/>
    <x v="20"/>
    <x v="9"/>
    <x v="12"/>
    <d v="1900-01-24T00:00:00"/>
    <n v="4"/>
    <x v="1"/>
    <x v="1"/>
  </r>
  <r>
    <x v="291"/>
    <n v="-21.36"/>
    <x v="531"/>
    <n v="1280.6099999999999"/>
    <s v="Complete Access"/>
    <x v="215"/>
    <x v="1"/>
    <x v="1"/>
    <d v="1900-01-24T00:00:00"/>
    <n v="4"/>
    <x v="1"/>
    <x v="1"/>
  </r>
  <r>
    <x v="291"/>
    <n v="-29.99"/>
    <x v="666"/>
    <n v="1301.97"/>
    <s v="Complete Access"/>
    <x v="228"/>
    <x v="4"/>
    <x v="7"/>
    <d v="1900-01-24T00:00:00"/>
    <n v="4"/>
    <x v="1"/>
    <x v="1"/>
  </r>
  <r>
    <x v="292"/>
    <n v="-29.99"/>
    <x v="616"/>
    <n v="1331.96"/>
    <s v="Complete Access"/>
    <x v="228"/>
    <x v="4"/>
    <x v="7"/>
    <d v="1900-01-23T00:00:00"/>
    <n v="4"/>
    <x v="1"/>
    <x v="1"/>
  </r>
  <r>
    <x v="293"/>
    <n v="-39.49"/>
    <x v="667"/>
    <n v="1415.88"/>
    <s v="Complete Access"/>
    <x v="8"/>
    <x v="1"/>
    <x v="5"/>
    <d v="1900-01-22T00:00:00"/>
    <n v="4"/>
    <x v="1"/>
    <x v="1"/>
  </r>
  <r>
    <x v="293"/>
    <n v="-51.29"/>
    <x v="668"/>
    <n v="1455.37"/>
    <s v="Complete Access"/>
    <x v="8"/>
    <x v="1"/>
    <x v="5"/>
    <d v="1900-01-22T00:00:00"/>
    <n v="4"/>
    <x v="1"/>
    <x v="1"/>
  </r>
  <r>
    <x v="293"/>
    <n v="-8.49"/>
    <x v="669"/>
    <n v="1361.95"/>
    <s v="Complete Access"/>
    <x v="251"/>
    <x v="3"/>
    <x v="26"/>
    <d v="1900-01-22T00:00:00"/>
    <n v="4"/>
    <x v="1"/>
    <x v="1"/>
  </r>
  <r>
    <x v="293"/>
    <n v="-7"/>
    <x v="670"/>
    <n v="1389.8"/>
    <s v="Complete Access"/>
    <x v="252"/>
    <x v="1"/>
    <x v="5"/>
    <d v="1900-01-22T00:00:00"/>
    <n v="4"/>
    <x v="1"/>
    <x v="1"/>
  </r>
  <r>
    <x v="293"/>
    <n v="-3.96"/>
    <x v="670"/>
    <n v="1396.8"/>
    <s v="Complete Access"/>
    <x v="252"/>
    <x v="1"/>
    <x v="5"/>
    <d v="1900-01-22T00:00:00"/>
    <n v="4"/>
    <x v="1"/>
    <x v="1"/>
  </r>
  <r>
    <x v="293"/>
    <n v="-15.12"/>
    <x v="670"/>
    <n v="1400.76"/>
    <s v="Complete Access"/>
    <x v="252"/>
    <x v="1"/>
    <x v="5"/>
    <d v="1900-01-22T00:00:00"/>
    <n v="4"/>
    <x v="1"/>
    <x v="1"/>
  </r>
  <r>
    <x v="293"/>
    <n v="-2.5"/>
    <x v="531"/>
    <n v="1387.3"/>
    <s v="Complete Access"/>
    <x v="215"/>
    <x v="1"/>
    <x v="1"/>
    <d v="1900-01-22T00:00:00"/>
    <n v="4"/>
    <x v="1"/>
    <x v="1"/>
  </r>
  <r>
    <x v="293"/>
    <n v="-16.86"/>
    <x v="405"/>
    <n v="1370.44"/>
    <s v="Complete Access"/>
    <x v="177"/>
    <x v="1"/>
    <x v="1"/>
    <d v="1900-01-22T00:00:00"/>
    <n v="4"/>
    <x v="1"/>
    <x v="1"/>
  </r>
  <r>
    <x v="293"/>
    <n v="-26.67"/>
    <x v="671"/>
    <n v="1506.66"/>
    <s v="Complete Access"/>
    <x v="5"/>
    <x v="3"/>
    <x v="3"/>
    <d v="1900-01-22T00:00:00"/>
    <n v="4"/>
    <x v="1"/>
    <x v="1"/>
  </r>
  <r>
    <x v="294"/>
    <n v="-16"/>
    <x v="8"/>
    <n v="1832.33"/>
    <s v="Complete Access"/>
    <x v="7"/>
    <x v="1"/>
    <x v="5"/>
    <d v="1900-01-21T00:00:00"/>
    <n v="4"/>
    <x v="1"/>
    <x v="1"/>
  </r>
  <r>
    <x v="294"/>
    <n v="-299"/>
    <x v="672"/>
    <n v="1533.33"/>
    <s v="Complete Access"/>
    <x v="206"/>
    <x v="13"/>
    <x v="50"/>
    <d v="1900-01-21T00:00:00"/>
    <n v="4"/>
    <x v="1"/>
    <x v="1"/>
  </r>
  <r>
    <x v="294"/>
    <n v="-39.5"/>
    <x v="561"/>
    <n v="1848.33"/>
    <s v="Complete Access"/>
    <x v="223"/>
    <x v="7"/>
    <x v="53"/>
    <d v="1900-01-21T00:00:00"/>
    <n v="4"/>
    <x v="1"/>
    <x v="1"/>
  </r>
  <r>
    <x v="295"/>
    <n v="-69"/>
    <x v="673"/>
    <n v="1887.83"/>
    <s v="Complete Access"/>
    <x v="207"/>
    <x v="7"/>
    <x v="11"/>
    <d v="1900-01-18T00:00:00"/>
    <n v="3"/>
    <x v="1"/>
    <x v="1"/>
  </r>
  <r>
    <x v="295"/>
    <n v="-29"/>
    <x v="674"/>
    <n v="1956.83"/>
    <s v="Complete Access"/>
    <x v="206"/>
    <x v="13"/>
    <x v="50"/>
    <d v="1900-01-18T00:00:00"/>
    <n v="3"/>
    <x v="1"/>
    <x v="1"/>
  </r>
  <r>
    <x v="296"/>
    <n v="2348.83"/>
    <x v="675"/>
    <n v="2531.39"/>
    <s v="Complete Access"/>
    <x v="14"/>
    <x v="6"/>
    <x v="9"/>
    <d v="1900-01-17T00:00:00"/>
    <n v="3"/>
    <x v="1"/>
    <x v="1"/>
  </r>
  <r>
    <x v="296"/>
    <n v="-9.2100000000000009"/>
    <x v="531"/>
    <n v="1997.18"/>
    <s v="Complete Access"/>
    <x v="215"/>
    <x v="1"/>
    <x v="1"/>
    <d v="1900-01-17T00:00:00"/>
    <n v="3"/>
    <x v="1"/>
    <x v="1"/>
  </r>
  <r>
    <x v="296"/>
    <n v="-25"/>
    <x v="676"/>
    <n v="2006.39"/>
    <s v="Complete Access"/>
    <x v="253"/>
    <x v="3"/>
    <x v="60"/>
    <d v="1900-01-17T00:00:00"/>
    <n v="3"/>
    <x v="1"/>
    <x v="1"/>
  </r>
  <r>
    <x v="296"/>
    <n v="-11.35"/>
    <x v="454"/>
    <n v="1985.83"/>
    <s v="Complete Access"/>
    <x v="9"/>
    <x v="4"/>
    <x v="6"/>
    <d v="1900-01-17T00:00:00"/>
    <n v="3"/>
    <x v="1"/>
    <x v="1"/>
  </r>
  <r>
    <x v="296"/>
    <n v="-500"/>
    <x v="656"/>
    <n v="2031.39"/>
    <s v="Complete Access"/>
    <x v="13"/>
    <x v="0"/>
    <x v="0"/>
    <d v="1900-01-17T00:00:00"/>
    <n v="3"/>
    <x v="1"/>
    <x v="1"/>
  </r>
  <r>
    <x v="297"/>
    <n v="-40"/>
    <x v="677"/>
    <n v="239.68"/>
    <s v="Complete Access"/>
    <x v="12"/>
    <x v="5"/>
    <x v="8"/>
    <d v="1900-01-16T00:00:00"/>
    <n v="3"/>
    <x v="1"/>
    <x v="1"/>
  </r>
  <r>
    <x v="297"/>
    <n v="-57.12"/>
    <x v="678"/>
    <n v="182.56"/>
    <s v="Complete Access"/>
    <x v="1"/>
    <x v="1"/>
    <x v="1"/>
    <d v="1900-01-16T00:00:00"/>
    <n v="3"/>
    <x v="1"/>
    <x v="1"/>
  </r>
  <r>
    <x v="298"/>
    <n v="-10.6"/>
    <x v="679"/>
    <n v="296.18"/>
    <s v="Complete Access"/>
    <x v="218"/>
    <x v="8"/>
    <x v="29"/>
    <d v="1900-01-15T00:00:00"/>
    <n v="3"/>
    <x v="1"/>
    <x v="1"/>
  </r>
  <r>
    <x v="298"/>
    <n v="-16.5"/>
    <x v="8"/>
    <n v="279.68"/>
    <s v="Complete Access"/>
    <x v="7"/>
    <x v="1"/>
    <x v="5"/>
    <d v="1900-01-15T00:00:00"/>
    <n v="3"/>
    <x v="1"/>
    <x v="1"/>
  </r>
  <r>
    <x v="298"/>
    <n v="-23.24"/>
    <x v="680"/>
    <n v="306.77999999999997"/>
    <s v="Complete Access"/>
    <x v="104"/>
    <x v="1"/>
    <x v="5"/>
    <d v="1900-01-15T00:00:00"/>
    <n v="3"/>
    <x v="1"/>
    <x v="1"/>
  </r>
  <r>
    <x v="299"/>
    <n v="-14.5"/>
    <x v="18"/>
    <n v="358.52"/>
    <s v="Complete Access"/>
    <x v="16"/>
    <x v="1"/>
    <x v="5"/>
    <d v="1900-01-14T00:00:00"/>
    <n v="3"/>
    <x v="1"/>
    <x v="1"/>
  </r>
  <r>
    <x v="299"/>
    <n v="-28.5"/>
    <x v="681"/>
    <n v="330.02"/>
    <s v="Complete Access"/>
    <x v="254"/>
    <x v="16"/>
    <x v="35"/>
    <d v="1900-01-14T00:00:00"/>
    <n v="3"/>
    <x v="1"/>
    <x v="1"/>
  </r>
  <r>
    <x v="300"/>
    <n v="-343.45"/>
    <x v="682"/>
    <n v="456.03"/>
    <s v="Complete Access"/>
    <x v="255"/>
    <x v="4"/>
    <x v="20"/>
    <d v="1900-01-12T00:00:00"/>
    <n v="2"/>
    <x v="1"/>
    <x v="1"/>
  </r>
  <r>
    <x v="300"/>
    <n v="-38.76"/>
    <x v="177"/>
    <n v="373.02"/>
    <s v="Complete Access"/>
    <x v="72"/>
    <x v="1"/>
    <x v="5"/>
    <d v="1900-01-12T00:00:00"/>
    <n v="2"/>
    <x v="1"/>
    <x v="1"/>
  </r>
  <r>
    <x v="300"/>
    <n v="-0.99"/>
    <x v="683"/>
    <n v="411.78"/>
    <s v="Complete Access"/>
    <x v="10"/>
    <x v="0"/>
    <x v="0"/>
    <d v="1900-01-12T00:00:00"/>
    <n v="2"/>
    <x v="1"/>
    <x v="1"/>
  </r>
  <r>
    <x v="300"/>
    <n v="-10.3"/>
    <x v="683"/>
    <n v="445.73"/>
    <s v="Complete Access"/>
    <x v="10"/>
    <x v="0"/>
    <x v="0"/>
    <d v="1900-01-12T00:00:00"/>
    <n v="2"/>
    <x v="1"/>
    <x v="1"/>
  </r>
  <r>
    <x v="300"/>
    <n v="-32.96"/>
    <x v="684"/>
    <n v="412.77"/>
    <s v="Complete Access"/>
    <x v="11"/>
    <x v="4"/>
    <x v="7"/>
    <d v="1900-01-12T00:00:00"/>
    <n v="2"/>
    <x v="1"/>
    <x v="1"/>
  </r>
  <r>
    <x v="301"/>
    <n v="-1"/>
    <x v="96"/>
    <n v="799.48"/>
    <s v="Complete Access"/>
    <x v="47"/>
    <x v="1"/>
    <x v="5"/>
    <d v="1900-01-11T00:00:00"/>
    <n v="2"/>
    <x v="1"/>
    <x v="1"/>
  </r>
  <r>
    <x v="302"/>
    <n v="-36.15"/>
    <x v="685"/>
    <n v="8.43"/>
    <s v="Complete Access"/>
    <x v="256"/>
    <x v="4"/>
    <x v="47"/>
    <d v="1900-01-10T00:00:00"/>
    <n v="2"/>
    <x v="1"/>
    <x v="1"/>
  </r>
  <r>
    <x v="302"/>
    <n v="-39.840000000000003"/>
    <x v="686"/>
    <n v="44.58"/>
    <s v="Complete Access"/>
    <x v="8"/>
    <x v="1"/>
    <x v="5"/>
    <d v="1900-01-10T00:00:00"/>
    <n v="2"/>
    <x v="1"/>
    <x v="1"/>
  </r>
  <r>
    <x v="302"/>
    <n v="400"/>
    <x v="370"/>
    <n v="407.35"/>
    <s v="Complete Access"/>
    <x v="36"/>
    <x v="0"/>
    <x v="0"/>
    <d v="1900-01-10T00:00:00"/>
    <n v="2"/>
    <x v="1"/>
    <x v="1"/>
  </r>
  <r>
    <x v="302"/>
    <n v="-1.08"/>
    <x v="687"/>
    <n v="7.35"/>
    <s v="Complete Access"/>
    <x v="10"/>
    <x v="0"/>
    <x v="0"/>
    <d v="1900-01-10T00:00:00"/>
    <n v="2"/>
    <x v="1"/>
    <x v="1"/>
  </r>
  <r>
    <x v="302"/>
    <n v="-21.87"/>
    <x v="578"/>
    <n v="800.48"/>
    <s v="Complete Access"/>
    <x v="177"/>
    <x v="1"/>
    <x v="1"/>
    <d v="1900-01-10T00:00:00"/>
    <n v="2"/>
    <x v="1"/>
    <x v="1"/>
  </r>
  <r>
    <x v="302"/>
    <n v="415"/>
    <x v="688"/>
    <n v="822.35"/>
    <s v="Complete Access"/>
    <x v="257"/>
    <x v="0"/>
    <x v="0"/>
    <d v="1900-01-10T00:00:00"/>
    <n v="2"/>
    <x v="1"/>
    <x v="1"/>
  </r>
  <r>
    <x v="302"/>
    <n v="-400"/>
    <x v="581"/>
    <n v="45669.72"/>
    <s v="Netbank Saver"/>
    <x v="0"/>
    <x v="0"/>
    <x v="0"/>
    <d v="1900-01-10T00:00:00"/>
    <n v="2"/>
    <x v="1"/>
    <x v="1"/>
  </r>
  <r>
    <x v="303"/>
    <n v="-5"/>
    <x v="689"/>
    <n v="84.42"/>
    <s v="Complete Access"/>
    <x v="258"/>
    <x v="0"/>
    <x v="0"/>
    <d v="1900-01-09T00:00:00"/>
    <n v="2"/>
    <x v="1"/>
    <x v="1"/>
  </r>
  <r>
    <x v="304"/>
    <n v="-26.11"/>
    <x v="690"/>
    <n v="184.23"/>
    <s v="Complete Access"/>
    <x v="259"/>
    <x v="1"/>
    <x v="5"/>
    <d v="1900-01-08T00:00:00"/>
    <n v="2"/>
    <x v="1"/>
    <x v="1"/>
  </r>
  <r>
    <x v="304"/>
    <n v="-59.9"/>
    <x v="691"/>
    <n v="124.33"/>
    <s v="Complete Access"/>
    <x v="260"/>
    <x v="1"/>
    <x v="5"/>
    <d v="1900-01-08T00:00:00"/>
    <n v="2"/>
    <x v="1"/>
    <x v="1"/>
  </r>
  <r>
    <x v="304"/>
    <n v="-24.64"/>
    <x v="692"/>
    <n v="249.54"/>
    <s v="Complete Access"/>
    <x v="104"/>
    <x v="1"/>
    <x v="5"/>
    <d v="1900-01-08T00:00:00"/>
    <n v="2"/>
    <x v="1"/>
    <x v="1"/>
  </r>
  <r>
    <x v="304"/>
    <n v="-39.200000000000003"/>
    <x v="693"/>
    <n v="210.34"/>
    <s v="Complete Access"/>
    <x v="104"/>
    <x v="1"/>
    <x v="5"/>
    <d v="1900-01-08T00:00:00"/>
    <n v="2"/>
    <x v="1"/>
    <x v="1"/>
  </r>
  <r>
    <x v="304"/>
    <n v="-34.909999999999997"/>
    <x v="694"/>
    <n v="89.42"/>
    <s v="Complete Access"/>
    <x v="91"/>
    <x v="9"/>
    <x v="12"/>
    <d v="1900-01-08T00:00:00"/>
    <n v="2"/>
    <x v="1"/>
    <x v="1"/>
  </r>
  <r>
    <x v="305"/>
    <n v="150"/>
    <x v="370"/>
    <n v="274.18"/>
    <s v="Complete Access"/>
    <x v="36"/>
    <x v="0"/>
    <x v="0"/>
    <d v="1900-01-07T00:00:00"/>
    <n v="2"/>
    <x v="1"/>
    <x v="1"/>
  </r>
  <r>
    <x v="305"/>
    <n v="-59.74"/>
    <x v="405"/>
    <n v="124.18"/>
    <s v="Complete Access"/>
    <x v="177"/>
    <x v="1"/>
    <x v="1"/>
    <d v="1900-01-07T00:00:00"/>
    <n v="2"/>
    <x v="1"/>
    <x v="1"/>
  </r>
  <r>
    <x v="305"/>
    <n v="-21.65"/>
    <x v="532"/>
    <n v="183.92"/>
    <s v="Complete Access"/>
    <x v="1"/>
    <x v="1"/>
    <x v="1"/>
    <d v="1900-01-07T00:00:00"/>
    <n v="2"/>
    <x v="1"/>
    <x v="1"/>
  </r>
  <r>
    <x v="305"/>
    <n v="-150"/>
    <x v="581"/>
    <n v="46069.72"/>
    <s v="Netbank Saver"/>
    <x v="0"/>
    <x v="0"/>
    <x v="0"/>
    <d v="1900-01-07T00:00:00"/>
    <n v="2"/>
    <x v="1"/>
    <x v="1"/>
  </r>
  <r>
    <x v="306"/>
    <n v="500"/>
    <x v="370"/>
    <n v="758.59"/>
    <s v="Complete Access"/>
    <x v="36"/>
    <x v="0"/>
    <x v="0"/>
    <d v="1900-01-06T00:00:00"/>
    <n v="2"/>
    <x v="1"/>
    <x v="1"/>
  </r>
  <r>
    <x v="306"/>
    <n v="-53.02"/>
    <x v="28"/>
    <n v="205.57"/>
    <s v="Complete Access"/>
    <x v="20"/>
    <x v="9"/>
    <x v="12"/>
    <d v="1900-01-06T00:00:00"/>
    <n v="2"/>
    <x v="1"/>
    <x v="1"/>
  </r>
  <r>
    <x v="306"/>
    <n v="-500"/>
    <x v="695"/>
    <n v="258.58999999999997"/>
    <s v="Complete Access"/>
    <x v="261"/>
    <x v="19"/>
    <x v="61"/>
    <d v="1900-01-06T00:00:00"/>
    <n v="2"/>
    <x v="1"/>
    <x v="1"/>
  </r>
  <r>
    <x v="306"/>
    <n v="-500"/>
    <x v="581"/>
    <n v="46219.72"/>
    <s v="Netbank Saver"/>
    <x v="0"/>
    <x v="0"/>
    <x v="0"/>
    <d v="1900-01-06T00:00:00"/>
    <n v="2"/>
    <x v="1"/>
    <x v="1"/>
  </r>
  <r>
    <x v="307"/>
    <n v="-35.82"/>
    <x v="696"/>
    <n v="179.66"/>
    <s v="Complete Access"/>
    <x v="256"/>
    <x v="4"/>
    <x v="47"/>
    <d v="1900-01-05T00:00:00"/>
    <n v="1"/>
    <x v="1"/>
    <x v="1"/>
  </r>
  <r>
    <x v="307"/>
    <n v="80"/>
    <x v="370"/>
    <n v="258.58999999999997"/>
    <s v="Complete Access"/>
    <x v="36"/>
    <x v="0"/>
    <x v="0"/>
    <d v="1900-01-05T00:00:00"/>
    <n v="1"/>
    <x v="1"/>
    <x v="1"/>
  </r>
  <r>
    <x v="307"/>
    <n v="-50.75"/>
    <x v="697"/>
    <n v="215.48"/>
    <s v="Complete Access"/>
    <x v="262"/>
    <x v="8"/>
    <x v="22"/>
    <d v="1900-01-05T00:00:00"/>
    <n v="1"/>
    <x v="1"/>
    <x v="1"/>
  </r>
  <r>
    <x v="307"/>
    <n v="-1.07"/>
    <x v="698"/>
    <n v="178.59"/>
    <s v="Complete Access"/>
    <x v="10"/>
    <x v="0"/>
    <x v="0"/>
    <d v="1900-01-05T00:00:00"/>
    <n v="1"/>
    <x v="1"/>
    <x v="1"/>
  </r>
  <r>
    <x v="307"/>
    <n v="-80"/>
    <x v="581"/>
    <n v="46719.72"/>
    <s v="Netbank Saver"/>
    <x v="0"/>
    <x v="0"/>
    <x v="0"/>
    <d v="1900-01-05T00:00:00"/>
    <n v="1"/>
    <x v="1"/>
    <x v="1"/>
  </r>
  <r>
    <x v="308"/>
    <n v="-1.5"/>
    <x v="699"/>
    <n v="266.23"/>
    <s v="Complete Access"/>
    <x v="34"/>
    <x v="9"/>
    <x v="12"/>
    <d v="1900-01-04T00:00:00"/>
    <n v="1"/>
    <x v="1"/>
    <x v="1"/>
  </r>
  <r>
    <x v="309"/>
    <n v="-2000"/>
    <x v="538"/>
    <n v="395.68"/>
    <s v="Complete Access"/>
    <x v="0"/>
    <x v="0"/>
    <x v="0"/>
    <d v="1900-01-03T00:00:00"/>
    <n v="1"/>
    <x v="1"/>
    <x v="1"/>
  </r>
  <r>
    <x v="309"/>
    <n v="2348.84"/>
    <x v="700"/>
    <n v="2395.6799999999998"/>
    <s v="Complete Access"/>
    <x v="14"/>
    <x v="6"/>
    <x v="9"/>
    <d v="1900-01-03T00:00:00"/>
    <n v="1"/>
    <x v="1"/>
    <x v="1"/>
  </r>
  <r>
    <x v="309"/>
    <n v="-11.46"/>
    <x v="531"/>
    <n v="359.08"/>
    <s v="Complete Access"/>
    <x v="215"/>
    <x v="1"/>
    <x v="1"/>
    <d v="1900-01-03T00:00:00"/>
    <n v="1"/>
    <x v="1"/>
    <x v="1"/>
  </r>
  <r>
    <x v="309"/>
    <n v="-11.35"/>
    <x v="454"/>
    <n v="267.73"/>
    <s v="Complete Access"/>
    <x v="9"/>
    <x v="4"/>
    <x v="6"/>
    <d v="1900-01-03T00:00:00"/>
    <n v="1"/>
    <x v="1"/>
    <x v="1"/>
  </r>
  <r>
    <x v="309"/>
    <n v="-25.14"/>
    <x v="701"/>
    <n v="370.54"/>
    <s v="Complete Access"/>
    <x v="104"/>
    <x v="1"/>
    <x v="5"/>
    <d v="1900-01-03T00:00:00"/>
    <n v="1"/>
    <x v="1"/>
    <x v="1"/>
  </r>
  <r>
    <x v="309"/>
    <n v="2000"/>
    <x v="702"/>
    <n v="46799.72"/>
    <s v="Netbank Saver"/>
    <x v="36"/>
    <x v="0"/>
    <x v="0"/>
    <d v="1900-01-03T00:00:00"/>
    <n v="1"/>
    <x v="1"/>
    <x v="1"/>
  </r>
  <r>
    <x v="309"/>
    <n v="-80"/>
    <x v="703"/>
    <n v="279.08"/>
    <s v="Complete Access"/>
    <x v="0"/>
    <x v="0"/>
    <x v="0"/>
    <d v="1900-01-03T00:00:00"/>
    <n v="1"/>
    <x v="1"/>
    <x v="1"/>
  </r>
  <r>
    <x v="310"/>
    <n v="-181.44"/>
    <x v="704"/>
    <n v="116.62"/>
    <s v="Complete Access"/>
    <x v="256"/>
    <x v="4"/>
    <x v="47"/>
    <d v="1900-01-02T00:00:00"/>
    <n v="1"/>
    <x v="1"/>
    <x v="1"/>
  </r>
  <r>
    <x v="310"/>
    <n v="50"/>
    <x v="370"/>
    <n v="77.290000000000006"/>
    <s v="Complete Access"/>
    <x v="36"/>
    <x v="0"/>
    <x v="0"/>
    <d v="1900-01-02T00:00:00"/>
    <n v="1"/>
    <x v="1"/>
    <x v="1"/>
  </r>
  <r>
    <x v="310"/>
    <n v="160"/>
    <x v="370"/>
    <n v="471.28"/>
    <s v="Complete Access"/>
    <x v="36"/>
    <x v="0"/>
    <x v="0"/>
    <d v="1900-01-02T00:00:00"/>
    <n v="1"/>
    <x v="1"/>
    <x v="1"/>
  </r>
  <r>
    <x v="310"/>
    <n v="85"/>
    <x v="370"/>
    <n v="311.27999999999997"/>
    <s v="Complete Access"/>
    <x v="36"/>
    <x v="0"/>
    <x v="0"/>
    <d v="1900-01-02T00:00:00"/>
    <n v="1"/>
    <x v="1"/>
    <x v="1"/>
  </r>
  <r>
    <x v="310"/>
    <n v="-15"/>
    <x v="705"/>
    <n v="46.84"/>
    <s v="Complete Access"/>
    <x v="263"/>
    <x v="0"/>
    <x v="0"/>
    <d v="1900-01-02T00:00:00"/>
    <n v="1"/>
    <x v="1"/>
    <x v="1"/>
  </r>
  <r>
    <x v="310"/>
    <n v="-5.44"/>
    <x v="706"/>
    <n v="111.18"/>
    <s v="Complete Access"/>
    <x v="10"/>
    <x v="0"/>
    <x v="0"/>
    <d v="1900-01-02T00:00:00"/>
    <n v="1"/>
    <x v="1"/>
    <x v="1"/>
  </r>
  <r>
    <x v="310"/>
    <n v="-39.200000000000003"/>
    <x v="707"/>
    <n v="71.98"/>
    <s v="Complete Access"/>
    <x v="104"/>
    <x v="1"/>
    <x v="5"/>
    <d v="1900-01-02T00:00:00"/>
    <n v="1"/>
    <x v="1"/>
    <x v="1"/>
  </r>
  <r>
    <x v="310"/>
    <n v="-32.26"/>
    <x v="708"/>
    <n v="39.72"/>
    <s v="Complete Access"/>
    <x v="1"/>
    <x v="1"/>
    <x v="1"/>
    <d v="1900-01-02T00:00:00"/>
    <n v="1"/>
    <x v="1"/>
    <x v="1"/>
  </r>
  <r>
    <x v="310"/>
    <n v="-23.22"/>
    <x v="532"/>
    <n v="298.06"/>
    <s v="Complete Access"/>
    <x v="1"/>
    <x v="1"/>
    <x v="1"/>
    <d v="1900-01-02T00:00:00"/>
    <n v="1"/>
    <x v="1"/>
    <x v="1"/>
  </r>
  <r>
    <x v="310"/>
    <n v="-12.43"/>
    <x v="709"/>
    <n v="27.29"/>
    <s v="Complete Access"/>
    <x v="21"/>
    <x v="10"/>
    <x v="13"/>
    <d v="1900-01-02T00:00:00"/>
    <n v="1"/>
    <x v="1"/>
    <x v="1"/>
  </r>
  <r>
    <x v="310"/>
    <n v="-15.45"/>
    <x v="710"/>
    <n v="61.84"/>
    <s v="Complete Access"/>
    <x v="264"/>
    <x v="10"/>
    <x v="13"/>
    <d v="1900-01-02T00:00:00"/>
    <n v="1"/>
    <x v="1"/>
    <x v="1"/>
  </r>
  <r>
    <x v="310"/>
    <n v="-160"/>
    <x v="581"/>
    <n v="44849.72"/>
    <s v="Netbank Saver"/>
    <x v="0"/>
    <x v="0"/>
    <x v="0"/>
    <d v="1900-01-02T00:00:00"/>
    <n v="1"/>
    <x v="1"/>
    <x v="1"/>
  </r>
  <r>
    <x v="310"/>
    <n v="-150"/>
    <x v="711"/>
    <n v="321.27999999999997"/>
    <s v="Complete Access"/>
    <x v="265"/>
    <x v="8"/>
    <x v="22"/>
    <d v="1900-01-02T00:00:00"/>
    <n v="1"/>
    <x v="1"/>
    <x v="1"/>
  </r>
  <r>
    <x v="310"/>
    <n v="-85"/>
    <x v="581"/>
    <n v="45009.72"/>
    <s v="Netbank Saver"/>
    <x v="0"/>
    <x v="0"/>
    <x v="0"/>
    <d v="1900-01-02T00:00:00"/>
    <n v="1"/>
    <x v="1"/>
    <x v="1"/>
  </r>
  <r>
    <x v="310"/>
    <n v="-50"/>
    <x v="581"/>
    <n v="44799.72"/>
    <s v="Netbank Saver"/>
    <x v="0"/>
    <x v="0"/>
    <x v="0"/>
    <d v="1900-01-02T00:00:00"/>
    <n v="1"/>
    <x v="1"/>
    <x v="1"/>
  </r>
  <r>
    <x v="311"/>
    <n v="-195.05"/>
    <x v="712"/>
    <n v="226.28"/>
    <s v="Complete Access"/>
    <x v="76"/>
    <x v="2"/>
    <x v="2"/>
    <d v="1900-01-01T00:00:00"/>
    <n v="1"/>
    <x v="1"/>
    <x v="1"/>
  </r>
  <r>
    <x v="312"/>
    <n v="-0.06"/>
    <x v="655"/>
    <n v="421.33"/>
    <s v="Complete Access"/>
    <x v="249"/>
    <x v="0"/>
    <x v="0"/>
    <d v="1899-12-31T00:00:00"/>
    <n v="1"/>
    <x v="1"/>
    <x v="1"/>
  </r>
  <r>
    <x v="312"/>
    <n v="85.86"/>
    <x v="609"/>
    <n v="45094.720000000001"/>
    <s v="Netbank Saver"/>
    <x v="240"/>
    <x v="0"/>
    <x v="55"/>
    <d v="1899-12-31T00:00:00"/>
    <n v="1"/>
    <x v="1"/>
    <x v="1"/>
  </r>
  <r>
    <x v="313"/>
    <n v="-38.79"/>
    <x v="405"/>
    <n v="421.39"/>
    <s v="Complete Access"/>
    <x v="177"/>
    <x v="1"/>
    <x v="1"/>
    <d v="1900-01-30T00:00:00"/>
    <n v="53"/>
    <x v="2"/>
    <x v="2"/>
  </r>
  <r>
    <x v="314"/>
    <n v="-30.98"/>
    <x v="713"/>
    <n v="460.18"/>
    <s v="Complete Access"/>
    <x v="5"/>
    <x v="3"/>
    <x v="3"/>
    <d v="1900-01-29T00:00:00"/>
    <n v="52"/>
    <x v="2"/>
    <x v="2"/>
  </r>
  <r>
    <x v="315"/>
    <n v="9.5"/>
    <x v="714"/>
    <n v="491.16"/>
    <s v="Complete Access"/>
    <x v="36"/>
    <x v="0"/>
    <x v="0"/>
    <d v="1900-01-28T00:00:00"/>
    <n v="52"/>
    <x v="2"/>
    <x v="2"/>
  </r>
  <r>
    <x v="315"/>
    <n v="-56.2"/>
    <x v="715"/>
    <n v="481.66"/>
    <s v="Complete Access"/>
    <x v="205"/>
    <x v="11"/>
    <x v="49"/>
    <d v="1900-01-28T00:00:00"/>
    <n v="52"/>
    <x v="2"/>
    <x v="2"/>
  </r>
  <r>
    <x v="315"/>
    <n v="-40"/>
    <x v="716"/>
    <n v="537.86"/>
    <s v="Complete Access"/>
    <x v="260"/>
    <x v="1"/>
    <x v="5"/>
    <d v="1900-01-28T00:00:00"/>
    <n v="52"/>
    <x v="2"/>
    <x v="2"/>
  </r>
  <r>
    <x v="316"/>
    <n v="-41.14"/>
    <x v="717"/>
    <n v="622.52"/>
    <s v="Complete Access"/>
    <x v="8"/>
    <x v="1"/>
    <x v="5"/>
    <d v="1900-01-27T00:00:00"/>
    <n v="52"/>
    <x v="2"/>
    <x v="2"/>
  </r>
  <r>
    <x v="316"/>
    <n v="-156.94999999999999"/>
    <x v="718"/>
    <n v="670.46"/>
    <s v="Complete Access"/>
    <x v="266"/>
    <x v="3"/>
    <x v="62"/>
    <d v="1900-01-27T00:00:00"/>
    <n v="52"/>
    <x v="2"/>
    <x v="2"/>
  </r>
  <r>
    <x v="316"/>
    <n v="-14.67"/>
    <x v="719"/>
    <n v="607.85"/>
    <s v="Complete Access"/>
    <x v="267"/>
    <x v="1"/>
    <x v="1"/>
    <d v="1900-01-27T00:00:00"/>
    <n v="52"/>
    <x v="2"/>
    <x v="2"/>
  </r>
  <r>
    <x v="316"/>
    <n v="-6.8"/>
    <x v="720"/>
    <n v="663.66"/>
    <s v="Complete Access"/>
    <x v="44"/>
    <x v="4"/>
    <x v="27"/>
    <d v="1900-01-27T00:00:00"/>
    <n v="52"/>
    <x v="2"/>
    <x v="2"/>
  </r>
  <r>
    <x v="316"/>
    <n v="-29.99"/>
    <x v="721"/>
    <n v="577.86"/>
    <s v="Complete Access"/>
    <x v="228"/>
    <x v="4"/>
    <x v="7"/>
    <d v="1900-01-27T00:00:00"/>
    <n v="52"/>
    <x v="2"/>
    <x v="2"/>
  </r>
  <r>
    <x v="317"/>
    <n v="-2400"/>
    <x v="538"/>
    <n v="827.41"/>
    <s v="Complete Access"/>
    <x v="0"/>
    <x v="0"/>
    <x v="0"/>
    <d v="1900-01-26T00:00:00"/>
    <n v="52"/>
    <x v="2"/>
    <x v="2"/>
  </r>
  <r>
    <x v="317"/>
    <n v="-31.92"/>
    <x v="531"/>
    <n v="3227.41"/>
    <s v="Complete Access"/>
    <x v="215"/>
    <x v="1"/>
    <x v="1"/>
    <d v="1900-01-26T00:00:00"/>
    <n v="52"/>
    <x v="2"/>
    <x v="2"/>
  </r>
  <r>
    <x v="317"/>
    <n v="2400"/>
    <x v="702"/>
    <n v="45008.86"/>
    <s v="Netbank Saver"/>
    <x v="36"/>
    <x v="0"/>
    <x v="0"/>
    <d v="1900-01-26T00:00:00"/>
    <n v="52"/>
    <x v="2"/>
    <x v="2"/>
  </r>
  <r>
    <x v="318"/>
    <n v="-31.74"/>
    <x v="578"/>
    <n v="3259.33"/>
    <s v="Complete Access"/>
    <x v="177"/>
    <x v="1"/>
    <x v="1"/>
    <d v="1900-01-25T00:00:00"/>
    <n v="52"/>
    <x v="2"/>
    <x v="2"/>
  </r>
  <r>
    <x v="319"/>
    <n v="-29.99"/>
    <x v="616"/>
    <n v="3291.07"/>
    <s v="Complete Access"/>
    <x v="228"/>
    <x v="4"/>
    <x v="7"/>
    <d v="1900-01-23T00:00:00"/>
    <n v="52"/>
    <x v="2"/>
    <x v="2"/>
  </r>
  <r>
    <x v="320"/>
    <n v="-24"/>
    <x v="722"/>
    <n v="3323.06"/>
    <s v="Complete Access"/>
    <x v="90"/>
    <x v="8"/>
    <x v="29"/>
    <d v="1900-01-22T00:00:00"/>
    <n v="51"/>
    <x v="2"/>
    <x v="2"/>
  </r>
  <r>
    <x v="320"/>
    <n v="429"/>
    <x v="723"/>
    <n v="3347.06"/>
    <s v="Complete Access"/>
    <x v="206"/>
    <x v="13"/>
    <x v="50"/>
    <d v="1900-01-22T00:00:00"/>
    <n v="51"/>
    <x v="2"/>
    <x v="2"/>
  </r>
  <r>
    <x v="320"/>
    <n v="-2"/>
    <x v="724"/>
    <n v="3321.06"/>
    <s v="Complete Access"/>
    <x v="268"/>
    <x v="10"/>
    <x v="13"/>
    <d v="1900-01-22T00:00:00"/>
    <n v="51"/>
    <x v="2"/>
    <x v="2"/>
  </r>
  <r>
    <x v="320"/>
    <n v="-33.950000000000003"/>
    <x v="725"/>
    <n v="2918.06"/>
    <s v="Complete Access"/>
    <x v="104"/>
    <x v="1"/>
    <x v="5"/>
    <d v="1900-01-22T00:00:00"/>
    <n v="51"/>
    <x v="2"/>
    <x v="2"/>
  </r>
  <r>
    <x v="321"/>
    <n v="-34.020000000000003"/>
    <x v="533"/>
    <n v="3280.01"/>
    <s v="Complete Access"/>
    <x v="215"/>
    <x v="1"/>
    <x v="1"/>
    <d v="1900-01-21T00:00:00"/>
    <n v="51"/>
    <x v="2"/>
    <x v="2"/>
  </r>
  <r>
    <x v="321"/>
    <n v="150"/>
    <x v="726"/>
    <n v="2952.01"/>
    <s v="Complete Access"/>
    <x v="36"/>
    <x v="0"/>
    <x v="0"/>
    <d v="1900-01-21T00:00:00"/>
    <n v="51"/>
    <x v="2"/>
    <x v="2"/>
  </r>
  <r>
    <x v="321"/>
    <n v="-478"/>
    <x v="727"/>
    <n v="2802.01"/>
    <s v="Complete Access"/>
    <x v="206"/>
    <x v="13"/>
    <x v="50"/>
    <d v="1900-01-21T00:00:00"/>
    <n v="51"/>
    <x v="2"/>
    <x v="2"/>
  </r>
  <r>
    <x v="321"/>
    <n v="-39.5"/>
    <x v="561"/>
    <n v="3314.03"/>
    <s v="Complete Access"/>
    <x v="223"/>
    <x v="7"/>
    <x v="53"/>
    <d v="1900-01-21T00:00:00"/>
    <n v="51"/>
    <x v="2"/>
    <x v="2"/>
  </r>
  <r>
    <x v="322"/>
    <n v="2348.84"/>
    <x v="728"/>
    <n v="3931.87"/>
    <s v="Complete Access"/>
    <x v="14"/>
    <x v="6"/>
    <x v="9"/>
    <d v="1900-01-20T00:00:00"/>
    <n v="51"/>
    <x v="2"/>
    <x v="2"/>
  </r>
  <r>
    <x v="322"/>
    <n v="-11.35"/>
    <x v="454"/>
    <n v="3353.53"/>
    <s v="Complete Access"/>
    <x v="9"/>
    <x v="4"/>
    <x v="6"/>
    <d v="1900-01-20T00:00:00"/>
    <n v="51"/>
    <x v="2"/>
    <x v="2"/>
  </r>
  <r>
    <x v="322"/>
    <n v="-66.989999999999995"/>
    <x v="729"/>
    <n v="3364.88"/>
    <s v="Complete Access"/>
    <x v="1"/>
    <x v="1"/>
    <x v="1"/>
    <d v="1900-01-20T00:00:00"/>
    <n v="51"/>
    <x v="2"/>
    <x v="2"/>
  </r>
  <r>
    <x v="322"/>
    <n v="-500"/>
    <x v="656"/>
    <n v="3431.87"/>
    <s v="Complete Access"/>
    <x v="13"/>
    <x v="0"/>
    <x v="0"/>
    <d v="1900-01-20T00:00:00"/>
    <n v="51"/>
    <x v="2"/>
    <x v="2"/>
  </r>
  <r>
    <x v="323"/>
    <n v="-7"/>
    <x v="517"/>
    <n v="1583.03"/>
    <s v="Complete Access"/>
    <x v="34"/>
    <x v="9"/>
    <x v="12"/>
    <d v="1900-01-19T00:00:00"/>
    <n v="51"/>
    <x v="2"/>
    <x v="2"/>
  </r>
  <r>
    <x v="324"/>
    <n v="-41.12"/>
    <x v="730"/>
    <n v="1746.49"/>
    <s v="Complete Access"/>
    <x v="61"/>
    <x v="1"/>
    <x v="1"/>
    <d v="1900-01-18T00:00:00"/>
    <n v="51"/>
    <x v="2"/>
    <x v="2"/>
  </r>
  <r>
    <x v="324"/>
    <n v="-33.880000000000003"/>
    <x v="731"/>
    <n v="1643.61"/>
    <s v="Complete Access"/>
    <x v="8"/>
    <x v="1"/>
    <x v="5"/>
    <d v="1900-01-18T00:00:00"/>
    <n v="51"/>
    <x v="2"/>
    <x v="2"/>
  </r>
  <r>
    <x v="324"/>
    <n v="-22.14"/>
    <x v="732"/>
    <n v="1590.03"/>
    <s v="Complete Access"/>
    <x v="49"/>
    <x v="8"/>
    <x v="29"/>
    <d v="1900-01-18T00:00:00"/>
    <n v="51"/>
    <x v="2"/>
    <x v="2"/>
  </r>
  <r>
    <x v="324"/>
    <n v="-31.44"/>
    <x v="732"/>
    <n v="1612.17"/>
    <s v="Complete Access"/>
    <x v="49"/>
    <x v="8"/>
    <x v="29"/>
    <d v="1900-01-18T00:00:00"/>
    <n v="51"/>
    <x v="2"/>
    <x v="2"/>
  </r>
  <r>
    <x v="324"/>
    <n v="-69"/>
    <x v="733"/>
    <n v="1677.49"/>
    <s v="Complete Access"/>
    <x v="207"/>
    <x v="7"/>
    <x v="11"/>
    <d v="1900-01-18T00:00:00"/>
    <n v="51"/>
    <x v="2"/>
    <x v="2"/>
  </r>
  <r>
    <x v="324"/>
    <n v="-39.299999999999997"/>
    <x v="734"/>
    <n v="1787.61"/>
    <s v="Complete Access"/>
    <x v="269"/>
    <x v="1"/>
    <x v="1"/>
    <d v="1900-01-18T00:00:00"/>
    <n v="51"/>
    <x v="2"/>
    <x v="2"/>
  </r>
  <r>
    <x v="325"/>
    <n v="-2.5"/>
    <x v="532"/>
    <n v="1826.91"/>
    <s v="Complete Access"/>
    <x v="1"/>
    <x v="1"/>
    <x v="1"/>
    <d v="1900-01-17T00:00:00"/>
    <n v="51"/>
    <x v="2"/>
    <x v="2"/>
  </r>
  <r>
    <x v="326"/>
    <n v="-1.86"/>
    <x v="709"/>
    <n v="1829.41"/>
    <s v="Complete Access"/>
    <x v="21"/>
    <x v="10"/>
    <x v="13"/>
    <d v="1900-01-15T00:00:00"/>
    <n v="50"/>
    <x v="2"/>
    <x v="2"/>
  </r>
  <r>
    <x v="327"/>
    <n v="-10.86"/>
    <x v="735"/>
    <n v="1831.27"/>
    <s v="Complete Access"/>
    <x v="270"/>
    <x v="8"/>
    <x v="29"/>
    <d v="1900-01-14T00:00:00"/>
    <n v="50"/>
    <x v="2"/>
    <x v="2"/>
  </r>
  <r>
    <x v="328"/>
    <n v="-30.6"/>
    <x v="736"/>
    <n v="1842.13"/>
    <s v="Complete Access"/>
    <x v="271"/>
    <x v="8"/>
    <x v="29"/>
    <d v="1900-01-13T00:00:00"/>
    <n v="50"/>
    <x v="2"/>
    <x v="2"/>
  </r>
  <r>
    <x v="329"/>
    <n v="-22.13"/>
    <x v="670"/>
    <n v="1872.73"/>
    <s v="Complete Access"/>
    <x v="252"/>
    <x v="1"/>
    <x v="5"/>
    <d v="1900-01-12T00:00:00"/>
    <n v="50"/>
    <x v="2"/>
    <x v="2"/>
  </r>
  <r>
    <x v="329"/>
    <n v="-30.58"/>
    <x v="737"/>
    <n v="1894.86"/>
    <s v="Complete Access"/>
    <x v="272"/>
    <x v="15"/>
    <x v="34"/>
    <d v="1900-01-12T00:00:00"/>
    <n v="50"/>
    <x v="2"/>
    <x v="2"/>
  </r>
  <r>
    <x v="330"/>
    <n v="-38.270000000000003"/>
    <x v="738"/>
    <n v="1925.44"/>
    <s v="Complete Access"/>
    <x v="270"/>
    <x v="8"/>
    <x v="29"/>
    <d v="1900-01-11T00:00:00"/>
    <n v="50"/>
    <x v="2"/>
    <x v="2"/>
  </r>
  <r>
    <x v="330"/>
    <n v="-30.24"/>
    <x v="739"/>
    <n v="1996.13"/>
    <s v="Complete Access"/>
    <x v="104"/>
    <x v="1"/>
    <x v="5"/>
    <d v="1900-01-11T00:00:00"/>
    <n v="50"/>
    <x v="2"/>
    <x v="2"/>
  </r>
  <r>
    <x v="330"/>
    <n v="-32.51"/>
    <x v="740"/>
    <n v="2026.37"/>
    <s v="Complete Access"/>
    <x v="104"/>
    <x v="1"/>
    <x v="5"/>
    <d v="1900-01-11T00:00:00"/>
    <n v="50"/>
    <x v="2"/>
    <x v="2"/>
  </r>
  <r>
    <x v="330"/>
    <n v="-1.5"/>
    <x v="741"/>
    <n v="1963.71"/>
    <s v="Complete Access"/>
    <x v="34"/>
    <x v="9"/>
    <x v="12"/>
    <d v="1900-01-11T00:00:00"/>
    <n v="50"/>
    <x v="2"/>
    <x v="2"/>
  </r>
  <r>
    <x v="330"/>
    <n v="-30.92"/>
    <x v="741"/>
    <n v="1965.21"/>
    <s v="Complete Access"/>
    <x v="34"/>
    <x v="9"/>
    <x v="12"/>
    <d v="1900-01-11T00:00:00"/>
    <n v="50"/>
    <x v="2"/>
    <x v="2"/>
  </r>
  <r>
    <x v="331"/>
    <n v="-30"/>
    <x v="742"/>
    <n v="2109.34"/>
    <s v="Complete Access"/>
    <x v="29"/>
    <x v="4"/>
    <x v="19"/>
    <d v="1900-01-08T00:00:00"/>
    <n v="49"/>
    <x v="2"/>
    <x v="2"/>
  </r>
  <r>
    <x v="331"/>
    <n v="-50.46"/>
    <x v="532"/>
    <n v="2058.88"/>
    <s v="Complete Access"/>
    <x v="1"/>
    <x v="1"/>
    <x v="1"/>
    <d v="1900-01-08T00:00:00"/>
    <n v="49"/>
    <x v="2"/>
    <x v="2"/>
  </r>
  <r>
    <x v="332"/>
    <n v="-6"/>
    <x v="743"/>
    <n v="2139.34"/>
    <s v="Complete Access"/>
    <x v="218"/>
    <x v="8"/>
    <x v="29"/>
    <d v="1900-01-07T00:00:00"/>
    <n v="49"/>
    <x v="2"/>
    <x v="2"/>
  </r>
  <r>
    <x v="332"/>
    <n v="-6"/>
    <x v="743"/>
    <n v="2145.34"/>
    <s v="Complete Access"/>
    <x v="218"/>
    <x v="8"/>
    <x v="29"/>
    <d v="1900-01-07T00:00:00"/>
    <n v="49"/>
    <x v="2"/>
    <x v="2"/>
  </r>
  <r>
    <x v="333"/>
    <n v="-27.2"/>
    <x v="744"/>
    <n v="2662.69"/>
    <s v="Complete Access"/>
    <x v="49"/>
    <x v="8"/>
    <x v="29"/>
    <d v="1900-01-06T00:00:00"/>
    <n v="49"/>
    <x v="2"/>
    <x v="2"/>
  </r>
  <r>
    <x v="333"/>
    <n v="2348.84"/>
    <x v="745"/>
    <n v="2689.89"/>
    <s v="Complete Access"/>
    <x v="14"/>
    <x v="6"/>
    <x v="9"/>
    <d v="1900-01-06T00:00:00"/>
    <n v="49"/>
    <x v="2"/>
    <x v="2"/>
  </r>
  <r>
    <x v="333"/>
    <n v="-11.35"/>
    <x v="454"/>
    <n v="2151.34"/>
    <s v="Complete Access"/>
    <x v="9"/>
    <x v="4"/>
    <x v="6"/>
    <d v="1900-01-06T00:00:00"/>
    <n v="49"/>
    <x v="2"/>
    <x v="2"/>
  </r>
  <r>
    <x v="333"/>
    <n v="-500"/>
    <x v="656"/>
    <n v="2162.69"/>
    <s v="Complete Access"/>
    <x v="13"/>
    <x v="0"/>
    <x v="0"/>
    <d v="1900-01-06T00:00:00"/>
    <n v="49"/>
    <x v="2"/>
    <x v="2"/>
  </r>
  <r>
    <x v="334"/>
    <n v="-29.14"/>
    <x v="531"/>
    <n v="341.05"/>
    <s v="Complete Access"/>
    <x v="215"/>
    <x v="1"/>
    <x v="1"/>
    <d v="1900-01-05T00:00:00"/>
    <n v="49"/>
    <x v="2"/>
    <x v="2"/>
  </r>
  <r>
    <x v="334"/>
    <n v="-223"/>
    <x v="746"/>
    <n v="370.19"/>
    <s v="Complete Access"/>
    <x v="5"/>
    <x v="3"/>
    <x v="3"/>
    <d v="1900-01-05T00:00:00"/>
    <n v="49"/>
    <x v="2"/>
    <x v="2"/>
  </r>
  <r>
    <x v="335"/>
    <n v="-40"/>
    <x v="747"/>
    <n v="888.15"/>
    <s v="Complete Access"/>
    <x v="12"/>
    <x v="5"/>
    <x v="8"/>
    <d v="1900-01-04T00:00:00"/>
    <n v="49"/>
    <x v="2"/>
    <x v="2"/>
  </r>
  <r>
    <x v="335"/>
    <n v="-18.3"/>
    <x v="748"/>
    <n v="796.31"/>
    <s v="Complete Access"/>
    <x v="273"/>
    <x v="1"/>
    <x v="5"/>
    <d v="1900-01-04T00:00:00"/>
    <n v="49"/>
    <x v="2"/>
    <x v="2"/>
  </r>
  <r>
    <x v="335"/>
    <n v="-43.11"/>
    <x v="749"/>
    <n v="609.69000000000005"/>
    <s v="Complete Access"/>
    <x v="259"/>
    <x v="1"/>
    <x v="5"/>
    <d v="1900-01-04T00:00:00"/>
    <n v="49"/>
    <x v="2"/>
    <x v="2"/>
  </r>
  <r>
    <x v="335"/>
    <n v="-34.340000000000003"/>
    <x v="750"/>
    <n v="814.61"/>
    <s v="Complete Access"/>
    <x v="274"/>
    <x v="1"/>
    <x v="5"/>
    <d v="1900-01-04T00:00:00"/>
    <n v="49"/>
    <x v="2"/>
    <x v="2"/>
  </r>
  <r>
    <x v="335"/>
    <n v="-16.5"/>
    <x v="8"/>
    <n v="593.19000000000005"/>
    <s v="Complete Access"/>
    <x v="7"/>
    <x v="1"/>
    <x v="5"/>
    <d v="1900-01-04T00:00:00"/>
    <n v="49"/>
    <x v="2"/>
    <x v="2"/>
  </r>
  <r>
    <x v="335"/>
    <n v="-63.47"/>
    <x v="751"/>
    <n v="732.84"/>
    <s v="Complete Access"/>
    <x v="15"/>
    <x v="4"/>
    <x v="10"/>
    <d v="1900-01-04T00:00:00"/>
    <n v="49"/>
    <x v="2"/>
    <x v="2"/>
  </r>
  <r>
    <x v="335"/>
    <n v="-39.200000000000003"/>
    <x v="752"/>
    <n v="848.95"/>
    <s v="Complete Access"/>
    <x v="104"/>
    <x v="1"/>
    <x v="5"/>
    <d v="1900-01-04T00:00:00"/>
    <n v="49"/>
    <x v="2"/>
    <x v="2"/>
  </r>
  <r>
    <x v="335"/>
    <n v="-34.72"/>
    <x v="753"/>
    <n v="652.79999999999995"/>
    <s v="Complete Access"/>
    <x v="104"/>
    <x v="1"/>
    <x v="5"/>
    <d v="1900-01-04T00:00:00"/>
    <n v="49"/>
    <x v="2"/>
    <x v="2"/>
  </r>
  <r>
    <x v="335"/>
    <n v="-45.32"/>
    <x v="754"/>
    <n v="687.52"/>
    <s v="Complete Access"/>
    <x v="34"/>
    <x v="9"/>
    <x v="12"/>
    <d v="1900-01-04T00:00:00"/>
    <n v="49"/>
    <x v="2"/>
    <x v="2"/>
  </r>
  <r>
    <x v="336"/>
    <n v="300"/>
    <x v="755"/>
    <n v="928.15"/>
    <s v="Complete Access"/>
    <x v="36"/>
    <x v="0"/>
    <x v="0"/>
    <d v="1900-01-03T00:00:00"/>
    <n v="49"/>
    <x v="2"/>
    <x v="2"/>
  </r>
  <r>
    <x v="337"/>
    <n v="150"/>
    <x v="370"/>
    <n v="628.15"/>
    <s v="Complete Access"/>
    <x v="36"/>
    <x v="0"/>
    <x v="0"/>
    <d v="1900-01-02T00:00:00"/>
    <n v="49"/>
    <x v="2"/>
    <x v="2"/>
  </r>
  <r>
    <x v="337"/>
    <n v="-150"/>
    <x v="581"/>
    <n v="42608.86"/>
    <s v="Netbank Saver"/>
    <x v="0"/>
    <x v="0"/>
    <x v="0"/>
    <d v="1900-01-02T00:00:00"/>
    <n v="49"/>
    <x v="2"/>
    <x v="2"/>
  </r>
  <r>
    <x v="338"/>
    <n v="-149.9"/>
    <x v="756"/>
    <n v="397.65"/>
    <s v="Complete Access"/>
    <x v="256"/>
    <x v="4"/>
    <x v="47"/>
    <d v="1900-01-01T00:00:00"/>
    <n v="48"/>
    <x v="2"/>
    <x v="2"/>
  </r>
  <r>
    <x v="338"/>
    <n v="100"/>
    <x v="370"/>
    <n v="493.15"/>
    <s v="Complete Access"/>
    <x v="36"/>
    <x v="0"/>
    <x v="0"/>
    <d v="1900-01-01T00:00:00"/>
    <n v="48"/>
    <x v="2"/>
    <x v="2"/>
  </r>
  <r>
    <x v="338"/>
    <n v="250"/>
    <x v="370"/>
    <n v="547.54999999999995"/>
    <s v="Complete Access"/>
    <x v="36"/>
    <x v="0"/>
    <x v="0"/>
    <d v="1900-01-01T00:00:00"/>
    <n v="48"/>
    <x v="2"/>
    <x v="2"/>
  </r>
  <r>
    <x v="338"/>
    <n v="-15"/>
    <x v="757"/>
    <n v="478.15"/>
    <s v="Complete Access"/>
    <x v="263"/>
    <x v="0"/>
    <x v="0"/>
    <d v="1900-01-01T00:00:00"/>
    <n v="48"/>
    <x v="2"/>
    <x v="2"/>
  </r>
  <r>
    <x v="338"/>
    <n v="-4.5"/>
    <x v="758"/>
    <n v="393.15"/>
    <s v="Complete Access"/>
    <x v="10"/>
    <x v="0"/>
    <x v="0"/>
    <d v="1900-01-01T00:00:00"/>
    <n v="48"/>
    <x v="2"/>
    <x v="2"/>
  </r>
  <r>
    <x v="338"/>
    <n v="-250"/>
    <x v="581"/>
    <n v="42858.86"/>
    <s v="Netbank Saver"/>
    <x v="0"/>
    <x v="0"/>
    <x v="0"/>
    <d v="1900-01-01T00:00:00"/>
    <n v="48"/>
    <x v="2"/>
    <x v="2"/>
  </r>
  <r>
    <x v="338"/>
    <n v="-100"/>
    <x v="581"/>
    <n v="42758.86"/>
    <s v="Netbank Saver"/>
    <x v="0"/>
    <x v="0"/>
    <x v="0"/>
    <d v="1900-01-01T00:00:00"/>
    <n v="48"/>
    <x v="2"/>
    <x v="2"/>
  </r>
  <r>
    <x v="339"/>
    <n v="-17"/>
    <x v="759"/>
    <n v="465.8"/>
    <s v="Complete Access"/>
    <x v="259"/>
    <x v="1"/>
    <x v="5"/>
    <d v="1899-12-31T00:00:00"/>
    <n v="48"/>
    <x v="2"/>
    <x v="2"/>
  </r>
  <r>
    <x v="339"/>
    <n v="26.8"/>
    <x v="760"/>
    <n v="492.6"/>
    <s v="Complete Access"/>
    <x v="36"/>
    <x v="0"/>
    <x v="0"/>
    <d v="1899-12-31T00:00:00"/>
    <n v="48"/>
    <x v="2"/>
    <x v="2"/>
  </r>
  <r>
    <x v="339"/>
    <n v="-195.05"/>
    <x v="761"/>
    <n v="297.55"/>
    <s v="Complete Access"/>
    <x v="76"/>
    <x v="2"/>
    <x v="2"/>
    <d v="1899-12-31T00:00:00"/>
    <n v="48"/>
    <x v="2"/>
    <x v="2"/>
  </r>
  <r>
    <x v="339"/>
    <n v="84.27"/>
    <x v="609"/>
    <n v="43108.86"/>
    <s v="Netbank Saver"/>
    <x v="240"/>
    <x v="0"/>
    <x v="55"/>
    <d v="1899-12-31T00:00:00"/>
    <n v="48"/>
    <x v="2"/>
    <x v="2"/>
  </r>
  <r>
    <x v="340"/>
    <n v="0.02"/>
    <x v="762"/>
    <n v="482.8"/>
    <s v="Complete Access"/>
    <x v="275"/>
    <x v="0"/>
    <x v="0"/>
    <d v="1900-01-29T00:00:00"/>
    <n v="48"/>
    <x v="3"/>
    <x v="2"/>
  </r>
  <r>
    <x v="341"/>
    <n v="-18.350000000000001"/>
    <x v="532"/>
    <n v="482.78"/>
    <s v="Complete Access"/>
    <x v="1"/>
    <x v="1"/>
    <x v="1"/>
    <d v="1900-01-28T00:00:00"/>
    <n v="48"/>
    <x v="3"/>
    <x v="2"/>
  </r>
  <r>
    <x v="342"/>
    <n v="-19.82"/>
    <x v="763"/>
    <n v="531.12"/>
    <s v="Complete Access"/>
    <x v="276"/>
    <x v="1"/>
    <x v="5"/>
    <d v="1900-01-27T00:00:00"/>
    <n v="48"/>
    <x v="3"/>
    <x v="2"/>
  </r>
  <r>
    <x v="342"/>
    <n v="-16"/>
    <x v="8"/>
    <n v="550.94000000000005"/>
    <s v="Complete Access"/>
    <x v="7"/>
    <x v="1"/>
    <x v="5"/>
    <d v="1900-01-27T00:00:00"/>
    <n v="48"/>
    <x v="3"/>
    <x v="2"/>
  </r>
  <r>
    <x v="342"/>
    <n v="-29.99"/>
    <x v="764"/>
    <n v="501.13"/>
    <s v="Complete Access"/>
    <x v="228"/>
    <x v="4"/>
    <x v="7"/>
    <d v="1900-01-27T00:00:00"/>
    <n v="48"/>
    <x v="3"/>
    <x v="2"/>
  </r>
  <r>
    <x v="343"/>
    <n v="-4.5"/>
    <x v="621"/>
    <n v="566.94000000000005"/>
    <s v="Complete Access"/>
    <x v="220"/>
    <x v="1"/>
    <x v="5"/>
    <d v="1900-01-26T00:00:00"/>
    <n v="48"/>
    <x v="3"/>
    <x v="2"/>
  </r>
  <r>
    <x v="343"/>
    <n v="-16.5"/>
    <x v="8"/>
    <n v="571.44000000000005"/>
    <s v="Complete Access"/>
    <x v="7"/>
    <x v="1"/>
    <x v="5"/>
    <d v="1900-01-26T00:00:00"/>
    <n v="48"/>
    <x v="3"/>
    <x v="2"/>
  </r>
  <r>
    <x v="344"/>
    <n v="-22.5"/>
    <x v="765"/>
    <n v="587.94000000000005"/>
    <s v="Complete Access"/>
    <x v="0"/>
    <x v="0"/>
    <x v="0"/>
    <d v="1900-01-25T00:00:00"/>
    <n v="48"/>
    <x v="3"/>
    <x v="2"/>
  </r>
  <r>
    <x v="345"/>
    <n v="-45.05"/>
    <x v="405"/>
    <n v="610.44000000000005"/>
    <s v="Complete Access"/>
    <x v="177"/>
    <x v="1"/>
    <x v="1"/>
    <d v="1900-01-24T00:00:00"/>
    <n v="47"/>
    <x v="3"/>
    <x v="2"/>
  </r>
  <r>
    <x v="346"/>
    <n v="-2200"/>
    <x v="538"/>
    <n v="655.49"/>
    <s v="Complete Access"/>
    <x v="0"/>
    <x v="0"/>
    <x v="0"/>
    <d v="1900-01-23T00:00:00"/>
    <n v="47"/>
    <x v="3"/>
    <x v="2"/>
  </r>
  <r>
    <x v="346"/>
    <n v="-3.6"/>
    <x v="766"/>
    <n v="2855.49"/>
    <s v="Complete Access"/>
    <x v="188"/>
    <x v="1"/>
    <x v="1"/>
    <d v="1900-01-23T00:00:00"/>
    <n v="47"/>
    <x v="3"/>
    <x v="2"/>
  </r>
  <r>
    <x v="346"/>
    <n v="-29.99"/>
    <x v="767"/>
    <n v="2859.09"/>
    <s v="Complete Access"/>
    <x v="228"/>
    <x v="4"/>
    <x v="7"/>
    <d v="1900-01-23T00:00:00"/>
    <n v="47"/>
    <x v="3"/>
    <x v="2"/>
  </r>
  <r>
    <x v="346"/>
    <n v="2200"/>
    <x v="702"/>
    <n v="43024.59"/>
    <s v="Netbank Saver"/>
    <x v="36"/>
    <x v="0"/>
    <x v="0"/>
    <d v="1900-01-23T00:00:00"/>
    <n v="47"/>
    <x v="3"/>
    <x v="2"/>
  </r>
  <r>
    <x v="347"/>
    <n v="-3.3"/>
    <x v="768"/>
    <n v="3119.53"/>
    <s v="Complete Access"/>
    <x v="188"/>
    <x v="1"/>
    <x v="1"/>
    <d v="1900-01-22T00:00:00"/>
    <n v="47"/>
    <x v="3"/>
    <x v="2"/>
  </r>
  <r>
    <x v="347"/>
    <n v="3303.84"/>
    <x v="769"/>
    <n v="3622.83"/>
    <s v="Complete Access"/>
    <x v="14"/>
    <x v="6"/>
    <x v="9"/>
    <d v="1900-01-22T00:00:00"/>
    <n v="47"/>
    <x v="3"/>
    <x v="2"/>
  </r>
  <r>
    <x v="347"/>
    <n v="-11.35"/>
    <x v="454"/>
    <n v="3098.28"/>
    <s v="Complete Access"/>
    <x v="9"/>
    <x v="4"/>
    <x v="6"/>
    <d v="1900-01-22T00:00:00"/>
    <n v="47"/>
    <x v="3"/>
    <x v="2"/>
  </r>
  <r>
    <x v="347"/>
    <n v="-9.9"/>
    <x v="770"/>
    <n v="3109.63"/>
    <s v="Complete Access"/>
    <x v="277"/>
    <x v="8"/>
    <x v="29"/>
    <d v="1900-01-22T00:00:00"/>
    <n v="47"/>
    <x v="3"/>
    <x v="2"/>
  </r>
  <r>
    <x v="347"/>
    <n v="-500"/>
    <x v="656"/>
    <n v="3122.83"/>
    <s v="Complete Access"/>
    <x v="13"/>
    <x v="0"/>
    <x v="0"/>
    <d v="1900-01-22T00:00:00"/>
    <n v="47"/>
    <x v="3"/>
    <x v="2"/>
  </r>
  <r>
    <x v="347"/>
    <n v="-209.2"/>
    <x v="771"/>
    <n v="2889.08"/>
    <s v="Complete Access"/>
    <x v="0"/>
    <x v="0"/>
    <x v="0"/>
    <d v="1900-01-22T00:00:00"/>
    <n v="47"/>
    <x v="3"/>
    <x v="2"/>
  </r>
  <r>
    <x v="348"/>
    <n v="-84.96"/>
    <x v="772"/>
    <n v="318.99"/>
    <s v="Complete Access"/>
    <x v="278"/>
    <x v="20"/>
    <x v="63"/>
    <d v="1900-01-21T00:00:00"/>
    <n v="47"/>
    <x v="3"/>
    <x v="2"/>
  </r>
  <r>
    <x v="348"/>
    <n v="-40"/>
    <x v="773"/>
    <n v="424.45"/>
    <s v="Complete Access"/>
    <x v="12"/>
    <x v="5"/>
    <x v="8"/>
    <d v="1900-01-21T00:00:00"/>
    <n v="47"/>
    <x v="3"/>
    <x v="2"/>
  </r>
  <r>
    <x v="348"/>
    <n v="-20.5"/>
    <x v="18"/>
    <n v="403.95"/>
    <s v="Complete Access"/>
    <x v="16"/>
    <x v="1"/>
    <x v="5"/>
    <d v="1900-01-21T00:00:00"/>
    <n v="47"/>
    <x v="3"/>
    <x v="2"/>
  </r>
  <r>
    <x v="348"/>
    <n v="-39.5"/>
    <x v="561"/>
    <n v="464.45"/>
    <s v="Complete Access"/>
    <x v="223"/>
    <x v="7"/>
    <x v="53"/>
    <d v="1900-01-21T00:00:00"/>
    <n v="47"/>
    <x v="3"/>
    <x v="2"/>
  </r>
  <r>
    <x v="349"/>
    <n v="-39.840000000000003"/>
    <x v="774"/>
    <n v="1301.21"/>
    <s v="Complete Access"/>
    <x v="8"/>
    <x v="1"/>
    <x v="5"/>
    <d v="1900-01-20T00:00:00"/>
    <n v="47"/>
    <x v="3"/>
    <x v="2"/>
  </r>
  <r>
    <x v="349"/>
    <n v="-38.57"/>
    <x v="775"/>
    <n v="1262.6400000000001"/>
    <s v="Complete Access"/>
    <x v="279"/>
    <x v="8"/>
    <x v="29"/>
    <d v="1900-01-20T00:00:00"/>
    <n v="47"/>
    <x v="3"/>
    <x v="2"/>
  </r>
  <r>
    <x v="349"/>
    <n v="-150"/>
    <x v="776"/>
    <n v="1112.6400000000001"/>
    <s v="Complete Access"/>
    <x v="1"/>
    <x v="1"/>
    <x v="1"/>
    <d v="1900-01-20T00:00:00"/>
    <n v="47"/>
    <x v="3"/>
    <x v="2"/>
  </r>
  <r>
    <x v="349"/>
    <n v="-8.69"/>
    <x v="532"/>
    <n v="503.95"/>
    <s v="Complete Access"/>
    <x v="1"/>
    <x v="1"/>
    <x v="1"/>
    <d v="1900-01-20T00:00:00"/>
    <n v="47"/>
    <x v="3"/>
    <x v="2"/>
  </r>
  <r>
    <x v="349"/>
    <n v="600"/>
    <x v="702"/>
    <n v="40824.589999999997"/>
    <s v="Netbank Saver"/>
    <x v="36"/>
    <x v="0"/>
    <x v="0"/>
    <d v="1900-01-20T00:00:00"/>
    <n v="47"/>
    <x v="3"/>
    <x v="2"/>
  </r>
  <r>
    <x v="349"/>
    <n v="-600"/>
    <x v="538"/>
    <n v="512.64"/>
    <s v="Complete Access"/>
    <x v="0"/>
    <x v="0"/>
    <x v="0"/>
    <d v="1900-01-20T00:00:00"/>
    <n v="47"/>
    <x v="3"/>
    <x v="2"/>
  </r>
  <r>
    <x v="350"/>
    <n v="-16.5"/>
    <x v="8"/>
    <n v="1341.05"/>
    <s v="Complete Access"/>
    <x v="7"/>
    <x v="1"/>
    <x v="5"/>
    <d v="1900-01-19T00:00:00"/>
    <n v="47"/>
    <x v="3"/>
    <x v="2"/>
  </r>
  <r>
    <x v="351"/>
    <n v="-18.18"/>
    <x v="777"/>
    <n v="1357.55"/>
    <s v="Complete Access"/>
    <x v="280"/>
    <x v="8"/>
    <x v="29"/>
    <d v="1900-01-17T00:00:00"/>
    <n v="46"/>
    <x v="3"/>
    <x v="2"/>
  </r>
  <r>
    <x v="351"/>
    <n v="-26.26"/>
    <x v="777"/>
    <n v="1375.73"/>
    <s v="Complete Access"/>
    <x v="280"/>
    <x v="8"/>
    <x v="29"/>
    <d v="1900-01-17T00:00:00"/>
    <n v="46"/>
    <x v="3"/>
    <x v="2"/>
  </r>
  <r>
    <x v="351"/>
    <n v="-69"/>
    <x v="778"/>
    <n v="1919.99"/>
    <s v="Complete Access"/>
    <x v="207"/>
    <x v="7"/>
    <x v="11"/>
    <d v="1900-01-17T00:00:00"/>
    <n v="46"/>
    <x v="3"/>
    <x v="2"/>
  </r>
  <r>
    <x v="351"/>
    <n v="-259"/>
    <x v="779"/>
    <n v="1501.99"/>
    <s v="Complete Access"/>
    <x v="281"/>
    <x v="3"/>
    <x v="15"/>
    <d v="1900-01-17T00:00:00"/>
    <n v="46"/>
    <x v="3"/>
    <x v="2"/>
  </r>
  <r>
    <x v="351"/>
    <n v="-159"/>
    <x v="780"/>
    <n v="1760.99"/>
    <s v="Complete Access"/>
    <x v="282"/>
    <x v="3"/>
    <x v="15"/>
    <d v="1900-01-17T00:00:00"/>
    <n v="46"/>
    <x v="3"/>
    <x v="2"/>
  </r>
  <r>
    <x v="351"/>
    <n v="-100"/>
    <x v="781"/>
    <n v="1401.99"/>
    <s v="Complete Access"/>
    <x v="1"/>
    <x v="1"/>
    <x v="1"/>
    <d v="1900-01-17T00:00:00"/>
    <n v="46"/>
    <x v="3"/>
    <x v="2"/>
  </r>
  <r>
    <x v="352"/>
    <n v="-40"/>
    <x v="782"/>
    <n v="2021.44"/>
    <s v="Complete Access"/>
    <x v="130"/>
    <x v="0"/>
    <x v="0"/>
    <d v="1900-01-16T00:00:00"/>
    <n v="46"/>
    <x v="3"/>
    <x v="2"/>
  </r>
  <r>
    <x v="352"/>
    <n v="-14"/>
    <x v="783"/>
    <n v="1988.99"/>
    <s v="Complete Access"/>
    <x v="283"/>
    <x v="1"/>
    <x v="5"/>
    <d v="1900-01-16T00:00:00"/>
    <n v="46"/>
    <x v="3"/>
    <x v="2"/>
  </r>
  <r>
    <x v="352"/>
    <n v="-18.45"/>
    <x v="784"/>
    <n v="2002.99"/>
    <s v="Complete Access"/>
    <x v="284"/>
    <x v="1"/>
    <x v="5"/>
    <d v="1900-01-16T00:00:00"/>
    <n v="46"/>
    <x v="3"/>
    <x v="2"/>
  </r>
  <r>
    <x v="353"/>
    <n v="5.24"/>
    <x v="6"/>
    <n v="2061.44"/>
    <s v="Complete Access"/>
    <x v="6"/>
    <x v="4"/>
    <x v="4"/>
    <d v="1900-01-15T00:00:00"/>
    <n v="46"/>
    <x v="3"/>
    <x v="2"/>
  </r>
  <r>
    <x v="353"/>
    <n v="-81.75"/>
    <x v="785"/>
    <n v="2056.1999999999998"/>
    <s v="Complete Access"/>
    <x v="1"/>
    <x v="1"/>
    <x v="1"/>
    <d v="1900-01-15T00:00:00"/>
    <n v="46"/>
    <x v="3"/>
    <x v="2"/>
  </r>
  <r>
    <x v="354"/>
    <n v="-9.99"/>
    <x v="578"/>
    <n v="2137.9499999999998"/>
    <s v="Complete Access"/>
    <x v="177"/>
    <x v="1"/>
    <x v="1"/>
    <d v="1900-01-14T00:00:00"/>
    <n v="46"/>
    <x v="3"/>
    <x v="2"/>
  </r>
  <r>
    <x v="354"/>
    <n v="-18.93"/>
    <x v="786"/>
    <n v="2147.94"/>
    <s v="Complete Access"/>
    <x v="104"/>
    <x v="1"/>
    <x v="5"/>
    <d v="1900-01-14T00:00:00"/>
    <n v="46"/>
    <x v="3"/>
    <x v="2"/>
  </r>
  <r>
    <x v="355"/>
    <n v="-15.16"/>
    <x v="787"/>
    <n v="2243.71"/>
    <s v="Complete Access"/>
    <x v="8"/>
    <x v="1"/>
    <x v="5"/>
    <d v="1900-01-13T00:00:00"/>
    <n v="46"/>
    <x v="3"/>
    <x v="2"/>
  </r>
  <r>
    <x v="355"/>
    <n v="-40.840000000000003"/>
    <x v="788"/>
    <n v="2182.87"/>
    <s v="Complete Access"/>
    <x v="8"/>
    <x v="1"/>
    <x v="5"/>
    <d v="1900-01-13T00:00:00"/>
    <n v="46"/>
    <x v="3"/>
    <x v="2"/>
  </r>
  <r>
    <x v="355"/>
    <n v="-16"/>
    <x v="8"/>
    <n v="2166.87"/>
    <s v="Complete Access"/>
    <x v="7"/>
    <x v="1"/>
    <x v="5"/>
    <d v="1900-01-13T00:00:00"/>
    <n v="46"/>
    <x v="3"/>
    <x v="2"/>
  </r>
  <r>
    <x v="355"/>
    <n v="-20"/>
    <x v="789"/>
    <n v="2223.71"/>
    <s v="Complete Access"/>
    <x v="15"/>
    <x v="4"/>
    <x v="10"/>
    <d v="1900-01-13T00:00:00"/>
    <n v="46"/>
    <x v="3"/>
    <x v="2"/>
  </r>
  <r>
    <x v="356"/>
    <n v="-22"/>
    <x v="96"/>
    <n v="2258.87"/>
    <s v="Complete Access"/>
    <x v="47"/>
    <x v="1"/>
    <x v="5"/>
    <d v="1900-01-12T00:00:00"/>
    <n v="46"/>
    <x v="3"/>
    <x v="2"/>
  </r>
  <r>
    <x v="357"/>
    <n v="-35.08"/>
    <x v="451"/>
    <n v="2280.87"/>
    <s v="Complete Access"/>
    <x v="190"/>
    <x v="8"/>
    <x v="29"/>
    <d v="1900-01-11T00:00:00"/>
    <n v="46"/>
    <x v="3"/>
    <x v="2"/>
  </r>
  <r>
    <x v="358"/>
    <n v="-39.01"/>
    <x v="405"/>
    <n v="2315.9499999999998"/>
    <s v="Complete Access"/>
    <x v="177"/>
    <x v="1"/>
    <x v="1"/>
    <d v="1900-01-10T00:00:00"/>
    <n v="45"/>
    <x v="3"/>
    <x v="2"/>
  </r>
  <r>
    <x v="359"/>
    <n v="-10.3"/>
    <x v="790"/>
    <n v="1767.96"/>
    <s v="Complete Access"/>
    <x v="285"/>
    <x v="5"/>
    <x v="8"/>
    <d v="1900-01-09T00:00:00"/>
    <n v="45"/>
    <x v="3"/>
    <x v="2"/>
  </r>
  <r>
    <x v="359"/>
    <n v="-10.3"/>
    <x v="790"/>
    <n v="1778.26"/>
    <s v="Complete Access"/>
    <x v="285"/>
    <x v="5"/>
    <x v="8"/>
    <d v="1900-01-09T00:00:00"/>
    <n v="45"/>
    <x v="3"/>
    <x v="2"/>
  </r>
  <r>
    <x v="359"/>
    <n v="600"/>
    <x v="370"/>
    <n v="2354.96"/>
    <s v="Complete Access"/>
    <x v="36"/>
    <x v="0"/>
    <x v="0"/>
    <d v="1900-01-09T00:00:00"/>
    <n v="45"/>
    <x v="3"/>
    <x v="2"/>
  </r>
  <r>
    <x v="359"/>
    <n v="-13"/>
    <x v="791"/>
    <n v="1754.96"/>
    <s v="Complete Access"/>
    <x v="286"/>
    <x v="1"/>
    <x v="5"/>
    <d v="1900-01-09T00:00:00"/>
    <n v="45"/>
    <x v="3"/>
    <x v="2"/>
  </r>
  <r>
    <x v="359"/>
    <n v="-600"/>
    <x v="581"/>
    <n v="40224.589999999997"/>
    <s v="Netbank Saver"/>
    <x v="0"/>
    <x v="0"/>
    <x v="0"/>
    <d v="1900-01-09T00:00:00"/>
    <n v="45"/>
    <x v="3"/>
    <x v="2"/>
  </r>
  <r>
    <x v="360"/>
    <n v="2375.25"/>
    <x v="792"/>
    <n v="2549.91"/>
    <s v="Complete Access"/>
    <x v="14"/>
    <x v="6"/>
    <x v="9"/>
    <d v="1900-01-08T00:00:00"/>
    <n v="45"/>
    <x v="3"/>
    <x v="2"/>
  </r>
  <r>
    <x v="360"/>
    <n v="-11.35"/>
    <x v="454"/>
    <n v="1788.56"/>
    <s v="Complete Access"/>
    <x v="9"/>
    <x v="4"/>
    <x v="6"/>
    <d v="1900-01-08T00:00:00"/>
    <n v="45"/>
    <x v="3"/>
    <x v="2"/>
  </r>
  <r>
    <x v="360"/>
    <n v="-500"/>
    <x v="656"/>
    <n v="1799.91"/>
    <s v="Complete Access"/>
    <x v="13"/>
    <x v="0"/>
    <x v="0"/>
    <d v="1900-01-08T00:00:00"/>
    <n v="45"/>
    <x v="3"/>
    <x v="2"/>
  </r>
  <r>
    <x v="360"/>
    <n v="-250"/>
    <x v="793"/>
    <n v="2299.91"/>
    <s v="Complete Access"/>
    <x v="261"/>
    <x v="19"/>
    <x v="61"/>
    <d v="1900-01-08T00:00:00"/>
    <n v="45"/>
    <x v="3"/>
    <x v="2"/>
  </r>
  <r>
    <x v="361"/>
    <n v="-4.9000000000000004"/>
    <x v="794"/>
    <n v="244.33"/>
    <s v="Complete Access"/>
    <x v="188"/>
    <x v="1"/>
    <x v="1"/>
    <d v="1900-01-07T00:00:00"/>
    <n v="45"/>
    <x v="3"/>
    <x v="2"/>
  </r>
  <r>
    <x v="361"/>
    <n v="-11.9"/>
    <x v="18"/>
    <n v="174.66"/>
    <s v="Complete Access"/>
    <x v="16"/>
    <x v="1"/>
    <x v="5"/>
    <d v="1900-01-07T00:00:00"/>
    <n v="45"/>
    <x v="3"/>
    <x v="2"/>
  </r>
  <r>
    <x v="361"/>
    <n v="-57.77"/>
    <x v="795"/>
    <n v="186.56"/>
    <s v="Complete Access"/>
    <x v="1"/>
    <x v="1"/>
    <x v="1"/>
    <d v="1900-01-07T00:00:00"/>
    <n v="45"/>
    <x v="3"/>
    <x v="2"/>
  </r>
  <r>
    <x v="362"/>
    <n v="-341.09"/>
    <x v="796"/>
    <n v="249.23"/>
    <s v="Complete Access"/>
    <x v="287"/>
    <x v="10"/>
    <x v="13"/>
    <d v="1900-01-06T00:00:00"/>
    <n v="45"/>
    <x v="3"/>
    <x v="2"/>
  </r>
  <r>
    <x v="363"/>
    <n v="-16"/>
    <x v="8"/>
    <n v="590.32000000000005"/>
    <s v="Complete Access"/>
    <x v="7"/>
    <x v="1"/>
    <x v="5"/>
    <d v="1900-01-05T00:00:00"/>
    <n v="45"/>
    <x v="3"/>
    <x v="2"/>
  </r>
  <r>
    <x v="364"/>
    <n v="-39.35"/>
    <x v="578"/>
    <n v="606.32000000000005"/>
    <s v="Complete Access"/>
    <x v="177"/>
    <x v="1"/>
    <x v="1"/>
    <d v="1900-01-03T00:00:00"/>
    <n v="44"/>
    <x v="3"/>
    <x v="2"/>
  </r>
  <r>
    <x v="365"/>
    <n v="500"/>
    <x v="370"/>
    <n v="645.66999999999996"/>
    <s v="Complete Access"/>
    <x v="36"/>
    <x v="0"/>
    <x v="0"/>
    <d v="1900-01-02T00:00:00"/>
    <n v="44"/>
    <x v="3"/>
    <x v="2"/>
  </r>
  <r>
    <x v="365"/>
    <n v="100"/>
    <x v="370"/>
    <n v="470.67"/>
    <s v="Complete Access"/>
    <x v="36"/>
    <x v="0"/>
    <x v="0"/>
    <d v="1900-01-02T00:00:00"/>
    <n v="44"/>
    <x v="3"/>
    <x v="2"/>
  </r>
  <r>
    <x v="365"/>
    <n v="-325"/>
    <x v="797"/>
    <n v="145.66999999999999"/>
    <s v="Complete Access"/>
    <x v="199"/>
    <x v="14"/>
    <x v="46"/>
    <d v="1900-01-02T00:00:00"/>
    <n v="44"/>
    <x v="3"/>
    <x v="2"/>
  </r>
  <r>
    <x v="365"/>
    <n v="-500"/>
    <x v="581"/>
    <n v="40824.589999999997"/>
    <s v="Netbank Saver"/>
    <x v="0"/>
    <x v="0"/>
    <x v="0"/>
    <d v="1900-01-02T00:00:00"/>
    <n v="44"/>
    <x v="3"/>
    <x v="2"/>
  </r>
  <r>
    <x v="365"/>
    <n v="-100"/>
    <x v="581"/>
    <n v="41324.589999999997"/>
    <s v="Netbank Saver"/>
    <x v="0"/>
    <x v="0"/>
    <x v="0"/>
    <d v="1900-01-02T00:00:00"/>
    <n v="44"/>
    <x v="3"/>
    <x v="2"/>
  </r>
  <r>
    <x v="366"/>
    <n v="-10.15"/>
    <x v="798"/>
    <n v="370.67"/>
    <s v="Complete Access"/>
    <x v="188"/>
    <x v="1"/>
    <x v="1"/>
    <d v="1900-01-01T00:00:00"/>
    <n v="44"/>
    <x v="3"/>
    <x v="2"/>
  </r>
  <r>
    <x v="367"/>
    <n v="-40"/>
    <x v="799"/>
    <n v="1075.8699999999999"/>
    <s v="Complete Access"/>
    <x v="12"/>
    <x v="5"/>
    <x v="8"/>
    <d v="1899-12-31T00:00:00"/>
    <n v="44"/>
    <x v="3"/>
    <x v="2"/>
  </r>
  <r>
    <x v="367"/>
    <n v="1000"/>
    <x v="800"/>
    <n v="1115.8699999999999"/>
    <s v="Complete Access"/>
    <x v="288"/>
    <x v="6"/>
    <x v="64"/>
    <d v="1899-12-31T00:00:00"/>
    <n v="44"/>
    <x v="3"/>
    <x v="2"/>
  </r>
  <r>
    <x v="367"/>
    <n v="-195.05"/>
    <x v="801"/>
    <n v="380.82"/>
    <s v="Complete Access"/>
    <x v="76"/>
    <x v="2"/>
    <x v="2"/>
    <d v="1899-12-31T00:00:00"/>
    <n v="44"/>
    <x v="3"/>
    <x v="2"/>
  </r>
  <r>
    <x v="367"/>
    <n v="500"/>
    <x v="702"/>
    <n v="41424.589999999997"/>
    <s v="Netbank Saver"/>
    <x v="36"/>
    <x v="0"/>
    <x v="0"/>
    <d v="1899-12-31T00:00:00"/>
    <n v="44"/>
    <x v="3"/>
    <x v="2"/>
  </r>
  <r>
    <x v="367"/>
    <n v="144.13999999999999"/>
    <x v="609"/>
    <n v="40924.589999999997"/>
    <s v="Netbank Saver"/>
    <x v="240"/>
    <x v="0"/>
    <x v="55"/>
    <d v="1899-12-31T00:00:00"/>
    <n v="44"/>
    <x v="3"/>
    <x v="2"/>
  </r>
  <r>
    <x v="367"/>
    <n v="-500"/>
    <x v="538"/>
    <n v="575.87"/>
    <s v="Complete Access"/>
    <x v="0"/>
    <x v="0"/>
    <x v="0"/>
    <d v="1899-12-31T00:00:00"/>
    <n v="44"/>
    <x v="3"/>
    <x v="2"/>
  </r>
  <r>
    <x v="368"/>
    <n v="-33.979999999999997"/>
    <x v="802"/>
    <n v="312.27999999999997"/>
    <s v="Complete Access"/>
    <x v="8"/>
    <x v="1"/>
    <x v="5"/>
    <d v="1900-01-30T00:00:00"/>
    <n v="44"/>
    <x v="4"/>
    <x v="2"/>
  </r>
  <r>
    <x v="368"/>
    <n v="-37.840000000000003"/>
    <x v="803"/>
    <n v="108.79"/>
    <s v="Complete Access"/>
    <x v="8"/>
    <x v="1"/>
    <x v="5"/>
    <d v="1900-01-30T00:00:00"/>
    <n v="44"/>
    <x v="4"/>
    <x v="2"/>
  </r>
  <r>
    <x v="368"/>
    <n v="200"/>
    <x v="370"/>
    <n v="298.89"/>
    <s v="Complete Access"/>
    <x v="36"/>
    <x v="0"/>
    <x v="0"/>
    <d v="1900-01-30T00:00:00"/>
    <n v="44"/>
    <x v="4"/>
    <x v="2"/>
  </r>
  <r>
    <x v="368"/>
    <n v="-149"/>
    <x v="804"/>
    <n v="163.28"/>
    <s v="Complete Access"/>
    <x v="289"/>
    <x v="3"/>
    <x v="15"/>
    <d v="1900-01-30T00:00:00"/>
    <n v="44"/>
    <x v="4"/>
    <x v="2"/>
  </r>
  <r>
    <x v="368"/>
    <n v="-183.02"/>
    <x v="805"/>
    <n v="115.87"/>
    <s v="Complete Access"/>
    <x v="290"/>
    <x v="1"/>
    <x v="5"/>
    <d v="1900-01-30T00:00:00"/>
    <n v="44"/>
    <x v="4"/>
    <x v="2"/>
  </r>
  <r>
    <x v="368"/>
    <n v="-16.649999999999999"/>
    <x v="806"/>
    <n v="146.63"/>
    <s v="Complete Access"/>
    <x v="291"/>
    <x v="8"/>
    <x v="29"/>
    <d v="1900-01-30T00:00:00"/>
    <n v="44"/>
    <x v="4"/>
    <x v="2"/>
  </r>
  <r>
    <x v="368"/>
    <n v="-9.9"/>
    <x v="807"/>
    <n v="98.89"/>
    <s v="Complete Access"/>
    <x v="277"/>
    <x v="8"/>
    <x v="29"/>
    <d v="1900-01-30T00:00:00"/>
    <n v="44"/>
    <x v="4"/>
    <x v="2"/>
  </r>
  <r>
    <x v="368"/>
    <n v="-200"/>
    <x v="581"/>
    <n v="40780.449999999997"/>
    <s v="Netbank Saver"/>
    <x v="0"/>
    <x v="0"/>
    <x v="0"/>
    <d v="1900-01-30T00:00:00"/>
    <n v="44"/>
    <x v="4"/>
    <x v="2"/>
  </r>
  <r>
    <x v="369"/>
    <n v="-16.5"/>
    <x v="8"/>
    <n v="479.23"/>
    <s v="Complete Access"/>
    <x v="7"/>
    <x v="1"/>
    <x v="5"/>
    <d v="1900-01-29T00:00:00"/>
    <n v="44"/>
    <x v="4"/>
    <x v="2"/>
  </r>
  <r>
    <x v="369"/>
    <n v="-132.97"/>
    <x v="808"/>
    <n v="346.26"/>
    <s v="Complete Access"/>
    <x v="292"/>
    <x v="3"/>
    <x v="15"/>
    <d v="1900-01-29T00:00:00"/>
    <n v="44"/>
    <x v="4"/>
    <x v="2"/>
  </r>
  <r>
    <x v="370"/>
    <n v="-12.36"/>
    <x v="532"/>
    <n v="495.73"/>
    <s v="Complete Access"/>
    <x v="1"/>
    <x v="1"/>
    <x v="1"/>
    <d v="1900-01-27T00:00:00"/>
    <n v="43"/>
    <x v="4"/>
    <x v="2"/>
  </r>
  <r>
    <x v="371"/>
    <n v="-2600"/>
    <x v="538"/>
    <n v="508.09"/>
    <s v="Complete Access"/>
    <x v="0"/>
    <x v="0"/>
    <x v="0"/>
    <d v="1900-01-26T00:00:00"/>
    <n v="43"/>
    <x v="4"/>
    <x v="2"/>
  </r>
  <r>
    <x v="371"/>
    <n v="-40"/>
    <x v="782"/>
    <n v="3108.09"/>
    <s v="Complete Access"/>
    <x v="130"/>
    <x v="0"/>
    <x v="0"/>
    <d v="1900-01-26T00:00:00"/>
    <n v="43"/>
    <x v="4"/>
    <x v="2"/>
  </r>
  <r>
    <x v="371"/>
    <n v="1099"/>
    <x v="809"/>
    <n v="3180.6"/>
    <s v="Complete Access"/>
    <x v="36"/>
    <x v="0"/>
    <x v="0"/>
    <d v="1900-01-26T00:00:00"/>
    <n v="43"/>
    <x v="4"/>
    <x v="2"/>
  </r>
  <r>
    <x v="371"/>
    <n v="-32.51"/>
    <x v="810"/>
    <n v="3148.09"/>
    <s v="Complete Access"/>
    <x v="293"/>
    <x v="15"/>
    <x v="65"/>
    <d v="1900-01-26T00:00:00"/>
    <n v="43"/>
    <x v="4"/>
    <x v="2"/>
  </r>
  <r>
    <x v="371"/>
    <n v="2600"/>
    <x v="702"/>
    <n v="40980.449999999997"/>
    <s v="Netbank Saver"/>
    <x v="36"/>
    <x v="0"/>
    <x v="0"/>
    <d v="1900-01-26T00:00:00"/>
    <n v="43"/>
    <x v="4"/>
    <x v="2"/>
  </r>
  <r>
    <x v="372"/>
    <n v="2348.84"/>
    <x v="811"/>
    <n v="2404.5100000000002"/>
    <s v="Complete Access"/>
    <x v="14"/>
    <x v="6"/>
    <x v="9"/>
    <d v="1900-01-25T00:00:00"/>
    <n v="43"/>
    <x v="4"/>
    <x v="2"/>
  </r>
  <r>
    <x v="372"/>
    <n v="-48.96"/>
    <x v="177"/>
    <n v="2092.9499999999998"/>
    <s v="Complete Access"/>
    <x v="72"/>
    <x v="1"/>
    <x v="5"/>
    <d v="1900-01-25T00:00:00"/>
    <n v="43"/>
    <x v="4"/>
    <x v="2"/>
  </r>
  <r>
    <x v="372"/>
    <n v="-11.35"/>
    <x v="454"/>
    <n v="2081.6"/>
    <s v="Complete Access"/>
    <x v="9"/>
    <x v="4"/>
    <x v="6"/>
    <d v="1900-01-25T00:00:00"/>
    <n v="43"/>
    <x v="4"/>
    <x v="2"/>
  </r>
  <r>
    <x v="372"/>
    <n v="-12.6"/>
    <x v="812"/>
    <n v="2391.91"/>
    <s v="Complete Access"/>
    <x v="294"/>
    <x v="8"/>
    <x v="29"/>
    <d v="1900-01-25T00:00:00"/>
    <n v="43"/>
    <x v="4"/>
    <x v="2"/>
  </r>
  <r>
    <x v="372"/>
    <n v="-250"/>
    <x v="656"/>
    <n v="2141.91"/>
    <s v="Complete Access"/>
    <x v="13"/>
    <x v="0"/>
    <x v="0"/>
    <d v="1900-01-25T00:00:00"/>
    <n v="43"/>
    <x v="4"/>
    <x v="2"/>
  </r>
  <r>
    <x v="373"/>
    <n v="150"/>
    <x v="370"/>
    <n v="158.66999999999999"/>
    <s v="Complete Access"/>
    <x v="36"/>
    <x v="0"/>
    <x v="0"/>
    <d v="1900-01-24T00:00:00"/>
    <n v="43"/>
    <x v="4"/>
    <x v="2"/>
  </r>
  <r>
    <x v="373"/>
    <n v="-129.32"/>
    <x v="813"/>
    <n v="8.67"/>
    <s v="Complete Access"/>
    <x v="295"/>
    <x v="14"/>
    <x v="66"/>
    <d v="1900-01-24T00:00:00"/>
    <n v="43"/>
    <x v="4"/>
    <x v="2"/>
  </r>
  <r>
    <x v="373"/>
    <n v="-30"/>
    <x v="814"/>
    <n v="67.67"/>
    <s v="Complete Access"/>
    <x v="296"/>
    <x v="8"/>
    <x v="22"/>
    <d v="1900-01-24T00:00:00"/>
    <n v="43"/>
    <x v="4"/>
    <x v="2"/>
  </r>
  <r>
    <x v="373"/>
    <n v="-12"/>
    <x v="812"/>
    <n v="55.67"/>
    <s v="Complete Access"/>
    <x v="294"/>
    <x v="8"/>
    <x v="29"/>
    <d v="1900-01-24T00:00:00"/>
    <n v="43"/>
    <x v="4"/>
    <x v="2"/>
  </r>
  <r>
    <x v="373"/>
    <n v="-150"/>
    <x v="581"/>
    <n v="38380.449999999997"/>
    <s v="Netbank Saver"/>
    <x v="0"/>
    <x v="0"/>
    <x v="0"/>
    <d v="1900-01-24T00:00:00"/>
    <n v="43"/>
    <x v="4"/>
    <x v="2"/>
  </r>
  <r>
    <x v="373"/>
    <n v="-61"/>
    <x v="815"/>
    <n v="97.67"/>
    <s v="Complete Access"/>
    <x v="0"/>
    <x v="0"/>
    <x v="0"/>
    <d v="1900-01-24T00:00:00"/>
    <n v="43"/>
    <x v="4"/>
    <x v="2"/>
  </r>
  <r>
    <x v="373"/>
    <n v="-61"/>
    <x v="816"/>
    <n v="97.67"/>
    <s v="Complete Access"/>
    <x v="0"/>
    <x v="0"/>
    <x v="0"/>
    <d v="1900-01-24T00:00:00"/>
    <n v="43"/>
    <x v="4"/>
    <x v="2"/>
  </r>
  <r>
    <x v="373"/>
    <n v="61"/>
    <x v="817"/>
    <n v="158.66999999999999"/>
    <s v="Complete Access"/>
    <x v="13"/>
    <x v="0"/>
    <x v="0"/>
    <d v="1900-01-24T00:00:00"/>
    <n v="43"/>
    <x v="4"/>
    <x v="2"/>
  </r>
  <r>
    <x v="374"/>
    <n v="-3.5"/>
    <x v="621"/>
    <n v="137.99"/>
    <s v="Complete Access"/>
    <x v="220"/>
    <x v="1"/>
    <x v="5"/>
    <d v="1900-01-23T00:00:00"/>
    <n v="43"/>
    <x v="4"/>
    <x v="2"/>
  </r>
  <r>
    <x v="374"/>
    <n v="-16"/>
    <x v="8"/>
    <n v="141.49"/>
    <s v="Complete Access"/>
    <x v="7"/>
    <x v="1"/>
    <x v="5"/>
    <d v="1900-01-23T00:00:00"/>
    <n v="43"/>
    <x v="4"/>
    <x v="2"/>
  </r>
  <r>
    <x v="374"/>
    <n v="-29.99"/>
    <x v="616"/>
    <n v="157.49"/>
    <s v="Complete Access"/>
    <x v="228"/>
    <x v="4"/>
    <x v="7"/>
    <d v="1900-01-23T00:00:00"/>
    <n v="43"/>
    <x v="4"/>
    <x v="2"/>
  </r>
  <r>
    <x v="375"/>
    <n v="100"/>
    <x v="370"/>
    <n v="187.48"/>
    <s v="Complete Access"/>
    <x v="36"/>
    <x v="0"/>
    <x v="0"/>
    <d v="1900-01-22T00:00:00"/>
    <n v="43"/>
    <x v="4"/>
    <x v="2"/>
  </r>
  <r>
    <x v="375"/>
    <n v="-16.5"/>
    <x v="8"/>
    <n v="87.48"/>
    <s v="Complete Access"/>
    <x v="7"/>
    <x v="1"/>
    <x v="5"/>
    <d v="1900-01-22T00:00:00"/>
    <n v="43"/>
    <x v="4"/>
    <x v="2"/>
  </r>
  <r>
    <x v="375"/>
    <n v="-29.99"/>
    <x v="616"/>
    <n v="103.98"/>
    <s v="Complete Access"/>
    <x v="228"/>
    <x v="4"/>
    <x v="7"/>
    <d v="1900-01-22T00:00:00"/>
    <n v="43"/>
    <x v="4"/>
    <x v="2"/>
  </r>
  <r>
    <x v="375"/>
    <n v="-100"/>
    <x v="581"/>
    <n v="38530.449999999997"/>
    <s v="Netbank Saver"/>
    <x v="0"/>
    <x v="0"/>
    <x v="0"/>
    <d v="1900-01-22T00:00:00"/>
    <n v="43"/>
    <x v="4"/>
    <x v="2"/>
  </r>
  <r>
    <x v="376"/>
    <n v="-12.66"/>
    <x v="531"/>
    <n v="133.97"/>
    <s v="Complete Access"/>
    <x v="215"/>
    <x v="1"/>
    <x v="1"/>
    <d v="1900-01-21T00:00:00"/>
    <n v="43"/>
    <x v="4"/>
    <x v="2"/>
  </r>
  <r>
    <x v="376"/>
    <n v="-39.5"/>
    <x v="561"/>
    <n v="146.63"/>
    <s v="Complete Access"/>
    <x v="223"/>
    <x v="7"/>
    <x v="53"/>
    <d v="1900-01-21T00:00:00"/>
    <n v="43"/>
    <x v="4"/>
    <x v="2"/>
  </r>
  <r>
    <x v="377"/>
    <n v="-15.99"/>
    <x v="818"/>
    <n v="283.25"/>
    <s v="Complete Access"/>
    <x v="259"/>
    <x v="1"/>
    <x v="5"/>
    <d v="1900-01-20T00:00:00"/>
    <n v="42"/>
    <x v="4"/>
    <x v="2"/>
  </r>
  <r>
    <x v="377"/>
    <n v="-64.62"/>
    <x v="532"/>
    <n v="218.63"/>
    <s v="Complete Access"/>
    <x v="1"/>
    <x v="1"/>
    <x v="1"/>
    <d v="1900-01-20T00:00:00"/>
    <n v="42"/>
    <x v="4"/>
    <x v="2"/>
  </r>
  <r>
    <x v="377"/>
    <n v="-32.5"/>
    <x v="819"/>
    <n v="186.13"/>
    <s v="Complete Access"/>
    <x v="0"/>
    <x v="0"/>
    <x v="0"/>
    <d v="1900-01-20T00:00:00"/>
    <n v="42"/>
    <x v="4"/>
    <x v="2"/>
  </r>
  <r>
    <x v="378"/>
    <n v="-2.4500000000000002"/>
    <x v="820"/>
    <n v="348.13"/>
    <s v="Complete Access"/>
    <x v="188"/>
    <x v="1"/>
    <x v="1"/>
    <d v="1900-01-19T00:00:00"/>
    <n v="42"/>
    <x v="4"/>
    <x v="2"/>
  </r>
  <r>
    <x v="378"/>
    <n v="-69.459999999999994"/>
    <x v="821"/>
    <n v="350.58"/>
    <s v="Complete Access"/>
    <x v="207"/>
    <x v="7"/>
    <x v="11"/>
    <d v="1900-01-19T00:00:00"/>
    <n v="42"/>
    <x v="4"/>
    <x v="2"/>
  </r>
  <r>
    <x v="378"/>
    <n v="-42.39"/>
    <x v="28"/>
    <n v="299.24"/>
    <s v="Complete Access"/>
    <x v="20"/>
    <x v="9"/>
    <x v="12"/>
    <d v="1900-01-19T00:00:00"/>
    <n v="42"/>
    <x v="4"/>
    <x v="2"/>
  </r>
  <r>
    <x v="378"/>
    <n v="-6.5"/>
    <x v="531"/>
    <n v="341.63"/>
    <s v="Complete Access"/>
    <x v="215"/>
    <x v="1"/>
    <x v="1"/>
    <d v="1900-01-19T00:00:00"/>
    <n v="42"/>
    <x v="4"/>
    <x v="2"/>
  </r>
  <r>
    <x v="379"/>
    <n v="-40"/>
    <x v="822"/>
    <n v="450.5"/>
    <s v="Complete Access"/>
    <x v="12"/>
    <x v="5"/>
    <x v="8"/>
    <d v="1900-01-18T00:00:00"/>
    <n v="42"/>
    <x v="4"/>
    <x v="2"/>
  </r>
  <r>
    <x v="379"/>
    <n v="-30.46"/>
    <x v="823"/>
    <n v="420.04"/>
    <s v="Complete Access"/>
    <x v="1"/>
    <x v="1"/>
    <x v="1"/>
    <d v="1900-01-18T00:00:00"/>
    <n v="42"/>
    <x v="4"/>
    <x v="2"/>
  </r>
  <r>
    <x v="380"/>
    <n v="-16"/>
    <x v="8"/>
    <n v="325.5"/>
    <s v="Complete Access"/>
    <x v="7"/>
    <x v="1"/>
    <x v="5"/>
    <d v="1900-01-17T00:00:00"/>
    <n v="42"/>
    <x v="4"/>
    <x v="2"/>
  </r>
  <r>
    <x v="380"/>
    <n v="165"/>
    <x v="824"/>
    <n v="490.5"/>
    <s v="Complete Access"/>
    <x v="76"/>
    <x v="2"/>
    <x v="2"/>
    <d v="1900-01-17T00:00:00"/>
    <n v="42"/>
    <x v="4"/>
    <x v="2"/>
  </r>
  <r>
    <x v="381"/>
    <n v="-36.72"/>
    <x v="825"/>
    <n v="877.86"/>
    <s v="Complete Access"/>
    <x v="8"/>
    <x v="1"/>
    <x v="5"/>
    <d v="1900-01-16T00:00:00"/>
    <n v="42"/>
    <x v="4"/>
    <x v="2"/>
  </r>
  <r>
    <x v="381"/>
    <n v="-70.989999999999995"/>
    <x v="826"/>
    <n v="914.58"/>
    <s v="Complete Access"/>
    <x v="8"/>
    <x v="1"/>
    <x v="5"/>
    <d v="1900-01-16T00:00:00"/>
    <n v="42"/>
    <x v="4"/>
    <x v="2"/>
  </r>
  <r>
    <x v="381"/>
    <n v="-14.2"/>
    <x v="827"/>
    <n v="836.5"/>
    <s v="Complete Access"/>
    <x v="297"/>
    <x v="1"/>
    <x v="5"/>
    <d v="1900-01-16T00:00:00"/>
    <n v="42"/>
    <x v="4"/>
    <x v="2"/>
  </r>
  <r>
    <x v="381"/>
    <n v="-495"/>
    <x v="828"/>
    <n v="341.5"/>
    <s v="Complete Access"/>
    <x v="192"/>
    <x v="4"/>
    <x v="20"/>
    <d v="1900-01-16T00:00:00"/>
    <n v="42"/>
    <x v="4"/>
    <x v="2"/>
  </r>
  <r>
    <x v="381"/>
    <n v="-7.8"/>
    <x v="829"/>
    <n v="870.06"/>
    <s v="Complete Access"/>
    <x v="218"/>
    <x v="8"/>
    <x v="29"/>
    <d v="1900-01-16T00:00:00"/>
    <n v="42"/>
    <x v="4"/>
    <x v="2"/>
  </r>
  <r>
    <x v="381"/>
    <n v="-13.99"/>
    <x v="533"/>
    <n v="850.7"/>
    <s v="Complete Access"/>
    <x v="215"/>
    <x v="1"/>
    <x v="1"/>
    <d v="1900-01-16T00:00:00"/>
    <n v="42"/>
    <x v="4"/>
    <x v="2"/>
  </r>
  <r>
    <x v="381"/>
    <n v="-5.37"/>
    <x v="405"/>
    <n v="864.69"/>
    <s v="Complete Access"/>
    <x v="177"/>
    <x v="1"/>
    <x v="1"/>
    <d v="1900-01-16T00:00:00"/>
    <n v="42"/>
    <x v="4"/>
    <x v="2"/>
  </r>
  <r>
    <x v="382"/>
    <n v="-3.5"/>
    <x v="621"/>
    <n v="985.57"/>
    <s v="Complete Access"/>
    <x v="220"/>
    <x v="1"/>
    <x v="5"/>
    <d v="1900-01-15T00:00:00"/>
    <n v="42"/>
    <x v="4"/>
    <x v="2"/>
  </r>
  <r>
    <x v="382"/>
    <n v="-16.5"/>
    <x v="8"/>
    <n v="989.07"/>
    <s v="Complete Access"/>
    <x v="7"/>
    <x v="1"/>
    <x v="5"/>
    <d v="1900-01-15T00:00:00"/>
    <n v="42"/>
    <x v="4"/>
    <x v="2"/>
  </r>
  <r>
    <x v="383"/>
    <n v="-1099"/>
    <x v="830"/>
    <n v="1005.57"/>
    <s v="Complete Access"/>
    <x v="298"/>
    <x v="4"/>
    <x v="30"/>
    <d v="1900-01-13T00:00:00"/>
    <n v="41"/>
    <x v="4"/>
    <x v="2"/>
  </r>
  <r>
    <x v="384"/>
    <n v="-15.6"/>
    <x v="831"/>
    <n v="2104.5700000000002"/>
    <s v="Complete Access"/>
    <x v="218"/>
    <x v="8"/>
    <x v="29"/>
    <d v="1900-01-12T00:00:00"/>
    <n v="41"/>
    <x v="4"/>
    <x v="2"/>
  </r>
  <r>
    <x v="384"/>
    <n v="-6"/>
    <x v="831"/>
    <n v="2120.17"/>
    <s v="Complete Access"/>
    <x v="218"/>
    <x v="8"/>
    <x v="29"/>
    <d v="1900-01-12T00:00:00"/>
    <n v="41"/>
    <x v="4"/>
    <x v="2"/>
  </r>
  <r>
    <x v="385"/>
    <n v="2348.83"/>
    <x v="832"/>
    <n v="2387.52"/>
    <s v="Complete Access"/>
    <x v="14"/>
    <x v="6"/>
    <x v="9"/>
    <d v="1900-01-11T00:00:00"/>
    <n v="41"/>
    <x v="4"/>
    <x v="2"/>
  </r>
  <r>
    <x v="385"/>
    <n v="-11.35"/>
    <x v="454"/>
    <n v="2126.17"/>
    <s v="Complete Access"/>
    <x v="9"/>
    <x v="4"/>
    <x v="6"/>
    <d v="1900-01-11T00:00:00"/>
    <n v="41"/>
    <x v="4"/>
    <x v="2"/>
  </r>
  <r>
    <x v="385"/>
    <n v="-250"/>
    <x v="656"/>
    <n v="2137.52"/>
    <s v="Complete Access"/>
    <x v="13"/>
    <x v="0"/>
    <x v="0"/>
    <d v="1900-01-11T00:00:00"/>
    <n v="41"/>
    <x v="4"/>
    <x v="2"/>
  </r>
  <r>
    <x v="386"/>
    <n v="-24.36"/>
    <x v="833"/>
    <n v="38.69"/>
    <s v="Complete Access"/>
    <x v="299"/>
    <x v="8"/>
    <x v="29"/>
    <d v="1900-01-10T00:00:00"/>
    <n v="41"/>
    <x v="4"/>
    <x v="2"/>
  </r>
  <r>
    <x v="386"/>
    <n v="-34.51"/>
    <x v="833"/>
    <n v="63.05"/>
    <s v="Complete Access"/>
    <x v="299"/>
    <x v="8"/>
    <x v="29"/>
    <d v="1900-01-10T00:00:00"/>
    <n v="41"/>
    <x v="4"/>
    <x v="2"/>
  </r>
  <r>
    <x v="386"/>
    <n v="-12.18"/>
    <x v="834"/>
    <n v="97.56"/>
    <s v="Complete Access"/>
    <x v="299"/>
    <x v="8"/>
    <x v="29"/>
    <d v="1900-01-10T00:00:00"/>
    <n v="41"/>
    <x v="4"/>
    <x v="2"/>
  </r>
  <r>
    <x v="387"/>
    <n v="-8.07"/>
    <x v="835"/>
    <n v="109.74"/>
    <s v="Complete Access"/>
    <x v="300"/>
    <x v="3"/>
    <x v="26"/>
    <d v="1900-01-09T00:00:00"/>
    <n v="41"/>
    <x v="4"/>
    <x v="2"/>
  </r>
  <r>
    <x v="388"/>
    <n v="150"/>
    <x v="370"/>
    <n v="166.96"/>
    <s v="Complete Access"/>
    <x v="36"/>
    <x v="0"/>
    <x v="0"/>
    <d v="1900-01-07T00:00:00"/>
    <n v="41"/>
    <x v="4"/>
    <x v="2"/>
  </r>
  <r>
    <x v="388"/>
    <n v="-32.99"/>
    <x v="836"/>
    <n v="117.81"/>
    <s v="Complete Access"/>
    <x v="237"/>
    <x v="15"/>
    <x v="34"/>
    <d v="1900-01-07T00:00:00"/>
    <n v="41"/>
    <x v="4"/>
    <x v="2"/>
  </r>
  <r>
    <x v="388"/>
    <n v="-16.16"/>
    <x v="837"/>
    <n v="150.80000000000001"/>
    <s v="Complete Access"/>
    <x v="301"/>
    <x v="1"/>
    <x v="5"/>
    <d v="1900-01-07T00:00:00"/>
    <n v="41"/>
    <x v="4"/>
    <x v="2"/>
  </r>
  <r>
    <x v="388"/>
    <n v="-150"/>
    <x v="581"/>
    <n v="38630.449999999997"/>
    <s v="Netbank Saver"/>
    <x v="0"/>
    <x v="0"/>
    <x v="0"/>
    <d v="1900-01-07T00:00:00"/>
    <n v="41"/>
    <x v="4"/>
    <x v="2"/>
  </r>
  <r>
    <x v="389"/>
    <n v="-410.07"/>
    <x v="838"/>
    <n v="16.96"/>
    <s v="Complete Access"/>
    <x v="298"/>
    <x v="4"/>
    <x v="30"/>
    <d v="1900-01-06T00:00:00"/>
    <n v="40"/>
    <x v="4"/>
    <x v="2"/>
  </r>
  <r>
    <x v="390"/>
    <n v="-40"/>
    <x v="839"/>
    <n v="490.63"/>
    <s v="Complete Access"/>
    <x v="12"/>
    <x v="5"/>
    <x v="8"/>
    <d v="1900-01-04T00:00:00"/>
    <n v="40"/>
    <x v="4"/>
    <x v="2"/>
  </r>
  <r>
    <x v="390"/>
    <n v="-63.6"/>
    <x v="840"/>
    <n v="427.03"/>
    <s v="Complete Access"/>
    <x v="34"/>
    <x v="9"/>
    <x v="12"/>
    <d v="1900-01-04T00:00:00"/>
    <n v="40"/>
    <x v="4"/>
    <x v="2"/>
  </r>
  <r>
    <x v="391"/>
    <n v="-16.5"/>
    <x v="8"/>
    <n v="530.63"/>
    <s v="Complete Access"/>
    <x v="7"/>
    <x v="1"/>
    <x v="5"/>
    <d v="1900-01-03T00:00:00"/>
    <n v="40"/>
    <x v="4"/>
    <x v="2"/>
  </r>
  <r>
    <x v="391"/>
    <n v="100"/>
    <x v="841"/>
    <n v="547.13"/>
    <s v="Complete Access"/>
    <x v="257"/>
    <x v="0"/>
    <x v="0"/>
    <d v="1900-01-03T00:00:00"/>
    <n v="40"/>
    <x v="4"/>
    <x v="2"/>
  </r>
  <r>
    <x v="391"/>
    <n v="-4.6399999999999997"/>
    <x v="842"/>
    <n v="447.13"/>
    <s v="Complete Access"/>
    <x v="221"/>
    <x v="1"/>
    <x v="5"/>
    <d v="1900-01-03T00:00:00"/>
    <n v="40"/>
    <x v="4"/>
    <x v="2"/>
  </r>
  <r>
    <x v="392"/>
    <n v="-612.19000000000005"/>
    <x v="843"/>
    <n v="646.82000000000005"/>
    <s v="Complete Access"/>
    <x v="13"/>
    <x v="0"/>
    <x v="0"/>
    <d v="1900-01-02T00:00:00"/>
    <n v="40"/>
    <x v="4"/>
    <x v="2"/>
  </r>
  <r>
    <x v="392"/>
    <n v="-55.53"/>
    <x v="844"/>
    <n v="1393.51"/>
    <s v="Complete Access"/>
    <x v="8"/>
    <x v="1"/>
    <x v="5"/>
    <d v="1900-01-02T00:00:00"/>
    <n v="40"/>
    <x v="4"/>
    <x v="2"/>
  </r>
  <r>
    <x v="392"/>
    <n v="-46.77"/>
    <x v="845"/>
    <n v="1346.74"/>
    <s v="Complete Access"/>
    <x v="302"/>
    <x v="8"/>
    <x v="22"/>
    <d v="1900-01-02T00:00:00"/>
    <n v="40"/>
    <x v="4"/>
    <x v="2"/>
  </r>
  <r>
    <x v="392"/>
    <n v="-1.4"/>
    <x v="846"/>
    <n v="1345.34"/>
    <s v="Complete Access"/>
    <x v="10"/>
    <x v="0"/>
    <x v="0"/>
    <d v="1900-01-02T00:00:00"/>
    <n v="40"/>
    <x v="4"/>
    <x v="2"/>
  </r>
  <r>
    <x v="392"/>
    <n v="-16"/>
    <x v="8"/>
    <n v="1259.01"/>
    <s v="Complete Access"/>
    <x v="7"/>
    <x v="1"/>
    <x v="5"/>
    <d v="1900-01-02T00:00:00"/>
    <n v="40"/>
    <x v="4"/>
    <x v="2"/>
  </r>
  <r>
    <x v="392"/>
    <n v="-195.05"/>
    <x v="847"/>
    <n v="451.77"/>
    <s v="Complete Access"/>
    <x v="76"/>
    <x v="2"/>
    <x v="2"/>
    <d v="1900-01-02T00:00:00"/>
    <n v="40"/>
    <x v="4"/>
    <x v="2"/>
  </r>
  <r>
    <x v="392"/>
    <n v="-40.33"/>
    <x v="848"/>
    <n v="1305.01"/>
    <s v="Complete Access"/>
    <x v="181"/>
    <x v="15"/>
    <x v="41"/>
    <d v="1900-01-02T00:00:00"/>
    <n v="40"/>
    <x v="4"/>
    <x v="2"/>
  </r>
  <r>
    <x v="392"/>
    <n v="-30"/>
    <x v="849"/>
    <n v="1275.01"/>
    <s v="Complete Access"/>
    <x v="243"/>
    <x v="1"/>
    <x v="23"/>
    <d v="1900-01-02T00:00:00"/>
    <n v="40"/>
    <x v="4"/>
    <x v="2"/>
  </r>
  <r>
    <x v="393"/>
    <n v="-42.26"/>
    <x v="405"/>
    <n v="1449.04"/>
    <s v="Complete Access"/>
    <x v="177"/>
    <x v="1"/>
    <x v="1"/>
    <d v="1900-01-01T00:00:00"/>
    <n v="40"/>
    <x v="4"/>
    <x v="2"/>
  </r>
  <r>
    <x v="394"/>
    <n v="-0.02"/>
    <x v="655"/>
    <n v="1491.3"/>
    <s v="Complete Access"/>
    <x v="249"/>
    <x v="0"/>
    <x v="0"/>
    <d v="1899-12-31T00:00:00"/>
    <n v="40"/>
    <x v="4"/>
    <x v="2"/>
  </r>
  <r>
    <x v="394"/>
    <n v="132.47999999999999"/>
    <x v="609"/>
    <n v="38780.449999999997"/>
    <s v="Netbank Saver"/>
    <x v="240"/>
    <x v="0"/>
    <x v="55"/>
    <d v="1899-12-31T00:00:00"/>
    <n v="40"/>
    <x v="4"/>
    <x v="2"/>
  </r>
  <r>
    <x v="395"/>
    <n v="-12.65"/>
    <x v="96"/>
    <n v="1542.67"/>
    <s v="Complete Access"/>
    <x v="47"/>
    <x v="1"/>
    <x v="5"/>
    <d v="1900-01-29T00:00:00"/>
    <n v="39"/>
    <x v="5"/>
    <x v="2"/>
  </r>
  <r>
    <x v="395"/>
    <n v="-26.35"/>
    <x v="850"/>
    <n v="1516.32"/>
    <s v="Complete Access"/>
    <x v="303"/>
    <x v="8"/>
    <x v="29"/>
    <d v="1900-01-29T00:00:00"/>
    <n v="39"/>
    <x v="5"/>
    <x v="2"/>
  </r>
  <r>
    <x v="395"/>
    <n v="-25"/>
    <x v="851"/>
    <n v="1491.32"/>
    <s v="Complete Access"/>
    <x v="0"/>
    <x v="0"/>
    <x v="0"/>
    <d v="1900-01-29T00:00:00"/>
    <n v="39"/>
    <x v="5"/>
    <x v="2"/>
  </r>
  <r>
    <x v="396"/>
    <n v="-2348.81"/>
    <x v="538"/>
    <n v="1612.68"/>
    <s v="Complete Access"/>
    <x v="0"/>
    <x v="0"/>
    <x v="0"/>
    <d v="1900-01-27T00:00:00"/>
    <n v="39"/>
    <x v="5"/>
    <x v="2"/>
  </r>
  <r>
    <x v="396"/>
    <n v="2348.84"/>
    <x v="170"/>
    <n v="4211.49"/>
    <s v="Complete Access"/>
    <x v="14"/>
    <x v="6"/>
    <x v="9"/>
    <d v="1900-01-27T00:00:00"/>
    <n v="39"/>
    <x v="5"/>
    <x v="2"/>
  </r>
  <r>
    <x v="396"/>
    <n v="-46.01"/>
    <x v="405"/>
    <n v="1566.67"/>
    <s v="Complete Access"/>
    <x v="177"/>
    <x v="1"/>
    <x v="1"/>
    <d v="1900-01-27T00:00:00"/>
    <n v="39"/>
    <x v="5"/>
    <x v="2"/>
  </r>
  <r>
    <x v="396"/>
    <n v="-11.35"/>
    <x v="454"/>
    <n v="1555.32"/>
    <s v="Complete Access"/>
    <x v="9"/>
    <x v="4"/>
    <x v="6"/>
    <d v="1900-01-27T00:00:00"/>
    <n v="39"/>
    <x v="5"/>
    <x v="2"/>
  </r>
  <r>
    <x v="396"/>
    <n v="2348.81"/>
    <x v="702"/>
    <n v="38647.97"/>
    <s v="Netbank Saver"/>
    <x v="36"/>
    <x v="0"/>
    <x v="0"/>
    <d v="1900-01-27T00:00:00"/>
    <n v="39"/>
    <x v="5"/>
    <x v="2"/>
  </r>
  <r>
    <x v="396"/>
    <n v="-250"/>
    <x v="656"/>
    <n v="3961.49"/>
    <s v="Complete Access"/>
    <x v="13"/>
    <x v="0"/>
    <x v="0"/>
    <d v="1900-01-27T00:00:00"/>
    <n v="39"/>
    <x v="5"/>
    <x v="2"/>
  </r>
  <r>
    <x v="397"/>
    <n v="-16.03"/>
    <x v="852"/>
    <n v="1880.35"/>
    <s v="Complete Access"/>
    <x v="8"/>
    <x v="1"/>
    <x v="5"/>
    <d v="1900-01-26T00:00:00"/>
    <n v="39"/>
    <x v="5"/>
    <x v="2"/>
  </r>
  <r>
    <x v="397"/>
    <n v="-17.18"/>
    <x v="853"/>
    <n v="1863.17"/>
    <s v="Complete Access"/>
    <x v="74"/>
    <x v="4"/>
    <x v="10"/>
    <d v="1900-01-26T00:00:00"/>
    <n v="39"/>
    <x v="5"/>
    <x v="2"/>
  </r>
  <r>
    <x v="397"/>
    <n v="-0.52"/>
    <x v="854"/>
    <n v="1862.65"/>
    <s v="Complete Access"/>
    <x v="10"/>
    <x v="0"/>
    <x v="0"/>
    <d v="1900-01-26T00:00:00"/>
    <n v="39"/>
    <x v="5"/>
    <x v="2"/>
  </r>
  <r>
    <x v="398"/>
    <n v="-16.79"/>
    <x v="855"/>
    <n v="1972.36"/>
    <s v="Complete Access"/>
    <x v="8"/>
    <x v="1"/>
    <x v="5"/>
    <d v="1900-01-25T00:00:00"/>
    <n v="39"/>
    <x v="5"/>
    <x v="2"/>
  </r>
  <r>
    <x v="398"/>
    <n v="-38.5"/>
    <x v="856"/>
    <n v="1989.15"/>
    <s v="Complete Access"/>
    <x v="8"/>
    <x v="1"/>
    <x v="5"/>
    <d v="1900-01-25T00:00:00"/>
    <n v="39"/>
    <x v="5"/>
    <x v="2"/>
  </r>
  <r>
    <x v="398"/>
    <n v="-36.74"/>
    <x v="857"/>
    <n v="1935.62"/>
    <s v="Complete Access"/>
    <x v="8"/>
    <x v="1"/>
    <x v="5"/>
    <d v="1900-01-25T00:00:00"/>
    <n v="39"/>
    <x v="5"/>
    <x v="2"/>
  </r>
  <r>
    <x v="398"/>
    <n v="-16"/>
    <x v="8"/>
    <n v="1896.38"/>
    <s v="Complete Access"/>
    <x v="7"/>
    <x v="1"/>
    <x v="5"/>
    <d v="1900-01-25T00:00:00"/>
    <n v="39"/>
    <x v="5"/>
    <x v="2"/>
  </r>
  <r>
    <x v="398"/>
    <n v="-23.24"/>
    <x v="858"/>
    <n v="1912.38"/>
    <s v="Complete Access"/>
    <x v="304"/>
    <x v="1"/>
    <x v="5"/>
    <d v="1900-01-25T00:00:00"/>
    <n v="39"/>
    <x v="5"/>
    <x v="2"/>
  </r>
  <r>
    <x v="399"/>
    <n v="-13.2"/>
    <x v="859"/>
    <n v="2162.02"/>
    <s v="Complete Access"/>
    <x v="305"/>
    <x v="8"/>
    <x v="29"/>
    <d v="1900-01-22T00:00:00"/>
    <n v="38"/>
    <x v="5"/>
    <x v="2"/>
  </r>
  <r>
    <x v="399"/>
    <n v="-13.9"/>
    <x v="859"/>
    <n v="2175.2199999999998"/>
    <s v="Complete Access"/>
    <x v="305"/>
    <x v="8"/>
    <x v="29"/>
    <d v="1900-01-22T00:00:00"/>
    <n v="38"/>
    <x v="5"/>
    <x v="2"/>
  </r>
  <r>
    <x v="399"/>
    <n v="-8.59"/>
    <x v="451"/>
    <n v="2127.65"/>
    <s v="Complete Access"/>
    <x v="190"/>
    <x v="8"/>
    <x v="29"/>
    <d v="1900-01-22T00:00:00"/>
    <n v="38"/>
    <x v="5"/>
    <x v="2"/>
  </r>
  <r>
    <x v="399"/>
    <n v="-25.78"/>
    <x v="451"/>
    <n v="2136.2399999999998"/>
    <s v="Complete Access"/>
    <x v="190"/>
    <x v="8"/>
    <x v="29"/>
    <d v="1900-01-22T00:00:00"/>
    <n v="38"/>
    <x v="5"/>
    <x v="2"/>
  </r>
  <r>
    <x v="399"/>
    <n v="-100"/>
    <x v="860"/>
    <n v="2027.65"/>
    <s v="Complete Access"/>
    <x v="34"/>
    <x v="9"/>
    <x v="12"/>
    <d v="1900-01-22T00:00:00"/>
    <n v="38"/>
    <x v="5"/>
    <x v="2"/>
  </r>
  <r>
    <x v="400"/>
    <n v="-23.35"/>
    <x v="861"/>
    <n v="2189.8200000000002"/>
    <s v="Complete Access"/>
    <x v="302"/>
    <x v="8"/>
    <x v="22"/>
    <d v="1900-01-21T00:00:00"/>
    <n v="38"/>
    <x v="5"/>
    <x v="2"/>
  </r>
  <r>
    <x v="400"/>
    <n v="-0.7"/>
    <x v="862"/>
    <n v="2189.12"/>
    <s v="Complete Access"/>
    <x v="10"/>
    <x v="0"/>
    <x v="0"/>
    <d v="1900-01-21T00:00:00"/>
    <n v="38"/>
    <x v="5"/>
    <x v="2"/>
  </r>
  <r>
    <x v="401"/>
    <n v="-25"/>
    <x v="863"/>
    <n v="2213.17"/>
    <s v="Complete Access"/>
    <x v="35"/>
    <x v="1"/>
    <x v="23"/>
    <d v="1900-01-20T00:00:00"/>
    <n v="38"/>
    <x v="5"/>
    <x v="2"/>
  </r>
  <r>
    <x v="401"/>
    <n v="-4.6500000000000004"/>
    <x v="532"/>
    <n v="2238.17"/>
    <s v="Complete Access"/>
    <x v="1"/>
    <x v="1"/>
    <x v="1"/>
    <d v="1900-01-20T00:00:00"/>
    <n v="38"/>
    <x v="5"/>
    <x v="2"/>
  </r>
  <r>
    <x v="402"/>
    <n v="-40"/>
    <x v="864"/>
    <n v="2280.23"/>
    <s v="Complete Access"/>
    <x v="12"/>
    <x v="5"/>
    <x v="8"/>
    <d v="1900-01-19T00:00:00"/>
    <n v="38"/>
    <x v="5"/>
    <x v="2"/>
  </r>
  <r>
    <x v="402"/>
    <n v="-14.5"/>
    <x v="8"/>
    <n v="2242.8200000000002"/>
    <s v="Complete Access"/>
    <x v="7"/>
    <x v="1"/>
    <x v="5"/>
    <d v="1900-01-19T00:00:00"/>
    <n v="38"/>
    <x v="5"/>
    <x v="2"/>
  </r>
  <r>
    <x v="402"/>
    <n v="-22.91"/>
    <x v="865"/>
    <n v="2257.3200000000002"/>
    <s v="Complete Access"/>
    <x v="237"/>
    <x v="15"/>
    <x v="34"/>
    <d v="1900-01-19T00:00:00"/>
    <n v="38"/>
    <x v="5"/>
    <x v="2"/>
  </r>
  <r>
    <x v="403"/>
    <n v="-32.4"/>
    <x v="866"/>
    <n v="2399.4699999999998"/>
    <s v="Complete Access"/>
    <x v="306"/>
    <x v="8"/>
    <x v="29"/>
    <d v="1900-01-18T00:00:00"/>
    <n v="38"/>
    <x v="5"/>
    <x v="2"/>
  </r>
  <r>
    <x v="403"/>
    <n v="-21.7"/>
    <x v="867"/>
    <n v="2453.7600000000002"/>
    <s v="Complete Access"/>
    <x v="8"/>
    <x v="1"/>
    <x v="5"/>
    <d v="1900-01-18T00:00:00"/>
    <n v="38"/>
    <x v="5"/>
    <x v="2"/>
  </r>
  <r>
    <x v="403"/>
    <n v="-21.89"/>
    <x v="868"/>
    <n v="2431.87"/>
    <s v="Complete Access"/>
    <x v="8"/>
    <x v="1"/>
    <x v="5"/>
    <d v="1900-01-18T00:00:00"/>
    <n v="38"/>
    <x v="5"/>
    <x v="2"/>
  </r>
  <r>
    <x v="403"/>
    <n v="-34.61"/>
    <x v="869"/>
    <n v="2364.86"/>
    <s v="Complete Access"/>
    <x v="307"/>
    <x v="20"/>
    <x v="63"/>
    <d v="1900-01-18T00:00:00"/>
    <n v="38"/>
    <x v="5"/>
    <x v="2"/>
  </r>
  <r>
    <x v="403"/>
    <n v="-15.5"/>
    <x v="8"/>
    <n v="2320.23"/>
    <s v="Complete Access"/>
    <x v="7"/>
    <x v="1"/>
    <x v="5"/>
    <d v="1900-01-18T00:00:00"/>
    <n v="38"/>
    <x v="5"/>
    <x v="2"/>
  </r>
  <r>
    <x v="403"/>
    <n v="-29.13"/>
    <x v="870"/>
    <n v="2335.73"/>
    <s v="Complete Access"/>
    <x v="304"/>
    <x v="1"/>
    <x v="5"/>
    <d v="1900-01-18T00:00:00"/>
    <n v="38"/>
    <x v="5"/>
    <x v="2"/>
  </r>
  <r>
    <x v="404"/>
    <n v="-14.5"/>
    <x v="8"/>
    <n v="2497.27"/>
    <s v="Complete Access"/>
    <x v="7"/>
    <x v="1"/>
    <x v="5"/>
    <d v="1900-01-17T00:00:00"/>
    <n v="38"/>
    <x v="5"/>
    <x v="2"/>
  </r>
  <r>
    <x v="404"/>
    <n v="-21.81"/>
    <x v="532"/>
    <n v="2475.46"/>
    <s v="Complete Access"/>
    <x v="1"/>
    <x v="1"/>
    <x v="1"/>
    <d v="1900-01-17T00:00:00"/>
    <n v="38"/>
    <x v="5"/>
    <x v="2"/>
  </r>
  <r>
    <x v="405"/>
    <n v="-12.25"/>
    <x v="871"/>
    <n v="2524.27"/>
    <s v="Complete Access"/>
    <x v="47"/>
    <x v="1"/>
    <x v="5"/>
    <d v="1900-01-16T00:00:00"/>
    <n v="38"/>
    <x v="5"/>
    <x v="2"/>
  </r>
  <r>
    <x v="405"/>
    <n v="-12.5"/>
    <x v="872"/>
    <n v="2511.77"/>
    <s v="Complete Access"/>
    <x v="308"/>
    <x v="8"/>
    <x v="29"/>
    <d v="1900-01-16T00:00:00"/>
    <n v="38"/>
    <x v="5"/>
    <x v="2"/>
  </r>
  <r>
    <x v="406"/>
    <n v="-61.51"/>
    <x v="873"/>
    <n v="2536.52"/>
    <s v="Complete Access"/>
    <x v="1"/>
    <x v="1"/>
    <x v="1"/>
    <d v="1900-01-15T00:00:00"/>
    <n v="37"/>
    <x v="5"/>
    <x v="2"/>
  </r>
  <r>
    <x v="407"/>
    <n v="-138"/>
    <x v="874"/>
    <n v="2532.08"/>
    <s v="Complete Access"/>
    <x v="207"/>
    <x v="7"/>
    <x v="11"/>
    <d v="1900-01-13T00:00:00"/>
    <n v="37"/>
    <x v="5"/>
    <x v="2"/>
  </r>
  <r>
    <x v="407"/>
    <n v="2348.84"/>
    <x v="875"/>
    <n v="3170.08"/>
    <s v="Complete Access"/>
    <x v="14"/>
    <x v="6"/>
    <x v="9"/>
    <d v="1900-01-13T00:00:00"/>
    <n v="37"/>
    <x v="5"/>
    <x v="2"/>
  </r>
  <r>
    <x v="407"/>
    <n v="-22.7"/>
    <x v="96"/>
    <n v="2598.0300000000002"/>
    <s v="Complete Access"/>
    <x v="47"/>
    <x v="1"/>
    <x v="5"/>
    <d v="1900-01-13T00:00:00"/>
    <n v="37"/>
    <x v="5"/>
    <x v="2"/>
  </r>
  <r>
    <x v="407"/>
    <n v="100"/>
    <x v="876"/>
    <n v="2620.73"/>
    <s v="Complete Access"/>
    <x v="36"/>
    <x v="0"/>
    <x v="0"/>
    <d v="1900-01-13T00:00:00"/>
    <n v="37"/>
    <x v="5"/>
    <x v="2"/>
  </r>
  <r>
    <x v="407"/>
    <n v="-11.35"/>
    <x v="454"/>
    <n v="2520.73"/>
    <s v="Complete Access"/>
    <x v="9"/>
    <x v="4"/>
    <x v="6"/>
    <d v="1900-01-13T00:00:00"/>
    <n v="37"/>
    <x v="5"/>
    <x v="2"/>
  </r>
  <r>
    <x v="407"/>
    <n v="-500"/>
    <x v="656"/>
    <n v="2670.08"/>
    <s v="Complete Access"/>
    <x v="13"/>
    <x v="0"/>
    <x v="0"/>
    <d v="1900-01-13T00:00:00"/>
    <n v="37"/>
    <x v="5"/>
    <x v="2"/>
  </r>
  <r>
    <x v="408"/>
    <n v="-700"/>
    <x v="581"/>
    <n v="36299.160000000003"/>
    <s v="Netbank Saver"/>
    <x v="0"/>
    <x v="0"/>
    <x v="0"/>
    <d v="1900-01-12T00:00:00"/>
    <n v="37"/>
    <x v="5"/>
    <x v="2"/>
  </r>
  <r>
    <x v="408"/>
    <n v="-6.5"/>
    <x v="877"/>
    <n v="366.74"/>
    <s v="Complete Access"/>
    <x v="61"/>
    <x v="1"/>
    <x v="1"/>
    <d v="1900-01-12T00:00:00"/>
    <n v="37"/>
    <x v="5"/>
    <x v="2"/>
  </r>
  <r>
    <x v="408"/>
    <n v="700"/>
    <x v="370"/>
    <n v="1051.24"/>
    <s v="Complete Access"/>
    <x v="36"/>
    <x v="0"/>
    <x v="0"/>
    <d v="1900-01-12T00:00:00"/>
    <n v="37"/>
    <x v="5"/>
    <x v="2"/>
  </r>
  <r>
    <x v="408"/>
    <n v="-15.5"/>
    <x v="8"/>
    <n v="351.24"/>
    <s v="Complete Access"/>
    <x v="7"/>
    <x v="1"/>
    <x v="5"/>
    <d v="1900-01-12T00:00:00"/>
    <n v="37"/>
    <x v="5"/>
    <x v="2"/>
  </r>
  <r>
    <x v="408"/>
    <n v="-32.86"/>
    <x v="878"/>
    <n v="373.24"/>
    <s v="Complete Access"/>
    <x v="309"/>
    <x v="8"/>
    <x v="22"/>
    <d v="1900-01-12T00:00:00"/>
    <n v="37"/>
    <x v="5"/>
    <x v="2"/>
  </r>
  <r>
    <x v="408"/>
    <n v="-230"/>
    <x v="879"/>
    <n v="821.24"/>
    <s v="Complete Access"/>
    <x v="265"/>
    <x v="8"/>
    <x v="22"/>
    <d v="1900-01-12T00:00:00"/>
    <n v="37"/>
    <x v="5"/>
    <x v="2"/>
  </r>
  <r>
    <x v="409"/>
    <n v="-6.5"/>
    <x v="880"/>
    <n v="450.37"/>
    <s v="Complete Access"/>
    <x v="61"/>
    <x v="1"/>
    <x v="1"/>
    <d v="1900-01-11T00:00:00"/>
    <n v="37"/>
    <x v="5"/>
    <x v="2"/>
  </r>
  <r>
    <x v="409"/>
    <n v="-47.32"/>
    <x v="881"/>
    <n v="456.87"/>
    <s v="Complete Access"/>
    <x v="8"/>
    <x v="1"/>
    <x v="5"/>
    <d v="1900-01-11T00:00:00"/>
    <n v="37"/>
    <x v="5"/>
    <x v="2"/>
  </r>
  <r>
    <x v="409"/>
    <n v="-40"/>
    <x v="882"/>
    <n v="504.19"/>
    <s v="Complete Access"/>
    <x v="12"/>
    <x v="5"/>
    <x v="8"/>
    <d v="1900-01-11T00:00:00"/>
    <n v="37"/>
    <x v="5"/>
    <x v="2"/>
  </r>
  <r>
    <x v="409"/>
    <n v="-29.77"/>
    <x v="883"/>
    <n v="420.6"/>
    <s v="Complete Access"/>
    <x v="27"/>
    <x v="1"/>
    <x v="5"/>
    <d v="1900-01-11T00:00:00"/>
    <n v="37"/>
    <x v="5"/>
    <x v="2"/>
  </r>
  <r>
    <x v="409"/>
    <n v="-14.5"/>
    <x v="8"/>
    <n v="406.1"/>
    <s v="Complete Access"/>
    <x v="7"/>
    <x v="1"/>
    <x v="5"/>
    <d v="1900-01-11T00:00:00"/>
    <n v="37"/>
    <x v="5"/>
    <x v="2"/>
  </r>
  <r>
    <x v="410"/>
    <n v="-24.04"/>
    <x v="436"/>
    <n v="544.19000000000005"/>
    <s v="Complete Access"/>
    <x v="186"/>
    <x v="1"/>
    <x v="5"/>
    <d v="1900-01-10T00:00:00"/>
    <n v="37"/>
    <x v="5"/>
    <x v="2"/>
  </r>
  <r>
    <x v="411"/>
    <n v="500"/>
    <x v="370"/>
    <n v="568.23"/>
    <s v="Complete Access"/>
    <x v="36"/>
    <x v="0"/>
    <x v="0"/>
    <d v="1900-01-09T00:00:00"/>
    <n v="37"/>
    <x v="5"/>
    <x v="2"/>
  </r>
  <r>
    <x v="411"/>
    <n v="75"/>
    <x v="370"/>
    <n v="146.88999999999999"/>
    <s v="Complete Access"/>
    <x v="36"/>
    <x v="0"/>
    <x v="0"/>
    <d v="1900-01-09T00:00:00"/>
    <n v="37"/>
    <x v="5"/>
    <x v="2"/>
  </r>
  <r>
    <x v="411"/>
    <n v="-30.26"/>
    <x v="884"/>
    <n v="68.23"/>
    <s v="Complete Access"/>
    <x v="237"/>
    <x v="15"/>
    <x v="34"/>
    <d v="1900-01-09T00:00:00"/>
    <n v="37"/>
    <x v="5"/>
    <x v="2"/>
  </r>
  <r>
    <x v="411"/>
    <n v="-40.549999999999997"/>
    <x v="885"/>
    <n v="71.89"/>
    <s v="Complete Access"/>
    <x v="310"/>
    <x v="8"/>
    <x v="29"/>
    <d v="1900-01-09T00:00:00"/>
    <n v="37"/>
    <x v="5"/>
    <x v="2"/>
  </r>
  <r>
    <x v="411"/>
    <n v="-500"/>
    <x v="581"/>
    <n v="36999.160000000003"/>
    <s v="Netbank Saver"/>
    <x v="0"/>
    <x v="0"/>
    <x v="0"/>
    <d v="1900-01-09T00:00:00"/>
    <n v="37"/>
    <x v="5"/>
    <x v="2"/>
  </r>
  <r>
    <x v="411"/>
    <n v="-75"/>
    <x v="581"/>
    <n v="37499.160000000003"/>
    <s v="Netbank Saver"/>
    <x v="0"/>
    <x v="0"/>
    <x v="0"/>
    <d v="1900-01-09T00:00:00"/>
    <n v="37"/>
    <x v="5"/>
    <x v="2"/>
  </r>
  <r>
    <x v="411"/>
    <n v="-48.4"/>
    <x v="886"/>
    <n v="98.49"/>
    <s v="Complete Access"/>
    <x v="0"/>
    <x v="0"/>
    <x v="0"/>
    <d v="1900-01-09T00:00:00"/>
    <n v="37"/>
    <x v="5"/>
    <x v="2"/>
  </r>
  <r>
    <x v="412"/>
    <n v="-17.100000000000001"/>
    <x v="96"/>
    <n v="130.13999999999999"/>
    <s v="Complete Access"/>
    <x v="47"/>
    <x v="1"/>
    <x v="5"/>
    <d v="1900-01-08T00:00:00"/>
    <n v="36"/>
    <x v="5"/>
    <x v="2"/>
  </r>
  <r>
    <x v="412"/>
    <n v="-17.7"/>
    <x v="885"/>
    <n v="112.44"/>
    <s v="Complete Access"/>
    <x v="310"/>
    <x v="8"/>
    <x v="29"/>
    <d v="1900-01-08T00:00:00"/>
    <n v="36"/>
    <x v="5"/>
    <x v="2"/>
  </r>
  <r>
    <x v="412"/>
    <n v="-159"/>
    <x v="887"/>
    <n v="147.24"/>
    <s v="Complete Access"/>
    <x v="265"/>
    <x v="8"/>
    <x v="22"/>
    <d v="1900-01-08T00:00:00"/>
    <n v="36"/>
    <x v="5"/>
    <x v="2"/>
  </r>
  <r>
    <x v="413"/>
    <n v="-18.809999999999999"/>
    <x v="888"/>
    <n v="306.24"/>
    <s v="Complete Access"/>
    <x v="27"/>
    <x v="1"/>
    <x v="5"/>
    <d v="1900-01-06T00:00:00"/>
    <n v="36"/>
    <x v="5"/>
    <x v="2"/>
  </r>
  <r>
    <x v="414"/>
    <n v="-14.5"/>
    <x v="8"/>
    <n v="325.05"/>
    <s v="Complete Access"/>
    <x v="7"/>
    <x v="1"/>
    <x v="5"/>
    <d v="1900-01-05T00:00:00"/>
    <n v="36"/>
    <x v="5"/>
    <x v="2"/>
  </r>
  <r>
    <x v="414"/>
    <n v="-58.42"/>
    <x v="889"/>
    <n v="339.55"/>
    <s v="Complete Access"/>
    <x v="1"/>
    <x v="1"/>
    <x v="1"/>
    <d v="1900-01-05T00:00:00"/>
    <n v="36"/>
    <x v="5"/>
    <x v="2"/>
  </r>
  <r>
    <x v="415"/>
    <n v="350"/>
    <x v="370"/>
    <n v="397.97"/>
    <s v="Complete Access"/>
    <x v="36"/>
    <x v="0"/>
    <x v="0"/>
    <d v="1900-01-04T00:00:00"/>
    <n v="36"/>
    <x v="5"/>
    <x v="2"/>
  </r>
  <r>
    <x v="415"/>
    <n v="-480"/>
    <x v="890"/>
    <n v="63.47"/>
    <s v="Complete Access"/>
    <x v="311"/>
    <x v="4"/>
    <x v="17"/>
    <d v="1900-01-04T00:00:00"/>
    <n v="36"/>
    <x v="5"/>
    <x v="2"/>
  </r>
  <r>
    <x v="415"/>
    <n v="-15.5"/>
    <x v="8"/>
    <n v="47.97"/>
    <s v="Complete Access"/>
    <x v="7"/>
    <x v="1"/>
    <x v="5"/>
    <d v="1900-01-04T00:00:00"/>
    <n v="36"/>
    <x v="5"/>
    <x v="2"/>
  </r>
  <r>
    <x v="415"/>
    <n v="-45.22"/>
    <x v="891"/>
    <n v="543.47"/>
    <s v="Complete Access"/>
    <x v="1"/>
    <x v="1"/>
    <x v="1"/>
    <d v="1900-01-04T00:00:00"/>
    <n v="36"/>
    <x v="5"/>
    <x v="2"/>
  </r>
  <r>
    <x v="415"/>
    <n v="-350"/>
    <x v="581"/>
    <n v="37574.160000000003"/>
    <s v="Netbank Saver"/>
    <x v="0"/>
    <x v="0"/>
    <x v="0"/>
    <d v="1900-01-04T00:00:00"/>
    <n v="36"/>
    <x v="5"/>
    <x v="2"/>
  </r>
  <r>
    <x v="416"/>
    <n v="-14.5"/>
    <x v="8"/>
    <n v="588.69000000000005"/>
    <s v="Complete Access"/>
    <x v="7"/>
    <x v="1"/>
    <x v="5"/>
    <d v="1900-01-03T00:00:00"/>
    <n v="36"/>
    <x v="5"/>
    <x v="2"/>
  </r>
  <r>
    <x v="417"/>
    <n v="-18"/>
    <x v="892"/>
    <n v="603.19000000000005"/>
    <s v="Complete Access"/>
    <x v="312"/>
    <x v="1"/>
    <x v="5"/>
    <d v="1900-01-02T00:00:00"/>
    <n v="36"/>
    <x v="5"/>
    <x v="2"/>
  </r>
  <r>
    <x v="418"/>
    <n v="-20"/>
    <x v="782"/>
    <n v="714.54"/>
    <s v="Complete Access"/>
    <x v="130"/>
    <x v="0"/>
    <x v="0"/>
    <d v="1900-01-01T00:00:00"/>
    <n v="35"/>
    <x v="5"/>
    <x v="2"/>
  </r>
  <r>
    <x v="418"/>
    <n v="100"/>
    <x v="370"/>
    <n v="651.19000000000005"/>
    <s v="Complete Access"/>
    <x v="36"/>
    <x v="0"/>
    <x v="0"/>
    <d v="1900-01-01T00:00:00"/>
    <n v="35"/>
    <x v="5"/>
    <x v="2"/>
  </r>
  <r>
    <x v="418"/>
    <n v="270"/>
    <x v="370"/>
    <n v="921.19"/>
    <s v="Complete Access"/>
    <x v="36"/>
    <x v="0"/>
    <x v="0"/>
    <d v="1900-01-01T00:00:00"/>
    <n v="35"/>
    <x v="5"/>
    <x v="2"/>
  </r>
  <r>
    <x v="418"/>
    <n v="300"/>
    <x v="370"/>
    <n v="734.54"/>
    <s v="Complete Access"/>
    <x v="36"/>
    <x v="0"/>
    <x v="0"/>
    <d v="1900-01-01T00:00:00"/>
    <n v="35"/>
    <x v="5"/>
    <x v="2"/>
  </r>
  <r>
    <x v="418"/>
    <n v="-11.6"/>
    <x v="893"/>
    <n v="551.19000000000005"/>
    <s v="Complete Access"/>
    <x v="313"/>
    <x v="8"/>
    <x v="29"/>
    <d v="1900-01-01T00:00:00"/>
    <n v="35"/>
    <x v="5"/>
    <x v="2"/>
  </r>
  <r>
    <x v="418"/>
    <n v="-11.1"/>
    <x v="893"/>
    <n v="562.79"/>
    <s v="Complete Access"/>
    <x v="313"/>
    <x v="8"/>
    <x v="29"/>
    <d v="1900-01-01T00:00:00"/>
    <n v="35"/>
    <x v="5"/>
    <x v="2"/>
  </r>
  <r>
    <x v="418"/>
    <n v="-11.1"/>
    <x v="893"/>
    <n v="573.89"/>
    <s v="Complete Access"/>
    <x v="313"/>
    <x v="8"/>
    <x v="29"/>
    <d v="1900-01-01T00:00:00"/>
    <n v="35"/>
    <x v="5"/>
    <x v="2"/>
  </r>
  <r>
    <x v="418"/>
    <n v="-15"/>
    <x v="894"/>
    <n v="600.99"/>
    <s v="Complete Access"/>
    <x v="263"/>
    <x v="0"/>
    <x v="0"/>
    <d v="1900-01-01T00:00:00"/>
    <n v="35"/>
    <x v="5"/>
    <x v="2"/>
  </r>
  <r>
    <x v="418"/>
    <n v="-16"/>
    <x v="895"/>
    <n v="584.99"/>
    <s v="Complete Access"/>
    <x v="314"/>
    <x v="8"/>
    <x v="29"/>
    <d v="1900-01-01T00:00:00"/>
    <n v="35"/>
    <x v="5"/>
    <x v="2"/>
  </r>
  <r>
    <x v="418"/>
    <n v="-23.6"/>
    <x v="895"/>
    <n v="615.99"/>
    <s v="Complete Access"/>
    <x v="314"/>
    <x v="8"/>
    <x v="29"/>
    <d v="1900-01-01T00:00:00"/>
    <n v="35"/>
    <x v="5"/>
    <x v="2"/>
  </r>
  <r>
    <x v="418"/>
    <n v="-11.6"/>
    <x v="895"/>
    <n v="639.59"/>
    <s v="Complete Access"/>
    <x v="314"/>
    <x v="8"/>
    <x v="29"/>
    <d v="1900-01-01T00:00:00"/>
    <n v="35"/>
    <x v="5"/>
    <x v="2"/>
  </r>
  <r>
    <x v="418"/>
    <n v="-13.2"/>
    <x v="895"/>
    <n v="651.19000000000005"/>
    <s v="Complete Access"/>
    <x v="314"/>
    <x v="8"/>
    <x v="29"/>
    <d v="1900-01-01T00:00:00"/>
    <n v="35"/>
    <x v="5"/>
    <x v="2"/>
  </r>
  <r>
    <x v="418"/>
    <n v="-26.95"/>
    <x v="895"/>
    <n v="664.39"/>
    <s v="Complete Access"/>
    <x v="314"/>
    <x v="8"/>
    <x v="29"/>
    <d v="1900-01-01T00:00:00"/>
    <n v="35"/>
    <x v="5"/>
    <x v="2"/>
  </r>
  <r>
    <x v="418"/>
    <n v="-11.6"/>
    <x v="895"/>
    <n v="691.34"/>
    <s v="Complete Access"/>
    <x v="314"/>
    <x v="8"/>
    <x v="29"/>
    <d v="1900-01-01T00:00:00"/>
    <n v="35"/>
    <x v="5"/>
    <x v="2"/>
  </r>
  <r>
    <x v="418"/>
    <n v="-11.6"/>
    <x v="895"/>
    <n v="702.94"/>
    <s v="Complete Access"/>
    <x v="314"/>
    <x v="8"/>
    <x v="29"/>
    <d v="1900-01-01T00:00:00"/>
    <n v="35"/>
    <x v="5"/>
    <x v="2"/>
  </r>
  <r>
    <x v="418"/>
    <n v="-300"/>
    <x v="581"/>
    <n v="38294.160000000003"/>
    <s v="Netbank Saver"/>
    <x v="0"/>
    <x v="0"/>
    <x v="0"/>
    <d v="1900-01-01T00:00:00"/>
    <n v="35"/>
    <x v="5"/>
    <x v="2"/>
  </r>
  <r>
    <x v="418"/>
    <n v="-270"/>
    <x v="896"/>
    <n v="651.19000000000005"/>
    <s v="Complete Access"/>
    <x v="0"/>
    <x v="0"/>
    <x v="0"/>
    <d v="1900-01-01T00:00:00"/>
    <n v="35"/>
    <x v="5"/>
    <x v="2"/>
  </r>
  <r>
    <x v="418"/>
    <n v="-270"/>
    <x v="581"/>
    <n v="38024.160000000003"/>
    <s v="Netbank Saver"/>
    <x v="0"/>
    <x v="0"/>
    <x v="0"/>
    <d v="1900-01-01T00:00:00"/>
    <n v="35"/>
    <x v="5"/>
    <x v="2"/>
  </r>
  <r>
    <x v="418"/>
    <n v="-100"/>
    <x v="581"/>
    <n v="37924.160000000003"/>
    <s v="Netbank Saver"/>
    <x v="0"/>
    <x v="0"/>
    <x v="0"/>
    <d v="1900-01-01T00:00:00"/>
    <n v="35"/>
    <x v="5"/>
    <x v="2"/>
  </r>
  <r>
    <x v="418"/>
    <n v="-30"/>
    <x v="69"/>
    <n v="621.19000000000005"/>
    <s v="Complete Access"/>
    <x v="0"/>
    <x v="0"/>
    <x v="0"/>
    <d v="1900-01-01T00:00:00"/>
    <n v="35"/>
    <x v="5"/>
    <x v="2"/>
  </r>
  <r>
    <x v="419"/>
    <n v="-3300"/>
    <x v="538"/>
    <n v="635.44000000000005"/>
    <s v="Complete Access"/>
    <x v="0"/>
    <x v="0"/>
    <x v="0"/>
    <d v="1899-12-31T00:00:00"/>
    <n v="35"/>
    <x v="5"/>
    <x v="2"/>
  </r>
  <r>
    <x v="419"/>
    <n v="-5.85"/>
    <x v="897"/>
    <n v="629.59"/>
    <s v="Complete Access"/>
    <x v="27"/>
    <x v="1"/>
    <x v="5"/>
    <d v="1899-12-31T00:00:00"/>
    <n v="35"/>
    <x v="5"/>
    <x v="2"/>
  </r>
  <r>
    <x v="419"/>
    <n v="-195.05"/>
    <x v="898"/>
    <n v="434.54"/>
    <s v="Complete Access"/>
    <x v="76"/>
    <x v="2"/>
    <x v="2"/>
    <d v="1899-12-31T00:00:00"/>
    <n v="35"/>
    <x v="5"/>
    <x v="2"/>
  </r>
  <r>
    <x v="419"/>
    <n v="124.73"/>
    <x v="609"/>
    <n v="38594.160000000003"/>
    <s v="Netbank Saver"/>
    <x v="240"/>
    <x v="0"/>
    <x v="55"/>
    <d v="1899-12-31T00:00:00"/>
    <n v="35"/>
    <x v="5"/>
    <x v="2"/>
  </r>
  <r>
    <x v="419"/>
    <n v="3300"/>
    <x v="702"/>
    <n v="38469.43"/>
    <s v="Netbank Saver"/>
    <x v="36"/>
    <x v="0"/>
    <x v="0"/>
    <d v="1899-12-31T00:00:00"/>
    <n v="35"/>
    <x v="5"/>
    <x v="2"/>
  </r>
  <r>
    <x v="420"/>
    <n v="-500"/>
    <x v="656"/>
    <n v="3886.79"/>
    <s v="Complete Access"/>
    <x v="13"/>
    <x v="0"/>
    <x v="0"/>
    <d v="1900-01-30T00:00:00"/>
    <n v="35"/>
    <x v="6"/>
    <x v="2"/>
  </r>
  <r>
    <x v="420"/>
    <n v="-40"/>
    <x v="899"/>
    <n v="3846.79"/>
    <s v="Complete Access"/>
    <x v="12"/>
    <x v="5"/>
    <x v="8"/>
    <d v="1900-01-30T00:00:00"/>
    <n v="35"/>
    <x v="6"/>
    <x v="2"/>
  </r>
  <r>
    <x v="420"/>
    <n v="2348.84"/>
    <x v="900"/>
    <n v="4386.79"/>
    <s v="Complete Access"/>
    <x v="14"/>
    <x v="6"/>
    <x v="9"/>
    <d v="1900-01-30T00:00:00"/>
    <n v="35"/>
    <x v="6"/>
    <x v="2"/>
  </r>
  <r>
    <x v="420"/>
    <n v="100"/>
    <x v="901"/>
    <n v="3946.79"/>
    <s v="Complete Access"/>
    <x v="36"/>
    <x v="0"/>
    <x v="0"/>
    <d v="1900-01-30T00:00:00"/>
    <n v="35"/>
    <x v="6"/>
    <x v="2"/>
  </r>
  <r>
    <x v="420"/>
    <n v="-11.35"/>
    <x v="454"/>
    <n v="3935.44"/>
    <s v="Complete Access"/>
    <x v="9"/>
    <x v="4"/>
    <x v="6"/>
    <d v="1900-01-30T00:00:00"/>
    <n v="35"/>
    <x v="6"/>
    <x v="2"/>
  </r>
  <r>
    <x v="421"/>
    <n v="-14.5"/>
    <x v="8"/>
    <n v="2037.95"/>
    <s v="Complete Access"/>
    <x v="7"/>
    <x v="1"/>
    <x v="5"/>
    <d v="1900-01-29T00:00:00"/>
    <n v="35"/>
    <x v="6"/>
    <x v="2"/>
  </r>
  <r>
    <x v="422"/>
    <n v="-62.93"/>
    <x v="902"/>
    <n v="2132.59"/>
    <s v="Complete Access"/>
    <x v="8"/>
    <x v="1"/>
    <x v="5"/>
    <d v="1900-01-28T00:00:00"/>
    <n v="35"/>
    <x v="6"/>
    <x v="2"/>
  </r>
  <r>
    <x v="422"/>
    <n v="-40"/>
    <x v="903"/>
    <n v="2195.52"/>
    <s v="Complete Access"/>
    <x v="12"/>
    <x v="5"/>
    <x v="8"/>
    <d v="1900-01-28T00:00:00"/>
    <n v="35"/>
    <x v="6"/>
    <x v="2"/>
  </r>
  <r>
    <x v="422"/>
    <n v="-48"/>
    <x v="904"/>
    <n v="2066.9499999999998"/>
    <s v="Complete Access"/>
    <x v="27"/>
    <x v="1"/>
    <x v="5"/>
    <d v="1900-01-28T00:00:00"/>
    <n v="35"/>
    <x v="6"/>
    <x v="2"/>
  </r>
  <r>
    <x v="422"/>
    <n v="-17.13"/>
    <x v="905"/>
    <n v="2115.46"/>
    <s v="Complete Access"/>
    <x v="74"/>
    <x v="4"/>
    <x v="10"/>
    <d v="1900-01-28T00:00:00"/>
    <n v="35"/>
    <x v="6"/>
    <x v="2"/>
  </r>
  <r>
    <x v="422"/>
    <n v="-0.51"/>
    <x v="906"/>
    <n v="2114.9499999999998"/>
    <s v="Complete Access"/>
    <x v="10"/>
    <x v="0"/>
    <x v="0"/>
    <d v="1900-01-28T00:00:00"/>
    <n v="35"/>
    <x v="6"/>
    <x v="2"/>
  </r>
  <r>
    <x v="422"/>
    <n v="-14.5"/>
    <x v="8"/>
    <n v="2052.4499999999998"/>
    <s v="Complete Access"/>
    <x v="7"/>
    <x v="1"/>
    <x v="5"/>
    <d v="1900-01-28T00:00:00"/>
    <n v="35"/>
    <x v="6"/>
    <x v="2"/>
  </r>
  <r>
    <x v="423"/>
    <n v="16"/>
    <x v="907"/>
    <n v="2235.52"/>
    <s v="Complete Access"/>
    <x v="36"/>
    <x v="0"/>
    <x v="0"/>
    <d v="1900-01-26T00:00:00"/>
    <n v="35"/>
    <x v="6"/>
    <x v="2"/>
  </r>
  <r>
    <x v="424"/>
    <n v="-3.93"/>
    <x v="908"/>
    <n v="2251.89"/>
    <s v="Complete Access"/>
    <x v="285"/>
    <x v="5"/>
    <x v="8"/>
    <d v="1900-01-25T00:00:00"/>
    <n v="34"/>
    <x v="6"/>
    <x v="2"/>
  </r>
  <r>
    <x v="424"/>
    <n v="-32.369999999999997"/>
    <x v="578"/>
    <n v="2219.52"/>
    <s v="Complete Access"/>
    <x v="177"/>
    <x v="1"/>
    <x v="1"/>
    <d v="1900-01-25T00:00:00"/>
    <n v="34"/>
    <x v="6"/>
    <x v="2"/>
  </r>
  <r>
    <x v="425"/>
    <n v="-8.99"/>
    <x v="909"/>
    <n v="2268.8000000000002"/>
    <s v="Complete Access"/>
    <x v="27"/>
    <x v="1"/>
    <x v="5"/>
    <d v="1900-01-24T00:00:00"/>
    <n v="34"/>
    <x v="6"/>
    <x v="2"/>
  </r>
  <r>
    <x v="425"/>
    <n v="-12.98"/>
    <x v="910"/>
    <n v="2255.8200000000002"/>
    <s v="Complete Access"/>
    <x v="315"/>
    <x v="11"/>
    <x v="14"/>
    <d v="1900-01-24T00:00:00"/>
    <n v="34"/>
    <x v="6"/>
    <x v="2"/>
  </r>
  <r>
    <x v="426"/>
    <n v="35"/>
    <x v="911"/>
    <n v="2277.79"/>
    <s v="Complete Access"/>
    <x v="36"/>
    <x v="0"/>
    <x v="0"/>
    <d v="1900-01-23T00:00:00"/>
    <n v="34"/>
    <x v="6"/>
    <x v="2"/>
  </r>
  <r>
    <x v="427"/>
    <n v="-15"/>
    <x v="18"/>
    <n v="2242.79"/>
    <s v="Complete Access"/>
    <x v="16"/>
    <x v="1"/>
    <x v="5"/>
    <d v="1900-01-22T00:00:00"/>
    <n v="34"/>
    <x v="6"/>
    <x v="2"/>
  </r>
  <r>
    <x v="427"/>
    <n v="-11.13"/>
    <x v="912"/>
    <n v="2257.79"/>
    <s v="Complete Access"/>
    <x v="267"/>
    <x v="1"/>
    <x v="1"/>
    <d v="1900-01-22T00:00:00"/>
    <n v="34"/>
    <x v="6"/>
    <x v="2"/>
  </r>
  <r>
    <x v="428"/>
    <n v="-49.28"/>
    <x v="913"/>
    <n v="2410.5100000000002"/>
    <s v="Complete Access"/>
    <x v="8"/>
    <x v="1"/>
    <x v="5"/>
    <d v="1900-01-21T00:00:00"/>
    <n v="34"/>
    <x v="6"/>
    <x v="2"/>
  </r>
  <r>
    <x v="428"/>
    <n v="-107.05"/>
    <x v="914"/>
    <n v="2283.42"/>
    <s v="Complete Access"/>
    <x v="8"/>
    <x v="1"/>
    <x v="5"/>
    <d v="1900-01-21T00:00:00"/>
    <n v="34"/>
    <x v="6"/>
    <x v="2"/>
  </r>
  <r>
    <x v="428"/>
    <n v="-7.8"/>
    <x v="915"/>
    <n v="2459.79"/>
    <s v="Complete Access"/>
    <x v="218"/>
    <x v="8"/>
    <x v="29"/>
    <d v="1900-01-21T00:00:00"/>
    <n v="34"/>
    <x v="6"/>
    <x v="2"/>
  </r>
  <r>
    <x v="428"/>
    <n v="-14.5"/>
    <x v="8"/>
    <n v="2268.92"/>
    <s v="Complete Access"/>
    <x v="7"/>
    <x v="1"/>
    <x v="5"/>
    <d v="1900-01-21T00:00:00"/>
    <n v="34"/>
    <x v="6"/>
    <x v="2"/>
  </r>
  <r>
    <x v="428"/>
    <n v="-20.04"/>
    <x v="916"/>
    <n v="2390.4699999999998"/>
    <s v="Complete Access"/>
    <x v="316"/>
    <x v="1"/>
    <x v="5"/>
    <d v="1900-01-21T00:00:00"/>
    <n v="34"/>
    <x v="6"/>
    <x v="2"/>
  </r>
  <r>
    <x v="429"/>
    <n v="-93.08"/>
    <x v="772"/>
    <n v="2467.59"/>
    <s v="Complete Access"/>
    <x v="278"/>
    <x v="20"/>
    <x v="63"/>
    <d v="1900-01-20T00:00:00"/>
    <n v="34"/>
    <x v="6"/>
    <x v="2"/>
  </r>
  <r>
    <x v="430"/>
    <n v="-17.600000000000001"/>
    <x v="917"/>
    <n v="2525.67"/>
    <s v="Complete Access"/>
    <x v="317"/>
    <x v="1"/>
    <x v="5"/>
    <d v="1900-01-18T00:00:00"/>
    <n v="33"/>
    <x v="6"/>
    <x v="2"/>
  </r>
  <r>
    <x v="430"/>
    <n v="35"/>
    <x v="918"/>
    <n v="2560.67"/>
    <s v="Complete Access"/>
    <x v="36"/>
    <x v="0"/>
    <x v="0"/>
    <d v="1900-01-18T00:00:00"/>
    <n v="33"/>
    <x v="6"/>
    <x v="2"/>
  </r>
  <r>
    <x v="431"/>
    <n v="-342.5"/>
    <x v="919"/>
    <n v="2543.27"/>
    <s v="Complete Access"/>
    <x v="95"/>
    <x v="14"/>
    <x v="38"/>
    <d v="1900-01-17T00:00:00"/>
    <n v="33"/>
    <x v="6"/>
    <x v="2"/>
  </r>
  <r>
    <x v="432"/>
    <n v="-500"/>
    <x v="656"/>
    <n v="2863.83"/>
    <s v="Complete Access"/>
    <x v="13"/>
    <x v="0"/>
    <x v="0"/>
    <d v="1900-01-16T00:00:00"/>
    <n v="33"/>
    <x v="6"/>
    <x v="2"/>
  </r>
  <r>
    <x v="432"/>
    <n v="-28.39"/>
    <x v="920"/>
    <n v="2835.44"/>
    <s v="Complete Access"/>
    <x v="8"/>
    <x v="1"/>
    <x v="5"/>
    <d v="1900-01-16T00:00:00"/>
    <n v="33"/>
    <x v="6"/>
    <x v="2"/>
  </r>
  <r>
    <x v="432"/>
    <n v="2348.83"/>
    <x v="921"/>
    <n v="3363.83"/>
    <s v="Complete Access"/>
    <x v="14"/>
    <x v="6"/>
    <x v="9"/>
    <d v="1900-01-16T00:00:00"/>
    <n v="33"/>
    <x v="6"/>
    <x v="2"/>
  </r>
  <r>
    <x v="432"/>
    <n v="-37.200000000000003"/>
    <x v="922"/>
    <n v="2798.24"/>
    <s v="Complete Access"/>
    <x v="318"/>
    <x v="4"/>
    <x v="25"/>
    <d v="1900-01-16T00:00:00"/>
    <n v="33"/>
    <x v="6"/>
    <x v="2"/>
  </r>
  <r>
    <x v="432"/>
    <n v="-1.1200000000000001"/>
    <x v="923"/>
    <n v="2797.12"/>
    <s v="Complete Access"/>
    <x v="10"/>
    <x v="0"/>
    <x v="0"/>
    <d v="1900-01-16T00:00:00"/>
    <n v="33"/>
    <x v="6"/>
    <x v="2"/>
  </r>
  <r>
    <x v="432"/>
    <n v="100"/>
    <x v="924"/>
    <n v="2897.12"/>
    <s v="Complete Access"/>
    <x v="36"/>
    <x v="0"/>
    <x v="0"/>
    <d v="1900-01-16T00:00:00"/>
    <n v="33"/>
    <x v="6"/>
    <x v="2"/>
  </r>
  <r>
    <x v="432"/>
    <n v="-11.35"/>
    <x v="454"/>
    <n v="2885.77"/>
    <s v="Complete Access"/>
    <x v="9"/>
    <x v="4"/>
    <x v="6"/>
    <d v="1900-01-16T00:00:00"/>
    <n v="33"/>
    <x v="6"/>
    <x v="2"/>
  </r>
  <r>
    <x v="433"/>
    <n v="-100"/>
    <x v="925"/>
    <n v="1106.73"/>
    <s v="Complete Access"/>
    <x v="311"/>
    <x v="4"/>
    <x v="17"/>
    <d v="1900-01-15T00:00:00"/>
    <n v="33"/>
    <x v="6"/>
    <x v="2"/>
  </r>
  <r>
    <x v="433"/>
    <n v="-735.73"/>
    <x v="926"/>
    <n v="1251.42"/>
    <s v="Complete Access"/>
    <x v="93"/>
    <x v="9"/>
    <x v="36"/>
    <d v="1900-01-15T00:00:00"/>
    <n v="33"/>
    <x v="6"/>
    <x v="2"/>
  </r>
  <r>
    <x v="433"/>
    <n v="-18.45"/>
    <x v="578"/>
    <n v="1073.29"/>
    <s v="Complete Access"/>
    <x v="177"/>
    <x v="1"/>
    <x v="1"/>
    <d v="1900-01-15T00:00:00"/>
    <n v="33"/>
    <x v="6"/>
    <x v="2"/>
  </r>
  <r>
    <x v="433"/>
    <n v="-58.29"/>
    <x v="405"/>
    <n v="1015"/>
    <s v="Complete Access"/>
    <x v="177"/>
    <x v="1"/>
    <x v="1"/>
    <d v="1900-01-15T00:00:00"/>
    <n v="33"/>
    <x v="6"/>
    <x v="2"/>
  </r>
  <r>
    <x v="433"/>
    <n v="-14.99"/>
    <x v="927"/>
    <n v="1091.74"/>
    <s v="Complete Access"/>
    <x v="319"/>
    <x v="1"/>
    <x v="5"/>
    <d v="1900-01-15T00:00:00"/>
    <n v="33"/>
    <x v="6"/>
    <x v="2"/>
  </r>
  <r>
    <x v="433"/>
    <n v="-44.69"/>
    <x v="928"/>
    <n v="1206.73"/>
    <s v="Complete Access"/>
    <x v="1"/>
    <x v="1"/>
    <x v="1"/>
    <d v="1900-01-15T00:00:00"/>
    <n v="33"/>
    <x v="6"/>
    <x v="2"/>
  </r>
  <r>
    <x v="434"/>
    <n v="-1000"/>
    <x v="581"/>
    <n v="35169.43"/>
    <s v="Netbank Saver"/>
    <x v="0"/>
    <x v="0"/>
    <x v="0"/>
    <d v="1900-01-14T00:00:00"/>
    <n v="33"/>
    <x v="6"/>
    <x v="2"/>
  </r>
  <r>
    <x v="434"/>
    <n v="1000"/>
    <x v="370"/>
    <n v="1987.15"/>
    <s v="Complete Access"/>
    <x v="36"/>
    <x v="0"/>
    <x v="0"/>
    <d v="1900-01-14T00:00:00"/>
    <n v="33"/>
    <x v="6"/>
    <x v="2"/>
  </r>
  <r>
    <x v="434"/>
    <n v="-16.989999999999998"/>
    <x v="405"/>
    <n v="987.15"/>
    <s v="Complete Access"/>
    <x v="177"/>
    <x v="1"/>
    <x v="1"/>
    <d v="1900-01-14T00:00:00"/>
    <n v="33"/>
    <x v="6"/>
    <x v="2"/>
  </r>
  <r>
    <x v="435"/>
    <n v="-68"/>
    <x v="536"/>
    <n v="1004.14"/>
    <s v="Complete Access"/>
    <x v="216"/>
    <x v="9"/>
    <x v="36"/>
    <d v="1900-01-13T00:00:00"/>
    <n v="33"/>
    <x v="6"/>
    <x v="2"/>
  </r>
  <r>
    <x v="435"/>
    <n v="-22.53"/>
    <x v="532"/>
    <n v="1072.1400000000001"/>
    <s v="Complete Access"/>
    <x v="1"/>
    <x v="1"/>
    <x v="1"/>
    <d v="1900-01-13T00:00:00"/>
    <n v="33"/>
    <x v="6"/>
    <x v="2"/>
  </r>
  <r>
    <x v="436"/>
    <n v="-32"/>
    <x v="929"/>
    <n v="1094.67"/>
    <s v="Complete Access"/>
    <x v="320"/>
    <x v="8"/>
    <x v="29"/>
    <d v="1900-01-11T00:00:00"/>
    <n v="32"/>
    <x v="6"/>
    <x v="2"/>
  </r>
  <r>
    <x v="436"/>
    <n v="-1439.2"/>
    <x v="930"/>
    <n v="1164.97"/>
    <s v="Complete Access"/>
    <x v="321"/>
    <x v="4"/>
    <x v="47"/>
    <d v="1900-01-11T00:00:00"/>
    <n v="32"/>
    <x v="6"/>
    <x v="2"/>
  </r>
  <r>
    <x v="436"/>
    <n v="-38.299999999999997"/>
    <x v="931"/>
    <n v="1126.67"/>
    <s v="Complete Access"/>
    <x v="322"/>
    <x v="1"/>
    <x v="5"/>
    <d v="1900-01-11T00:00:00"/>
    <n v="32"/>
    <x v="6"/>
    <x v="2"/>
  </r>
  <r>
    <x v="437"/>
    <n v="-1500"/>
    <x v="932"/>
    <n v="36169.43"/>
    <s v="Netbank Saver"/>
    <x v="0"/>
    <x v="0"/>
    <x v="0"/>
    <d v="1900-01-09T00:00:00"/>
    <n v="32"/>
    <x v="6"/>
    <x v="2"/>
  </r>
  <r>
    <x v="437"/>
    <n v="1500"/>
    <x v="933"/>
    <n v="2604.17"/>
    <s v="Complete Access"/>
    <x v="36"/>
    <x v="0"/>
    <x v="0"/>
    <d v="1900-01-09T00:00:00"/>
    <n v="32"/>
    <x v="6"/>
    <x v="2"/>
  </r>
  <r>
    <x v="438"/>
    <n v="-1101.8900000000001"/>
    <x v="934"/>
    <n v="1174.6600000000001"/>
    <s v="Complete Access"/>
    <x v="13"/>
    <x v="0"/>
    <x v="0"/>
    <d v="1900-01-08T00:00:00"/>
    <n v="32"/>
    <x v="6"/>
    <x v="2"/>
  </r>
  <r>
    <x v="438"/>
    <n v="-33.24"/>
    <x v="533"/>
    <n v="1104.17"/>
    <s v="Complete Access"/>
    <x v="215"/>
    <x v="1"/>
    <x v="1"/>
    <d v="1900-01-08T00:00:00"/>
    <n v="32"/>
    <x v="6"/>
    <x v="2"/>
  </r>
  <r>
    <x v="438"/>
    <n v="-37.25"/>
    <x v="405"/>
    <n v="1137.4100000000001"/>
    <s v="Complete Access"/>
    <x v="177"/>
    <x v="1"/>
    <x v="1"/>
    <d v="1900-01-08T00:00:00"/>
    <n v="32"/>
    <x v="6"/>
    <x v="2"/>
  </r>
  <r>
    <x v="439"/>
    <n v="1.49"/>
    <x v="935"/>
    <n v="1947.19"/>
    <s v="Complete Access"/>
    <x v="323"/>
    <x v="0"/>
    <x v="0"/>
    <d v="1900-01-07T00:00:00"/>
    <n v="32"/>
    <x v="6"/>
    <x v="2"/>
  </r>
  <r>
    <x v="439"/>
    <n v="1.36"/>
    <x v="935"/>
    <n v="1945.7"/>
    <s v="Complete Access"/>
    <x v="323"/>
    <x v="0"/>
    <x v="0"/>
    <d v="1900-01-07T00:00:00"/>
    <n v="32"/>
    <x v="6"/>
    <x v="2"/>
  </r>
  <r>
    <x v="439"/>
    <n v="0.36"/>
    <x v="935"/>
    <n v="1944.34"/>
    <s v="Complete Access"/>
    <x v="323"/>
    <x v="0"/>
    <x v="0"/>
    <d v="1900-01-07T00:00:00"/>
    <n v="32"/>
    <x v="6"/>
    <x v="2"/>
  </r>
  <r>
    <x v="439"/>
    <n v="1.08"/>
    <x v="935"/>
    <n v="1943.98"/>
    <s v="Complete Access"/>
    <x v="323"/>
    <x v="0"/>
    <x v="0"/>
    <d v="1900-01-07T00:00:00"/>
    <n v="32"/>
    <x v="6"/>
    <x v="2"/>
  </r>
  <r>
    <x v="439"/>
    <n v="5.6"/>
    <x v="935"/>
    <n v="1942.9"/>
    <s v="Complete Access"/>
    <x v="323"/>
    <x v="0"/>
    <x v="0"/>
    <d v="1900-01-07T00:00:00"/>
    <n v="32"/>
    <x v="6"/>
    <x v="2"/>
  </r>
  <r>
    <x v="439"/>
    <n v="49.56"/>
    <x v="936"/>
    <n v="2276.5500000000002"/>
    <s v="Complete Access"/>
    <x v="324"/>
    <x v="0"/>
    <x v="0"/>
    <d v="1900-01-07T00:00:00"/>
    <n v="32"/>
    <x v="6"/>
    <x v="2"/>
  </r>
  <r>
    <x v="439"/>
    <n v="45.39"/>
    <x v="937"/>
    <n v="2226.9899999999998"/>
    <s v="Complete Access"/>
    <x v="324"/>
    <x v="0"/>
    <x v="0"/>
    <d v="1900-01-07T00:00:00"/>
    <n v="32"/>
    <x v="6"/>
    <x v="2"/>
  </r>
  <r>
    <x v="439"/>
    <n v="35.909999999999997"/>
    <x v="938"/>
    <n v="2169.69"/>
    <s v="Complete Access"/>
    <x v="324"/>
    <x v="0"/>
    <x v="0"/>
    <d v="1900-01-07T00:00:00"/>
    <n v="32"/>
    <x v="6"/>
    <x v="2"/>
  </r>
  <r>
    <x v="439"/>
    <n v="186.59"/>
    <x v="939"/>
    <n v="2133.7800000000002"/>
    <s v="Complete Access"/>
    <x v="324"/>
    <x v="0"/>
    <x v="0"/>
    <d v="1900-01-07T00:00:00"/>
    <n v="32"/>
    <x v="6"/>
    <x v="2"/>
  </r>
  <r>
    <x v="439"/>
    <n v="11.91"/>
    <x v="940"/>
    <n v="2181.6"/>
    <s v="Complete Access"/>
    <x v="324"/>
    <x v="0"/>
    <x v="0"/>
    <d v="1900-01-07T00:00:00"/>
    <n v="32"/>
    <x v="6"/>
    <x v="2"/>
  </r>
  <r>
    <x v="440"/>
    <n v="100"/>
    <x v="941"/>
    <n v="2037.3"/>
    <s v="Complete Access"/>
    <x v="27"/>
    <x v="1"/>
    <x v="5"/>
    <d v="1900-01-06T00:00:00"/>
    <n v="32"/>
    <x v="6"/>
    <x v="2"/>
  </r>
  <r>
    <x v="440"/>
    <n v="-100"/>
    <x v="942"/>
    <n v="1937.3"/>
    <s v="Complete Access"/>
    <x v="27"/>
    <x v="1"/>
    <x v="5"/>
    <d v="1900-01-06T00:00:00"/>
    <n v="32"/>
    <x v="6"/>
    <x v="2"/>
  </r>
  <r>
    <x v="440"/>
    <n v="-100"/>
    <x v="942"/>
    <n v="1937.3"/>
    <s v="Complete Access"/>
    <x v="27"/>
    <x v="1"/>
    <x v="5"/>
    <d v="1900-01-06T00:00:00"/>
    <n v="32"/>
    <x v="6"/>
    <x v="2"/>
  </r>
  <r>
    <x v="441"/>
    <n v="-40"/>
    <x v="942"/>
    <n v="2037.3"/>
    <s v="Complete Access"/>
    <x v="27"/>
    <x v="1"/>
    <x v="5"/>
    <d v="1900-01-03T00:00:00"/>
    <n v="31"/>
    <x v="6"/>
    <x v="2"/>
  </r>
  <r>
    <x v="442"/>
    <n v="-35000"/>
    <x v="943"/>
    <n v="1088.6500000000001"/>
    <s v="Complete Access"/>
    <x v="0"/>
    <x v="0"/>
    <x v="0"/>
    <d v="1900-01-02T00:00:00"/>
    <n v="31"/>
    <x v="6"/>
    <x v="2"/>
  </r>
  <r>
    <x v="442"/>
    <n v="-500"/>
    <x v="656"/>
    <n v="36038.65"/>
    <s v="Complete Access"/>
    <x v="13"/>
    <x v="0"/>
    <x v="0"/>
    <d v="1900-01-02T00:00:00"/>
    <n v="31"/>
    <x v="6"/>
    <x v="2"/>
  </r>
  <r>
    <x v="442"/>
    <n v="2348.84"/>
    <x v="944"/>
    <n v="36538.65"/>
    <s v="Complete Access"/>
    <x v="14"/>
    <x v="6"/>
    <x v="9"/>
    <d v="1900-01-02T00:00:00"/>
    <n v="31"/>
    <x v="6"/>
    <x v="2"/>
  </r>
  <r>
    <x v="442"/>
    <n v="100"/>
    <x v="945"/>
    <n v="36138.65"/>
    <s v="Complete Access"/>
    <x v="36"/>
    <x v="0"/>
    <x v="0"/>
    <d v="1900-01-02T00:00:00"/>
    <n v="31"/>
    <x v="6"/>
    <x v="2"/>
  </r>
  <r>
    <x v="442"/>
    <n v="1000"/>
    <x v="946"/>
    <n v="2088.65"/>
    <s v="Complete Access"/>
    <x v="325"/>
    <x v="6"/>
    <x v="64"/>
    <d v="1900-01-02T00:00:00"/>
    <n v="31"/>
    <x v="6"/>
    <x v="2"/>
  </r>
  <r>
    <x v="442"/>
    <n v="-11.35"/>
    <x v="454"/>
    <n v="2077.3000000000002"/>
    <s v="Complete Access"/>
    <x v="9"/>
    <x v="4"/>
    <x v="6"/>
    <d v="1900-01-02T00:00:00"/>
    <n v="31"/>
    <x v="6"/>
    <x v="2"/>
  </r>
  <r>
    <x v="442"/>
    <n v="-50"/>
    <x v="942"/>
    <n v="36088.65"/>
    <s v="Complete Access"/>
    <x v="27"/>
    <x v="1"/>
    <x v="5"/>
    <d v="1900-01-02T00:00:00"/>
    <n v="31"/>
    <x v="6"/>
    <x v="2"/>
  </r>
  <r>
    <x v="442"/>
    <n v="35000"/>
    <x v="947"/>
    <n v="37669.43"/>
    <s v="Netbank Saver"/>
    <x v="36"/>
    <x v="0"/>
    <x v="0"/>
    <d v="1900-01-02T00:00:00"/>
    <n v="31"/>
    <x v="6"/>
    <x v="2"/>
  </r>
  <r>
    <x v="443"/>
    <n v="40"/>
    <x v="941"/>
    <n v="34239.81"/>
    <s v="Complete Access"/>
    <x v="27"/>
    <x v="1"/>
    <x v="5"/>
    <d v="1900-01-01T00:00:00"/>
    <n v="31"/>
    <x v="6"/>
    <x v="2"/>
  </r>
  <r>
    <x v="443"/>
    <n v="-50"/>
    <x v="942"/>
    <n v="34189.81"/>
    <s v="Complete Access"/>
    <x v="27"/>
    <x v="1"/>
    <x v="5"/>
    <d v="1900-01-01T00:00:00"/>
    <n v="31"/>
    <x v="6"/>
    <x v="2"/>
  </r>
  <r>
    <x v="443"/>
    <n v="-40"/>
    <x v="942"/>
    <n v="34199.81"/>
    <s v="Complete Access"/>
    <x v="27"/>
    <x v="1"/>
    <x v="5"/>
    <d v="1900-01-01T00:00:00"/>
    <n v="31"/>
    <x v="6"/>
    <x v="2"/>
  </r>
  <r>
    <x v="444"/>
    <n v="-186.7"/>
    <x v="948"/>
    <n v="34239.81"/>
    <s v="Complete Access"/>
    <x v="76"/>
    <x v="2"/>
    <x v="2"/>
    <d v="1899-12-31T00:00:00"/>
    <n v="31"/>
    <x v="6"/>
    <x v="2"/>
  </r>
  <r>
    <x v="444"/>
    <n v="-20"/>
    <x v="942"/>
    <n v="34426.51"/>
    <s v="Complete Access"/>
    <x v="27"/>
    <x v="1"/>
    <x v="5"/>
    <d v="1899-12-31T00:00:00"/>
    <n v="31"/>
    <x v="6"/>
    <x v="2"/>
  </r>
  <r>
    <x v="444"/>
    <n v="4.9800000000000004"/>
    <x v="609"/>
    <n v="2669.43"/>
    <s v="Netbank Saver"/>
    <x v="240"/>
    <x v="0"/>
    <x v="55"/>
    <d v="1899-12-31T00:00:00"/>
    <n v="31"/>
    <x v="6"/>
    <x v="2"/>
  </r>
  <r>
    <x v="445"/>
    <n v="-60"/>
    <x v="949"/>
    <n v="34446.51"/>
    <s v="Complete Access"/>
    <x v="0"/>
    <x v="0"/>
    <x v="0"/>
    <d v="1900-01-29T00:00:00"/>
    <n v="31"/>
    <x v="7"/>
    <x v="2"/>
  </r>
  <r>
    <x v="445"/>
    <n v="-60"/>
    <x v="949"/>
    <n v="34446.51"/>
    <s v="Complete Access"/>
    <x v="0"/>
    <x v="0"/>
    <x v="0"/>
    <d v="1900-01-29T00:00:00"/>
    <n v="31"/>
    <x v="7"/>
    <x v="2"/>
  </r>
  <r>
    <x v="446"/>
    <n v="150"/>
    <x v="950"/>
    <n v="34656.51"/>
    <s v="Complete Access"/>
    <x v="27"/>
    <x v="1"/>
    <x v="5"/>
    <d v="1900-01-28T00:00:00"/>
    <n v="30"/>
    <x v="7"/>
    <x v="2"/>
  </r>
  <r>
    <x v="446"/>
    <n v="-150"/>
    <x v="951"/>
    <n v="34506.51"/>
    <s v="Complete Access"/>
    <x v="326"/>
    <x v="0"/>
    <x v="42"/>
    <d v="1900-01-28T00:00:00"/>
    <n v="30"/>
    <x v="7"/>
    <x v="2"/>
  </r>
  <r>
    <x v="446"/>
    <n v="-150"/>
    <x v="951"/>
    <n v="34506.51"/>
    <s v="Complete Access"/>
    <x v="326"/>
    <x v="0"/>
    <x v="42"/>
    <d v="1900-01-28T00:00:00"/>
    <n v="30"/>
    <x v="7"/>
    <x v="2"/>
  </r>
  <r>
    <x v="446"/>
    <n v="-150"/>
    <x v="952"/>
    <n v="34506.51"/>
    <s v="Complete Access"/>
    <x v="27"/>
    <x v="1"/>
    <x v="5"/>
    <d v="1900-01-28T00:00:00"/>
    <n v="30"/>
    <x v="7"/>
    <x v="2"/>
  </r>
  <r>
    <x v="447"/>
    <n v="-11.91"/>
    <x v="953"/>
    <n v="34951.949999999997"/>
    <s v="Complete Access"/>
    <x v="8"/>
    <x v="1"/>
    <x v="5"/>
    <d v="1900-01-26T00:00:00"/>
    <n v="30"/>
    <x v="7"/>
    <x v="2"/>
  </r>
  <r>
    <x v="447"/>
    <n v="-49.56"/>
    <x v="954"/>
    <n v="34818.29"/>
    <s v="Complete Access"/>
    <x v="8"/>
    <x v="1"/>
    <x v="5"/>
    <d v="1900-01-26T00:00:00"/>
    <n v="30"/>
    <x v="7"/>
    <x v="2"/>
  </r>
  <r>
    <x v="447"/>
    <n v="-45.39"/>
    <x v="955"/>
    <n v="34869.21"/>
    <s v="Complete Access"/>
    <x v="8"/>
    <x v="1"/>
    <x v="5"/>
    <d v="1900-01-26T00:00:00"/>
    <n v="30"/>
    <x v="7"/>
    <x v="2"/>
  </r>
  <r>
    <x v="447"/>
    <n v="-35.909999999999997"/>
    <x v="956"/>
    <n v="34915.68"/>
    <s v="Complete Access"/>
    <x v="8"/>
    <x v="1"/>
    <x v="5"/>
    <d v="1900-01-26T00:00:00"/>
    <n v="30"/>
    <x v="7"/>
    <x v="2"/>
  </r>
  <r>
    <x v="447"/>
    <n v="-16.39"/>
    <x v="957"/>
    <n v="34657"/>
    <s v="Complete Access"/>
    <x v="74"/>
    <x v="4"/>
    <x v="10"/>
    <d v="1900-01-26T00:00:00"/>
    <n v="30"/>
    <x v="7"/>
    <x v="2"/>
  </r>
  <r>
    <x v="447"/>
    <n v="-0.49"/>
    <x v="958"/>
    <n v="34656.51"/>
    <s v="Complete Access"/>
    <x v="10"/>
    <x v="0"/>
    <x v="0"/>
    <d v="1900-01-26T00:00:00"/>
    <n v="30"/>
    <x v="7"/>
    <x v="2"/>
  </r>
  <r>
    <x v="447"/>
    <n v="-3.3"/>
    <x v="959"/>
    <n v="34703.39"/>
    <s v="Complete Access"/>
    <x v="10"/>
    <x v="0"/>
    <x v="0"/>
    <d v="1900-01-26T00:00:00"/>
    <n v="30"/>
    <x v="7"/>
    <x v="2"/>
  </r>
  <r>
    <x v="447"/>
    <n v="-1.49"/>
    <x v="959"/>
    <n v="34816.800000000003"/>
    <s v="Complete Access"/>
    <x v="10"/>
    <x v="0"/>
    <x v="0"/>
    <d v="1900-01-26T00:00:00"/>
    <n v="30"/>
    <x v="7"/>
    <x v="2"/>
  </r>
  <r>
    <x v="447"/>
    <n v="-1.36"/>
    <x v="959"/>
    <n v="34867.85"/>
    <s v="Complete Access"/>
    <x v="10"/>
    <x v="0"/>
    <x v="0"/>
    <d v="1900-01-26T00:00:00"/>
    <n v="30"/>
    <x v="7"/>
    <x v="2"/>
  </r>
  <r>
    <x v="447"/>
    <n v="-1.08"/>
    <x v="959"/>
    <n v="34914.6"/>
    <s v="Complete Access"/>
    <x v="10"/>
    <x v="0"/>
    <x v="0"/>
    <d v="1900-01-26T00:00:00"/>
    <n v="30"/>
    <x v="7"/>
    <x v="2"/>
  </r>
  <r>
    <x v="447"/>
    <n v="-0.36"/>
    <x v="959"/>
    <n v="34951.589999999997"/>
    <s v="Complete Access"/>
    <x v="10"/>
    <x v="0"/>
    <x v="0"/>
    <d v="1900-01-26T00:00:00"/>
    <n v="30"/>
    <x v="7"/>
    <x v="2"/>
  </r>
  <r>
    <x v="447"/>
    <n v="-15"/>
    <x v="960"/>
    <n v="34673.39"/>
    <s v="Complete Access"/>
    <x v="327"/>
    <x v="4"/>
    <x v="27"/>
    <d v="1900-01-26T00:00:00"/>
    <n v="30"/>
    <x v="7"/>
    <x v="2"/>
  </r>
  <r>
    <x v="447"/>
    <n v="-15"/>
    <x v="960"/>
    <n v="34688.39"/>
    <s v="Complete Access"/>
    <x v="327"/>
    <x v="4"/>
    <x v="27"/>
    <d v="1900-01-26T00:00:00"/>
    <n v="30"/>
    <x v="7"/>
    <x v="2"/>
  </r>
  <r>
    <x v="447"/>
    <n v="-110.11"/>
    <x v="961"/>
    <n v="34706.69"/>
    <s v="Complete Access"/>
    <x v="328"/>
    <x v="4"/>
    <x v="47"/>
    <d v="1900-01-26T00:00:00"/>
    <n v="30"/>
    <x v="7"/>
    <x v="2"/>
  </r>
  <r>
    <x v="448"/>
    <n v="-186.59"/>
    <x v="962"/>
    <n v="34969.46"/>
    <s v="Complete Access"/>
    <x v="8"/>
    <x v="1"/>
    <x v="5"/>
    <d v="1900-01-25T00:00:00"/>
    <n v="30"/>
    <x v="7"/>
    <x v="2"/>
  </r>
  <r>
    <x v="448"/>
    <n v="-5.6"/>
    <x v="959"/>
    <n v="34963.86"/>
    <s v="Complete Access"/>
    <x v="10"/>
    <x v="0"/>
    <x v="0"/>
    <d v="1900-01-25T00:00:00"/>
    <n v="30"/>
    <x v="7"/>
    <x v="2"/>
  </r>
  <r>
    <x v="449"/>
    <n v="-28.49"/>
    <x v="963"/>
    <n v="35201.32"/>
    <s v="Complete Access"/>
    <x v="8"/>
    <x v="1"/>
    <x v="5"/>
    <d v="1900-01-21T00:00:00"/>
    <n v="29"/>
    <x v="7"/>
    <x v="2"/>
  </r>
  <r>
    <x v="449"/>
    <n v="-13.99"/>
    <x v="533"/>
    <n v="35156.050000000003"/>
    <s v="Complete Access"/>
    <x v="215"/>
    <x v="1"/>
    <x v="1"/>
    <d v="1900-01-21T00:00:00"/>
    <n v="29"/>
    <x v="7"/>
    <x v="2"/>
  </r>
  <r>
    <x v="449"/>
    <n v="-31.28"/>
    <x v="405"/>
    <n v="35170.04"/>
    <s v="Complete Access"/>
    <x v="177"/>
    <x v="1"/>
    <x v="1"/>
    <d v="1900-01-21T00:00:00"/>
    <n v="29"/>
    <x v="7"/>
    <x v="2"/>
  </r>
  <r>
    <x v="450"/>
    <n v="-8.76"/>
    <x v="964"/>
    <n v="35229.81"/>
    <s v="Complete Access"/>
    <x v="34"/>
    <x v="9"/>
    <x v="12"/>
    <d v="1900-01-20T00:00:00"/>
    <n v="29"/>
    <x v="7"/>
    <x v="2"/>
  </r>
  <r>
    <x v="450"/>
    <n v="-14"/>
    <x v="964"/>
    <n v="35238.57"/>
    <s v="Complete Access"/>
    <x v="34"/>
    <x v="9"/>
    <x v="12"/>
    <d v="1900-01-20T00:00:00"/>
    <n v="29"/>
    <x v="7"/>
    <x v="2"/>
  </r>
  <r>
    <x v="451"/>
    <n v="-500"/>
    <x v="656"/>
    <n v="35170.42"/>
    <s v="Complete Access"/>
    <x v="13"/>
    <x v="0"/>
    <x v="0"/>
    <d v="1900-01-19T00:00:00"/>
    <n v="29"/>
    <x v="7"/>
    <x v="2"/>
  </r>
  <r>
    <x v="451"/>
    <n v="2348.83"/>
    <x v="965"/>
    <n v="35670.42"/>
    <s v="Complete Access"/>
    <x v="14"/>
    <x v="6"/>
    <x v="9"/>
    <d v="1900-01-19T00:00:00"/>
    <n v="29"/>
    <x v="7"/>
    <x v="2"/>
  </r>
  <r>
    <x v="451"/>
    <n v="-6.5"/>
    <x v="966"/>
    <n v="35263.919999999998"/>
    <s v="Complete Access"/>
    <x v="215"/>
    <x v="1"/>
    <x v="1"/>
    <d v="1900-01-19T00:00:00"/>
    <n v="29"/>
    <x v="7"/>
    <x v="2"/>
  </r>
  <r>
    <x v="451"/>
    <n v="100"/>
    <x v="967"/>
    <n v="35270.42"/>
    <s v="Complete Access"/>
    <x v="36"/>
    <x v="0"/>
    <x v="0"/>
    <d v="1900-01-19T00:00:00"/>
    <n v="29"/>
    <x v="7"/>
    <x v="2"/>
  </r>
  <r>
    <x v="451"/>
    <n v="-11.35"/>
    <x v="454"/>
    <n v="35252.57"/>
    <s v="Complete Access"/>
    <x v="9"/>
    <x v="4"/>
    <x v="6"/>
    <d v="1900-01-19T00:00:00"/>
    <n v="29"/>
    <x v="7"/>
    <x v="2"/>
  </r>
  <r>
    <x v="452"/>
    <n v="-69"/>
    <x v="968"/>
    <n v="33321.589999999997"/>
    <s v="Complete Access"/>
    <x v="207"/>
    <x v="7"/>
    <x v="11"/>
    <d v="1900-01-18T00:00:00"/>
    <n v="29"/>
    <x v="7"/>
    <x v="2"/>
  </r>
  <r>
    <x v="453"/>
    <n v="-13.99"/>
    <x v="405"/>
    <n v="33390.589999999997"/>
    <s v="Complete Access"/>
    <x v="177"/>
    <x v="1"/>
    <x v="1"/>
    <d v="1900-01-17T00:00:00"/>
    <n v="29"/>
    <x v="7"/>
    <x v="2"/>
  </r>
  <r>
    <x v="454"/>
    <n v="-69.81"/>
    <x v="405"/>
    <n v="33404.58"/>
    <s v="Complete Access"/>
    <x v="177"/>
    <x v="1"/>
    <x v="1"/>
    <d v="1900-01-16T00:00:00"/>
    <n v="29"/>
    <x v="7"/>
    <x v="2"/>
  </r>
  <r>
    <x v="454"/>
    <n v="-27.4"/>
    <x v="532"/>
    <n v="33474.39"/>
    <s v="Complete Access"/>
    <x v="1"/>
    <x v="1"/>
    <x v="1"/>
    <d v="1900-01-16T00:00:00"/>
    <n v="29"/>
    <x v="7"/>
    <x v="2"/>
  </r>
  <r>
    <x v="455"/>
    <n v="-16.13"/>
    <x v="969"/>
    <n v="33507.29"/>
    <s v="Complete Access"/>
    <x v="177"/>
    <x v="1"/>
    <x v="1"/>
    <d v="1900-01-14T00:00:00"/>
    <n v="28"/>
    <x v="7"/>
    <x v="2"/>
  </r>
  <r>
    <x v="455"/>
    <n v="-5.5"/>
    <x v="532"/>
    <n v="33501.79"/>
    <s v="Complete Access"/>
    <x v="1"/>
    <x v="1"/>
    <x v="1"/>
    <d v="1900-01-14T00:00:00"/>
    <n v="28"/>
    <x v="7"/>
    <x v="2"/>
  </r>
  <r>
    <x v="456"/>
    <n v="-20"/>
    <x v="970"/>
    <n v="33537.919999999998"/>
    <s v="Complete Access"/>
    <x v="12"/>
    <x v="5"/>
    <x v="8"/>
    <d v="1900-01-11T00:00:00"/>
    <n v="28"/>
    <x v="7"/>
    <x v="2"/>
  </r>
  <r>
    <x v="456"/>
    <n v="-14.5"/>
    <x v="8"/>
    <n v="33523.42"/>
    <s v="Complete Access"/>
    <x v="7"/>
    <x v="1"/>
    <x v="5"/>
    <d v="1900-01-11T00:00:00"/>
    <n v="28"/>
    <x v="7"/>
    <x v="2"/>
  </r>
  <r>
    <x v="457"/>
    <n v="-28.25"/>
    <x v="969"/>
    <n v="33557.919999999998"/>
    <s v="Complete Access"/>
    <x v="177"/>
    <x v="1"/>
    <x v="1"/>
    <d v="1900-01-10T00:00:00"/>
    <n v="28"/>
    <x v="7"/>
    <x v="2"/>
  </r>
  <r>
    <x v="457"/>
    <n v="-14.5"/>
    <x v="8"/>
    <n v="33586.17"/>
    <s v="Complete Access"/>
    <x v="7"/>
    <x v="1"/>
    <x v="5"/>
    <d v="1900-01-10T00:00:00"/>
    <n v="28"/>
    <x v="7"/>
    <x v="2"/>
  </r>
  <r>
    <x v="457"/>
    <n v="396"/>
    <x v="971"/>
    <n v="33600.67"/>
    <s v="Complete Access"/>
    <x v="36"/>
    <x v="0"/>
    <x v="0"/>
    <d v="1900-01-10T00:00:00"/>
    <n v="28"/>
    <x v="7"/>
    <x v="2"/>
  </r>
  <r>
    <x v="458"/>
    <n v="1949.33"/>
    <x v="972"/>
    <n v="33204.67"/>
    <s v="Complete Access"/>
    <x v="192"/>
    <x v="4"/>
    <x v="20"/>
    <d v="1900-01-09T00:00:00"/>
    <n v="28"/>
    <x v="7"/>
    <x v="2"/>
  </r>
  <r>
    <x v="459"/>
    <n v="-39.590000000000003"/>
    <x v="405"/>
    <n v="31255.34"/>
    <s v="Complete Access"/>
    <x v="177"/>
    <x v="1"/>
    <x v="1"/>
    <d v="1900-01-07T00:00:00"/>
    <n v="27"/>
    <x v="7"/>
    <x v="2"/>
  </r>
  <r>
    <x v="460"/>
    <n v="-500"/>
    <x v="656"/>
    <n v="31194.93"/>
    <s v="Complete Access"/>
    <x v="13"/>
    <x v="0"/>
    <x v="0"/>
    <d v="1900-01-05T00:00:00"/>
    <n v="27"/>
    <x v="7"/>
    <x v="2"/>
  </r>
  <r>
    <x v="460"/>
    <n v="-20"/>
    <x v="973"/>
    <n v="31694.93"/>
    <s v="Complete Access"/>
    <x v="12"/>
    <x v="5"/>
    <x v="8"/>
    <d v="1900-01-05T00:00:00"/>
    <n v="27"/>
    <x v="7"/>
    <x v="2"/>
  </r>
  <r>
    <x v="460"/>
    <n v="2348.84"/>
    <x v="974"/>
    <n v="31714.93"/>
    <s v="Complete Access"/>
    <x v="14"/>
    <x v="6"/>
    <x v="9"/>
    <d v="1900-01-05T00:00:00"/>
    <n v="27"/>
    <x v="7"/>
    <x v="2"/>
  </r>
  <r>
    <x v="460"/>
    <n v="100"/>
    <x v="975"/>
    <n v="31294.93"/>
    <s v="Complete Access"/>
    <x v="36"/>
    <x v="0"/>
    <x v="0"/>
    <d v="1900-01-05T00:00:00"/>
    <n v="27"/>
    <x v="7"/>
    <x v="2"/>
  </r>
  <r>
    <x v="461"/>
    <n v="-21.78"/>
    <x v="976"/>
    <n v="29406.93"/>
    <s v="Complete Access"/>
    <x v="8"/>
    <x v="1"/>
    <x v="5"/>
    <d v="1900-01-03T00:00:00"/>
    <n v="27"/>
    <x v="7"/>
    <x v="2"/>
  </r>
  <r>
    <x v="461"/>
    <n v="-20"/>
    <x v="977"/>
    <n v="29448.51"/>
    <s v="Complete Access"/>
    <x v="12"/>
    <x v="5"/>
    <x v="8"/>
    <d v="1900-01-03T00:00:00"/>
    <n v="27"/>
    <x v="7"/>
    <x v="2"/>
  </r>
  <r>
    <x v="461"/>
    <n v="-25.34"/>
    <x v="966"/>
    <n v="29366.09"/>
    <s v="Complete Access"/>
    <x v="215"/>
    <x v="1"/>
    <x v="1"/>
    <d v="1900-01-03T00:00:00"/>
    <n v="27"/>
    <x v="7"/>
    <x v="2"/>
  </r>
  <r>
    <x v="461"/>
    <n v="-15.5"/>
    <x v="8"/>
    <n v="29391.43"/>
    <s v="Complete Access"/>
    <x v="7"/>
    <x v="1"/>
    <x v="5"/>
    <d v="1900-01-03T00:00:00"/>
    <n v="27"/>
    <x v="7"/>
    <x v="2"/>
  </r>
  <r>
    <x v="461"/>
    <n v="-19.8"/>
    <x v="978"/>
    <n v="29428.71"/>
    <s v="Complete Access"/>
    <x v="329"/>
    <x v="4"/>
    <x v="7"/>
    <d v="1900-01-03T00:00:00"/>
    <n v="27"/>
    <x v="7"/>
    <x v="2"/>
  </r>
  <r>
    <x v="462"/>
    <n v="-28.6"/>
    <x v="969"/>
    <n v="29655.21"/>
    <s v="Complete Access"/>
    <x v="177"/>
    <x v="1"/>
    <x v="1"/>
    <d v="1900-01-02T00:00:00"/>
    <n v="27"/>
    <x v="7"/>
    <x v="2"/>
  </r>
  <r>
    <x v="462"/>
    <n v="-14.5"/>
    <x v="8"/>
    <n v="29690.54"/>
    <s v="Complete Access"/>
    <x v="7"/>
    <x v="1"/>
    <x v="5"/>
    <d v="1900-01-02T00:00:00"/>
    <n v="27"/>
    <x v="7"/>
    <x v="2"/>
  </r>
  <r>
    <x v="462"/>
    <n v="-186.7"/>
    <x v="979"/>
    <n v="29468.51"/>
    <s v="Complete Access"/>
    <x v="76"/>
    <x v="2"/>
    <x v="2"/>
    <d v="1900-01-02T00:00:00"/>
    <n v="27"/>
    <x v="7"/>
    <x v="2"/>
  </r>
  <r>
    <x v="462"/>
    <n v="-6.73"/>
    <x v="532"/>
    <n v="29683.81"/>
    <s v="Complete Access"/>
    <x v="1"/>
    <x v="1"/>
    <x v="1"/>
    <d v="1900-01-02T00:00:00"/>
    <n v="27"/>
    <x v="7"/>
    <x v="2"/>
  </r>
  <r>
    <x v="463"/>
    <n v="-38.74"/>
    <x v="532"/>
    <n v="29705.040000000001"/>
    <s v="Complete Access"/>
    <x v="1"/>
    <x v="1"/>
    <x v="1"/>
    <d v="1899-12-31T00:00:00"/>
    <n v="26"/>
    <x v="7"/>
    <x v="2"/>
  </r>
  <r>
    <x v="463"/>
    <n v="4.54"/>
    <x v="609"/>
    <n v="2664.45"/>
    <s v="Netbank Saver"/>
    <x v="240"/>
    <x v="0"/>
    <x v="55"/>
    <d v="1899-12-31T00:00:00"/>
    <n v="26"/>
    <x v="7"/>
    <x v="2"/>
  </r>
  <r>
    <x v="464"/>
    <n v="-362.91"/>
    <x v="980"/>
    <n v="29743.78"/>
    <s v="Complete Access"/>
    <x v="295"/>
    <x v="14"/>
    <x v="66"/>
    <d v="1900-01-28T00:00:00"/>
    <n v="26"/>
    <x v="8"/>
    <x v="2"/>
  </r>
  <r>
    <x v="465"/>
    <n v="-25"/>
    <x v="981"/>
    <n v="30106.69"/>
    <s v="Complete Access"/>
    <x v="330"/>
    <x v="0"/>
    <x v="0"/>
    <d v="1900-01-27T00:00:00"/>
    <n v="26"/>
    <x v="8"/>
    <x v="2"/>
  </r>
  <r>
    <x v="465"/>
    <n v="-16"/>
    <x v="981"/>
    <n v="30131.69"/>
    <s v="Complete Access"/>
    <x v="330"/>
    <x v="0"/>
    <x v="0"/>
    <d v="1900-01-27T00:00:00"/>
    <n v="26"/>
    <x v="8"/>
    <x v="2"/>
  </r>
  <r>
    <x v="466"/>
    <n v="-28.94"/>
    <x v="982"/>
    <n v="30163.69"/>
    <s v="Complete Access"/>
    <x v="8"/>
    <x v="1"/>
    <x v="5"/>
    <d v="1900-01-26T00:00:00"/>
    <n v="26"/>
    <x v="8"/>
    <x v="2"/>
  </r>
  <r>
    <x v="466"/>
    <n v="-16.510000000000002"/>
    <x v="983"/>
    <n v="30193.13"/>
    <s v="Complete Access"/>
    <x v="74"/>
    <x v="4"/>
    <x v="10"/>
    <d v="1900-01-26T00:00:00"/>
    <n v="26"/>
    <x v="8"/>
    <x v="2"/>
  </r>
  <r>
    <x v="466"/>
    <n v="-0.5"/>
    <x v="984"/>
    <n v="30192.63"/>
    <s v="Complete Access"/>
    <x v="10"/>
    <x v="0"/>
    <x v="0"/>
    <d v="1900-01-26T00:00:00"/>
    <n v="26"/>
    <x v="8"/>
    <x v="2"/>
  </r>
  <r>
    <x v="466"/>
    <n v="-16"/>
    <x v="966"/>
    <n v="30147.69"/>
    <s v="Complete Access"/>
    <x v="215"/>
    <x v="1"/>
    <x v="1"/>
    <d v="1900-01-26T00:00:00"/>
    <n v="26"/>
    <x v="8"/>
    <x v="2"/>
  </r>
  <r>
    <x v="467"/>
    <n v="-19.940000000000001"/>
    <x v="969"/>
    <n v="30209.64"/>
    <s v="Complete Access"/>
    <x v="177"/>
    <x v="1"/>
    <x v="1"/>
    <d v="1900-01-24T00:00:00"/>
    <n v="26"/>
    <x v="8"/>
    <x v="2"/>
  </r>
  <r>
    <x v="468"/>
    <n v="-38.39"/>
    <x v="405"/>
    <n v="30229.58"/>
    <s v="Complete Access"/>
    <x v="177"/>
    <x v="1"/>
    <x v="1"/>
    <d v="1900-01-23T00:00:00"/>
    <n v="25"/>
    <x v="8"/>
    <x v="2"/>
  </r>
  <r>
    <x v="469"/>
    <n v="-60.39"/>
    <x v="985"/>
    <n v="30267.97"/>
    <s v="Complete Access"/>
    <x v="1"/>
    <x v="1"/>
    <x v="1"/>
    <d v="1900-01-22T00:00:00"/>
    <n v="25"/>
    <x v="8"/>
    <x v="2"/>
  </r>
  <r>
    <x v="470"/>
    <n v="-500"/>
    <x v="656"/>
    <n v="30228.36"/>
    <s v="Complete Access"/>
    <x v="13"/>
    <x v="0"/>
    <x v="0"/>
    <d v="1900-01-21T00:00:00"/>
    <n v="25"/>
    <x v="8"/>
    <x v="2"/>
  </r>
  <r>
    <x v="470"/>
    <n v="2332.84"/>
    <x v="728"/>
    <n v="30728.36"/>
    <s v="Complete Access"/>
    <x v="14"/>
    <x v="6"/>
    <x v="9"/>
    <d v="1900-01-21T00:00:00"/>
    <n v="25"/>
    <x v="8"/>
    <x v="2"/>
  </r>
  <r>
    <x v="470"/>
    <n v="100"/>
    <x v="986"/>
    <n v="30328.36"/>
    <s v="Complete Access"/>
    <x v="36"/>
    <x v="0"/>
    <x v="0"/>
    <d v="1900-01-21T00:00:00"/>
    <n v="25"/>
    <x v="8"/>
    <x v="2"/>
  </r>
  <r>
    <x v="471"/>
    <n v="-30.27"/>
    <x v="987"/>
    <n v="28480.32"/>
    <s v="Complete Access"/>
    <x v="8"/>
    <x v="1"/>
    <x v="5"/>
    <d v="1900-01-20T00:00:00"/>
    <n v="25"/>
    <x v="8"/>
    <x v="2"/>
  </r>
  <r>
    <x v="471"/>
    <n v="-11"/>
    <x v="988"/>
    <n v="28469.32"/>
    <s v="Complete Access"/>
    <x v="331"/>
    <x v="1"/>
    <x v="5"/>
    <d v="1900-01-20T00:00:00"/>
    <n v="25"/>
    <x v="8"/>
    <x v="2"/>
  </r>
  <r>
    <x v="471"/>
    <n v="-73.8"/>
    <x v="989"/>
    <n v="28395.52"/>
    <s v="Complete Access"/>
    <x v="332"/>
    <x v="1"/>
    <x v="5"/>
    <d v="1900-01-20T00:00:00"/>
    <n v="25"/>
    <x v="8"/>
    <x v="2"/>
  </r>
  <r>
    <x v="472"/>
    <n v="-29.59"/>
    <x v="990"/>
    <n v="28541.56"/>
    <s v="Complete Access"/>
    <x v="8"/>
    <x v="1"/>
    <x v="5"/>
    <d v="1900-01-19T00:00:00"/>
    <n v="25"/>
    <x v="8"/>
    <x v="2"/>
  </r>
  <r>
    <x v="472"/>
    <n v="-30.97"/>
    <x v="969"/>
    <n v="28510.59"/>
    <s v="Complete Access"/>
    <x v="177"/>
    <x v="1"/>
    <x v="1"/>
    <d v="1900-01-19T00:00:00"/>
    <n v="25"/>
    <x v="8"/>
    <x v="2"/>
  </r>
  <r>
    <x v="473"/>
    <n v="-69"/>
    <x v="991"/>
    <n v="28625.03"/>
    <s v="Complete Access"/>
    <x v="207"/>
    <x v="7"/>
    <x v="11"/>
    <d v="1900-01-16T00:00:00"/>
    <n v="24"/>
    <x v="8"/>
    <x v="2"/>
  </r>
  <r>
    <x v="473"/>
    <n v="-16.18"/>
    <x v="992"/>
    <n v="28608.85"/>
    <s v="Complete Access"/>
    <x v="333"/>
    <x v="1"/>
    <x v="5"/>
    <d v="1900-01-16T00:00:00"/>
    <n v="24"/>
    <x v="8"/>
    <x v="2"/>
  </r>
  <r>
    <x v="473"/>
    <n v="-37.700000000000003"/>
    <x v="405"/>
    <n v="28571.15"/>
    <s v="Complete Access"/>
    <x v="177"/>
    <x v="1"/>
    <x v="1"/>
    <d v="1900-01-16T00:00:00"/>
    <n v="24"/>
    <x v="8"/>
    <x v="2"/>
  </r>
  <r>
    <x v="474"/>
    <n v="-4.5"/>
    <x v="993"/>
    <n v="28694.03"/>
    <s v="Complete Access"/>
    <x v="277"/>
    <x v="8"/>
    <x v="29"/>
    <d v="1900-01-14T00:00:00"/>
    <n v="24"/>
    <x v="8"/>
    <x v="2"/>
  </r>
  <r>
    <x v="475"/>
    <n v="-20"/>
    <x v="994"/>
    <n v="28698.53"/>
    <s v="Complete Access"/>
    <x v="12"/>
    <x v="5"/>
    <x v="8"/>
    <d v="1900-01-13T00:00:00"/>
    <n v="24"/>
    <x v="8"/>
    <x v="2"/>
  </r>
  <r>
    <x v="476"/>
    <n v="-27.19"/>
    <x v="995"/>
    <n v="28753.24"/>
    <s v="Complete Access"/>
    <x v="8"/>
    <x v="1"/>
    <x v="5"/>
    <d v="1900-01-12T00:00:00"/>
    <n v="24"/>
    <x v="8"/>
    <x v="2"/>
  </r>
  <r>
    <x v="476"/>
    <n v="-19.72"/>
    <x v="966"/>
    <n v="28718.53"/>
    <s v="Complete Access"/>
    <x v="215"/>
    <x v="1"/>
    <x v="1"/>
    <d v="1900-01-12T00:00:00"/>
    <n v="24"/>
    <x v="8"/>
    <x v="2"/>
  </r>
  <r>
    <x v="476"/>
    <n v="-14.99"/>
    <x v="927"/>
    <n v="28738.25"/>
    <s v="Complete Access"/>
    <x v="319"/>
    <x v="1"/>
    <x v="5"/>
    <d v="1900-01-12T00:00:00"/>
    <n v="24"/>
    <x v="8"/>
    <x v="2"/>
  </r>
  <r>
    <x v="477"/>
    <n v="800"/>
    <x v="946"/>
    <n v="28780.43"/>
    <s v="Complete Access"/>
    <x v="325"/>
    <x v="6"/>
    <x v="64"/>
    <d v="1900-01-11T00:00:00"/>
    <n v="24"/>
    <x v="8"/>
    <x v="2"/>
  </r>
  <r>
    <x v="478"/>
    <n v="-19.34"/>
    <x v="532"/>
    <n v="27980.43"/>
    <s v="Complete Access"/>
    <x v="1"/>
    <x v="1"/>
    <x v="1"/>
    <d v="1900-01-10T00:00:00"/>
    <n v="24"/>
    <x v="8"/>
    <x v="2"/>
  </r>
  <r>
    <x v="479"/>
    <n v="-25.19"/>
    <x v="996"/>
    <n v="28074.32"/>
    <s v="Complete Access"/>
    <x v="8"/>
    <x v="1"/>
    <x v="5"/>
    <d v="1900-01-09T00:00:00"/>
    <n v="23"/>
    <x v="8"/>
    <x v="2"/>
  </r>
  <r>
    <x v="479"/>
    <n v="-74.55"/>
    <x v="405"/>
    <n v="27999.77"/>
    <s v="Complete Access"/>
    <x v="177"/>
    <x v="1"/>
    <x v="1"/>
    <d v="1900-01-09T00:00:00"/>
    <n v="23"/>
    <x v="8"/>
    <x v="2"/>
  </r>
  <r>
    <x v="480"/>
    <n v="-24.09"/>
    <x v="997"/>
    <n v="28099.51"/>
    <s v="Complete Access"/>
    <x v="8"/>
    <x v="1"/>
    <x v="5"/>
    <d v="1900-01-08T00:00:00"/>
    <n v="23"/>
    <x v="8"/>
    <x v="2"/>
  </r>
  <r>
    <x v="481"/>
    <n v="-500"/>
    <x v="656"/>
    <n v="28057.58"/>
    <s v="Complete Access"/>
    <x v="13"/>
    <x v="0"/>
    <x v="0"/>
    <d v="1900-01-07T00:00:00"/>
    <n v="23"/>
    <x v="8"/>
    <x v="2"/>
  </r>
  <r>
    <x v="481"/>
    <n v="2332.84"/>
    <x v="832"/>
    <n v="28557.58"/>
    <s v="Complete Access"/>
    <x v="14"/>
    <x v="6"/>
    <x v="9"/>
    <d v="1900-01-07T00:00:00"/>
    <n v="23"/>
    <x v="8"/>
    <x v="2"/>
  </r>
  <r>
    <x v="481"/>
    <n v="66.02"/>
    <x v="998"/>
    <n v="28123.599999999999"/>
    <s v="Complete Access"/>
    <x v="275"/>
    <x v="0"/>
    <x v="0"/>
    <d v="1900-01-07T00:00:00"/>
    <n v="23"/>
    <x v="8"/>
    <x v="2"/>
  </r>
  <r>
    <x v="482"/>
    <n v="-2.75"/>
    <x v="999"/>
    <n v="26240.74"/>
    <s v="Complete Access"/>
    <x v="188"/>
    <x v="1"/>
    <x v="1"/>
    <d v="1900-01-06T00:00:00"/>
    <n v="23"/>
    <x v="8"/>
    <x v="2"/>
  </r>
  <r>
    <x v="482"/>
    <n v="-3.93"/>
    <x v="1000"/>
    <n v="26243.49"/>
    <s v="Complete Access"/>
    <x v="285"/>
    <x v="5"/>
    <x v="8"/>
    <d v="1900-01-06T00:00:00"/>
    <n v="23"/>
    <x v="8"/>
    <x v="2"/>
  </r>
  <r>
    <x v="482"/>
    <n v="-16"/>
    <x v="1001"/>
    <n v="26224.74"/>
    <s v="Complete Access"/>
    <x v="242"/>
    <x v="1"/>
    <x v="5"/>
    <d v="1900-01-06T00:00:00"/>
    <n v="23"/>
    <x v="8"/>
    <x v="2"/>
  </r>
  <r>
    <x v="483"/>
    <n v="-31.98"/>
    <x v="1002"/>
    <n v="26274.62"/>
    <s v="Complete Access"/>
    <x v="8"/>
    <x v="1"/>
    <x v="5"/>
    <d v="1900-01-05T00:00:00"/>
    <n v="23"/>
    <x v="8"/>
    <x v="2"/>
  </r>
  <r>
    <x v="483"/>
    <n v="-27.2"/>
    <x v="1003"/>
    <n v="26247.42"/>
    <s v="Complete Access"/>
    <x v="304"/>
    <x v="1"/>
    <x v="5"/>
    <d v="1900-01-05T00:00:00"/>
    <n v="23"/>
    <x v="8"/>
    <x v="2"/>
  </r>
  <r>
    <x v="484"/>
    <n v="-16.18"/>
    <x v="1004"/>
    <n v="26625.3"/>
    <s v="Complete Access"/>
    <x v="333"/>
    <x v="1"/>
    <x v="5"/>
    <d v="1900-01-02T00:00:00"/>
    <n v="22"/>
    <x v="8"/>
    <x v="2"/>
  </r>
  <r>
    <x v="484"/>
    <n v="-18.7"/>
    <x v="1005"/>
    <n v="26606.6"/>
    <s v="Complete Access"/>
    <x v="329"/>
    <x v="4"/>
    <x v="7"/>
    <d v="1900-01-02T00:00:00"/>
    <n v="22"/>
    <x v="8"/>
    <x v="2"/>
  </r>
  <r>
    <x v="484"/>
    <n v="-300"/>
    <x v="1006"/>
    <n v="26306.6"/>
    <s v="Complete Access"/>
    <x v="0"/>
    <x v="0"/>
    <x v="0"/>
    <d v="1900-01-02T00:00:00"/>
    <n v="22"/>
    <x v="8"/>
    <x v="2"/>
  </r>
  <r>
    <x v="485"/>
    <n v="-2.75"/>
    <x v="1007"/>
    <n v="26641.48"/>
    <s v="Complete Access"/>
    <x v="188"/>
    <x v="1"/>
    <x v="1"/>
    <d v="1900-01-01T00:00:00"/>
    <n v="22"/>
    <x v="8"/>
    <x v="2"/>
  </r>
  <r>
    <x v="486"/>
    <n v="-20"/>
    <x v="1008"/>
    <n v="26924.85"/>
    <s v="Complete Access"/>
    <x v="12"/>
    <x v="5"/>
    <x v="8"/>
    <d v="1899-12-31T00:00:00"/>
    <n v="22"/>
    <x v="8"/>
    <x v="2"/>
  </r>
  <r>
    <x v="486"/>
    <n v="-50.19"/>
    <x v="1009"/>
    <n v="26874.66"/>
    <s v="Complete Access"/>
    <x v="56"/>
    <x v="9"/>
    <x v="31"/>
    <d v="1899-12-31T00:00:00"/>
    <n v="22"/>
    <x v="8"/>
    <x v="2"/>
  </r>
  <r>
    <x v="486"/>
    <n v="-50.03"/>
    <x v="405"/>
    <n v="26815.43"/>
    <s v="Complete Access"/>
    <x v="177"/>
    <x v="1"/>
    <x v="1"/>
    <d v="1899-12-31T00:00:00"/>
    <n v="22"/>
    <x v="8"/>
    <x v="2"/>
  </r>
  <r>
    <x v="486"/>
    <n v="15.5"/>
    <x v="1010"/>
    <n v="26830.93"/>
    <s v="Complete Access"/>
    <x v="36"/>
    <x v="0"/>
    <x v="0"/>
    <d v="1899-12-31T00:00:00"/>
    <n v="22"/>
    <x v="8"/>
    <x v="2"/>
  </r>
  <r>
    <x v="486"/>
    <n v="-186.7"/>
    <x v="1011"/>
    <n v="26644.23"/>
    <s v="Complete Access"/>
    <x v="76"/>
    <x v="2"/>
    <x v="2"/>
    <d v="1899-12-31T00:00:00"/>
    <n v="22"/>
    <x v="8"/>
    <x v="2"/>
  </r>
  <r>
    <x v="486"/>
    <n v="-9.1999999999999993"/>
    <x v="1012"/>
    <n v="26865.46"/>
    <s v="Complete Access"/>
    <x v="277"/>
    <x v="8"/>
    <x v="29"/>
    <d v="1899-12-31T00:00:00"/>
    <n v="22"/>
    <x v="8"/>
    <x v="2"/>
  </r>
  <r>
    <x v="486"/>
    <n v="4.32"/>
    <x v="609"/>
    <n v="2659.91"/>
    <s v="Netbank Saver"/>
    <x v="240"/>
    <x v="0"/>
    <x v="55"/>
    <d v="1899-12-31T00:00:00"/>
    <n v="22"/>
    <x v="8"/>
    <x v="2"/>
  </r>
  <r>
    <x v="487"/>
    <n v="-16"/>
    <x v="1013"/>
    <n v="26944.85"/>
    <s v="Complete Access"/>
    <x v="242"/>
    <x v="1"/>
    <x v="5"/>
    <d v="1900-01-30T00:00:00"/>
    <n v="22"/>
    <x v="9"/>
    <x v="2"/>
  </r>
  <r>
    <x v="488"/>
    <n v="-37.090000000000003"/>
    <x v="1014"/>
    <n v="26960.85"/>
    <s v="Complete Access"/>
    <x v="8"/>
    <x v="1"/>
    <x v="5"/>
    <d v="1900-01-29T00:00:00"/>
    <n v="22"/>
    <x v="9"/>
    <x v="2"/>
  </r>
  <r>
    <x v="488"/>
    <n v="-20"/>
    <x v="1015"/>
    <n v="26997.94"/>
    <s v="Complete Access"/>
    <x v="12"/>
    <x v="5"/>
    <x v="8"/>
    <d v="1900-01-29T00:00:00"/>
    <n v="22"/>
    <x v="9"/>
    <x v="2"/>
  </r>
  <r>
    <x v="489"/>
    <n v="600"/>
    <x v="946"/>
    <n v="27017.94"/>
    <s v="Complete Access"/>
    <x v="325"/>
    <x v="6"/>
    <x v="64"/>
    <d v="1900-01-27T00:00:00"/>
    <n v="22"/>
    <x v="9"/>
    <x v="2"/>
  </r>
  <r>
    <x v="490"/>
    <n v="-16.850000000000001"/>
    <x v="1016"/>
    <n v="26476.880000000001"/>
    <s v="Complete Access"/>
    <x v="74"/>
    <x v="4"/>
    <x v="10"/>
    <d v="1900-01-26T00:00:00"/>
    <n v="21"/>
    <x v="9"/>
    <x v="2"/>
  </r>
  <r>
    <x v="490"/>
    <n v="-0.51"/>
    <x v="1017"/>
    <n v="26476.37"/>
    <s v="Complete Access"/>
    <x v="10"/>
    <x v="0"/>
    <x v="0"/>
    <d v="1900-01-26T00:00:00"/>
    <n v="21"/>
    <x v="9"/>
    <x v="2"/>
  </r>
  <r>
    <x v="490"/>
    <n v="-44.43"/>
    <x v="405"/>
    <n v="26431.94"/>
    <s v="Complete Access"/>
    <x v="177"/>
    <x v="1"/>
    <x v="1"/>
    <d v="1900-01-26T00:00:00"/>
    <n v="21"/>
    <x v="9"/>
    <x v="2"/>
  </r>
  <r>
    <x v="490"/>
    <n v="-14"/>
    <x v="1018"/>
    <n v="26417.94"/>
    <s v="Complete Access"/>
    <x v="0"/>
    <x v="0"/>
    <x v="0"/>
    <d v="1900-01-26T00:00:00"/>
    <n v="21"/>
    <x v="9"/>
    <x v="2"/>
  </r>
  <r>
    <x v="491"/>
    <n v="-500"/>
    <x v="656"/>
    <n v="26496.48"/>
    <s v="Complete Access"/>
    <x v="13"/>
    <x v="0"/>
    <x v="0"/>
    <d v="1900-01-24T00:00:00"/>
    <n v="21"/>
    <x v="9"/>
    <x v="2"/>
  </r>
  <r>
    <x v="491"/>
    <n v="-2.75"/>
    <x v="1019"/>
    <n v="26493.73"/>
    <s v="Complete Access"/>
    <x v="188"/>
    <x v="1"/>
    <x v="1"/>
    <d v="1900-01-24T00:00:00"/>
    <n v="21"/>
    <x v="9"/>
    <x v="2"/>
  </r>
  <r>
    <x v="491"/>
    <n v="2332.84"/>
    <x v="1020"/>
    <n v="26996.48"/>
    <s v="Complete Access"/>
    <x v="14"/>
    <x v="6"/>
    <x v="9"/>
    <d v="1900-01-24T00:00:00"/>
    <n v="21"/>
    <x v="9"/>
    <x v="2"/>
  </r>
  <r>
    <x v="492"/>
    <n v="-4.6500000000000004"/>
    <x v="1021"/>
    <n v="24708.12"/>
    <s v="Complete Access"/>
    <x v="188"/>
    <x v="1"/>
    <x v="1"/>
    <d v="1900-01-23T00:00:00"/>
    <n v="21"/>
    <x v="9"/>
    <x v="2"/>
  </r>
  <r>
    <x v="492"/>
    <n v="-20"/>
    <x v="1022"/>
    <n v="24712.77"/>
    <s v="Complete Access"/>
    <x v="12"/>
    <x v="5"/>
    <x v="8"/>
    <d v="1900-01-23T00:00:00"/>
    <n v="21"/>
    <x v="9"/>
    <x v="2"/>
  </r>
  <r>
    <x v="492"/>
    <n v="-29.98"/>
    <x v="405"/>
    <n v="24663.64"/>
    <s v="Complete Access"/>
    <x v="177"/>
    <x v="1"/>
    <x v="1"/>
    <d v="1900-01-23T00:00:00"/>
    <n v="21"/>
    <x v="9"/>
    <x v="2"/>
  </r>
  <r>
    <x v="492"/>
    <n v="-14.5"/>
    <x v="8"/>
    <n v="24693.62"/>
    <s v="Complete Access"/>
    <x v="7"/>
    <x v="1"/>
    <x v="5"/>
    <d v="1900-01-23T00:00:00"/>
    <n v="21"/>
    <x v="9"/>
    <x v="2"/>
  </r>
  <r>
    <x v="493"/>
    <n v="-27.19"/>
    <x v="1023"/>
    <n v="24753.84"/>
    <s v="Complete Access"/>
    <x v="8"/>
    <x v="1"/>
    <x v="5"/>
    <d v="1900-01-22T00:00:00"/>
    <n v="21"/>
    <x v="9"/>
    <x v="2"/>
  </r>
  <r>
    <x v="493"/>
    <n v="-44.69"/>
    <x v="1023"/>
    <n v="25030.03"/>
    <s v="Complete Access"/>
    <x v="8"/>
    <x v="1"/>
    <x v="5"/>
    <d v="1900-01-22T00:00:00"/>
    <n v="21"/>
    <x v="9"/>
    <x v="2"/>
  </r>
  <r>
    <x v="493"/>
    <n v="-15"/>
    <x v="1024"/>
    <n v="24738.84"/>
    <s v="Complete Access"/>
    <x v="16"/>
    <x v="1"/>
    <x v="5"/>
    <d v="1900-01-22T00:00:00"/>
    <n v="21"/>
    <x v="9"/>
    <x v="2"/>
  </r>
  <r>
    <x v="493"/>
    <n v="-6.07"/>
    <x v="966"/>
    <n v="24732.77"/>
    <s v="Complete Access"/>
    <x v="215"/>
    <x v="1"/>
    <x v="1"/>
    <d v="1900-01-22T00:00:00"/>
    <n v="21"/>
    <x v="9"/>
    <x v="2"/>
  </r>
  <r>
    <x v="493"/>
    <n v="-13"/>
    <x v="1025"/>
    <n v="24781.03"/>
    <s v="Complete Access"/>
    <x v="334"/>
    <x v="14"/>
    <x v="32"/>
    <d v="1900-01-22T00:00:00"/>
    <n v="21"/>
    <x v="9"/>
    <x v="2"/>
  </r>
  <r>
    <x v="493"/>
    <n v="-236"/>
    <x v="1026"/>
    <n v="24794.03"/>
    <s v="Complete Access"/>
    <x v="335"/>
    <x v="1"/>
    <x v="5"/>
    <d v="1900-01-22T00:00:00"/>
    <n v="21"/>
    <x v="9"/>
    <x v="2"/>
  </r>
  <r>
    <x v="494"/>
    <n v="-25"/>
    <x v="1027"/>
    <n v="25074.720000000001"/>
    <s v="Complete Access"/>
    <x v="336"/>
    <x v="8"/>
    <x v="22"/>
    <d v="1900-01-19T00:00:00"/>
    <n v="20"/>
    <x v="9"/>
    <x v="2"/>
  </r>
  <r>
    <x v="494"/>
    <n v="-37"/>
    <x v="1028"/>
    <n v="25099.72"/>
    <s v="Complete Access"/>
    <x v="0"/>
    <x v="0"/>
    <x v="0"/>
    <d v="1900-01-19T00:00:00"/>
    <n v="20"/>
    <x v="9"/>
    <x v="2"/>
  </r>
  <r>
    <x v="495"/>
    <n v="-2.75"/>
    <x v="1029"/>
    <n v="25216.44"/>
    <s v="Complete Access"/>
    <x v="188"/>
    <x v="1"/>
    <x v="1"/>
    <d v="1900-01-17T00:00:00"/>
    <n v="20"/>
    <x v="9"/>
    <x v="2"/>
  </r>
  <r>
    <x v="495"/>
    <n v="-69"/>
    <x v="1030"/>
    <n v="25219.19"/>
    <s v="Complete Access"/>
    <x v="207"/>
    <x v="7"/>
    <x v="11"/>
    <d v="1900-01-17T00:00:00"/>
    <n v="20"/>
    <x v="9"/>
    <x v="2"/>
  </r>
  <r>
    <x v="495"/>
    <n v="-79.72"/>
    <x v="532"/>
    <n v="25136.720000000001"/>
    <s v="Complete Access"/>
    <x v="1"/>
    <x v="1"/>
    <x v="1"/>
    <d v="1900-01-17T00:00:00"/>
    <n v="20"/>
    <x v="9"/>
    <x v="2"/>
  </r>
  <r>
    <x v="496"/>
    <n v="-2.75"/>
    <x v="1031"/>
    <n v="25288.19"/>
    <s v="Complete Access"/>
    <x v="188"/>
    <x v="1"/>
    <x v="1"/>
    <d v="1900-01-16T00:00:00"/>
    <n v="20"/>
    <x v="9"/>
    <x v="2"/>
  </r>
  <r>
    <x v="496"/>
    <n v="-20"/>
    <x v="1032"/>
    <n v="25290.94"/>
    <s v="Complete Access"/>
    <x v="12"/>
    <x v="5"/>
    <x v="8"/>
    <d v="1900-01-16T00:00:00"/>
    <n v="20"/>
    <x v="9"/>
    <x v="2"/>
  </r>
  <r>
    <x v="497"/>
    <n v="-27.19"/>
    <x v="1033"/>
    <n v="25356.7"/>
    <s v="Complete Access"/>
    <x v="8"/>
    <x v="1"/>
    <x v="5"/>
    <d v="1900-01-15T00:00:00"/>
    <n v="20"/>
    <x v="9"/>
    <x v="2"/>
  </r>
  <r>
    <x v="497"/>
    <n v="-15"/>
    <x v="18"/>
    <n v="25364.7"/>
    <s v="Complete Access"/>
    <x v="16"/>
    <x v="1"/>
    <x v="5"/>
    <d v="1900-01-15T00:00:00"/>
    <n v="20"/>
    <x v="9"/>
    <x v="2"/>
  </r>
  <r>
    <x v="497"/>
    <n v="-53.76"/>
    <x v="405"/>
    <n v="25310.94"/>
    <s v="Complete Access"/>
    <x v="177"/>
    <x v="1"/>
    <x v="1"/>
    <d v="1900-01-15T00:00:00"/>
    <n v="20"/>
    <x v="9"/>
    <x v="2"/>
  </r>
  <r>
    <x v="497"/>
    <n v="23"/>
    <x v="1034"/>
    <n v="25379.7"/>
    <s v="Complete Access"/>
    <x v="36"/>
    <x v="0"/>
    <x v="0"/>
    <d v="1900-01-15T00:00:00"/>
    <n v="20"/>
    <x v="9"/>
    <x v="2"/>
  </r>
  <r>
    <x v="498"/>
    <n v="-14.99"/>
    <x v="1035"/>
    <n v="24983.89"/>
    <s v="Complete Access"/>
    <x v="337"/>
    <x v="1"/>
    <x v="1"/>
    <d v="1900-01-14T00:00:00"/>
    <n v="20"/>
    <x v="9"/>
    <x v="2"/>
  </r>
  <r>
    <x v="498"/>
    <n v="400"/>
    <x v="1036"/>
    <n v="25383.89"/>
    <s v="Complete Access"/>
    <x v="36"/>
    <x v="0"/>
    <x v="0"/>
    <d v="1900-01-14T00:00:00"/>
    <n v="20"/>
    <x v="9"/>
    <x v="2"/>
  </r>
  <r>
    <x v="499"/>
    <n v="-23.33"/>
    <x v="405"/>
    <n v="25065.68"/>
    <s v="Complete Access"/>
    <x v="177"/>
    <x v="1"/>
    <x v="1"/>
    <d v="1900-01-12T00:00:00"/>
    <n v="19"/>
    <x v="9"/>
    <x v="2"/>
  </r>
  <r>
    <x v="499"/>
    <n v="-16.899999999999999"/>
    <x v="451"/>
    <n v="24998.880000000001"/>
    <s v="Complete Access"/>
    <x v="190"/>
    <x v="8"/>
    <x v="29"/>
    <d v="1900-01-12T00:00:00"/>
    <n v="19"/>
    <x v="9"/>
    <x v="2"/>
  </r>
  <r>
    <x v="499"/>
    <n v="-11.7"/>
    <x v="451"/>
    <n v="25015.78"/>
    <s v="Complete Access"/>
    <x v="190"/>
    <x v="8"/>
    <x v="29"/>
    <d v="1900-01-12T00:00:00"/>
    <n v="19"/>
    <x v="9"/>
    <x v="2"/>
  </r>
  <r>
    <x v="499"/>
    <n v="-28"/>
    <x v="451"/>
    <n v="25027.48"/>
    <s v="Complete Access"/>
    <x v="190"/>
    <x v="8"/>
    <x v="29"/>
    <d v="1900-01-12T00:00:00"/>
    <n v="19"/>
    <x v="9"/>
    <x v="2"/>
  </r>
  <r>
    <x v="499"/>
    <n v="-10.199999999999999"/>
    <x v="451"/>
    <n v="25055.48"/>
    <s v="Complete Access"/>
    <x v="190"/>
    <x v="8"/>
    <x v="29"/>
    <d v="1900-01-12T00:00:00"/>
    <n v="19"/>
    <x v="9"/>
    <x v="2"/>
  </r>
  <r>
    <x v="500"/>
    <n v="-25.5"/>
    <x v="1037"/>
    <n v="25089.01"/>
    <s v="Complete Access"/>
    <x v="188"/>
    <x v="1"/>
    <x v="1"/>
    <d v="1900-01-11T00:00:00"/>
    <n v="19"/>
    <x v="9"/>
    <x v="2"/>
  </r>
  <r>
    <x v="501"/>
    <n v="-500"/>
    <x v="656"/>
    <n v="25114.51"/>
    <s v="Complete Access"/>
    <x v="13"/>
    <x v="0"/>
    <x v="0"/>
    <d v="1900-01-10T00:00:00"/>
    <n v="19"/>
    <x v="9"/>
    <x v="2"/>
  </r>
  <r>
    <x v="501"/>
    <n v="2332.84"/>
    <x v="1038"/>
    <n v="25614.51"/>
    <s v="Complete Access"/>
    <x v="14"/>
    <x v="6"/>
    <x v="9"/>
    <d v="1900-01-10T00:00:00"/>
    <n v="19"/>
    <x v="9"/>
    <x v="2"/>
  </r>
  <r>
    <x v="502"/>
    <n v="-20"/>
    <x v="1039"/>
    <n v="23281.67"/>
    <s v="Complete Access"/>
    <x v="12"/>
    <x v="5"/>
    <x v="8"/>
    <d v="1900-01-09T00:00:00"/>
    <n v="19"/>
    <x v="9"/>
    <x v="2"/>
  </r>
  <r>
    <x v="503"/>
    <n v="-15"/>
    <x v="18"/>
    <n v="23301.67"/>
    <s v="Complete Access"/>
    <x v="16"/>
    <x v="1"/>
    <x v="5"/>
    <d v="1900-01-08T00:00:00"/>
    <n v="19"/>
    <x v="9"/>
    <x v="2"/>
  </r>
  <r>
    <x v="503"/>
    <n v="-5"/>
    <x v="1040"/>
    <n v="23316.67"/>
    <s v="Complete Access"/>
    <x v="338"/>
    <x v="1"/>
    <x v="5"/>
    <d v="1900-01-08T00:00:00"/>
    <n v="19"/>
    <x v="9"/>
    <x v="2"/>
  </r>
  <r>
    <x v="503"/>
    <n v="-51.62"/>
    <x v="1041"/>
    <n v="23321.67"/>
    <s v="Complete Access"/>
    <x v="34"/>
    <x v="9"/>
    <x v="12"/>
    <d v="1900-01-08T00:00:00"/>
    <n v="19"/>
    <x v="9"/>
    <x v="2"/>
  </r>
  <r>
    <x v="504"/>
    <n v="-317"/>
    <x v="1042"/>
    <n v="23056.29"/>
    <s v="Complete Access"/>
    <x v="339"/>
    <x v="1"/>
    <x v="5"/>
    <d v="1900-01-06T00:00:00"/>
    <n v="19"/>
    <x v="9"/>
    <x v="2"/>
  </r>
  <r>
    <x v="504"/>
    <n v="-0.9"/>
    <x v="1043"/>
    <n v="23373.29"/>
    <s v="Complete Access"/>
    <x v="30"/>
    <x v="4"/>
    <x v="20"/>
    <d v="1900-01-06T00:00:00"/>
    <n v="19"/>
    <x v="9"/>
    <x v="2"/>
  </r>
  <r>
    <x v="504"/>
    <n v="-12.25"/>
    <x v="1044"/>
    <n v="23374.19"/>
    <s v="Complete Access"/>
    <x v="30"/>
    <x v="4"/>
    <x v="20"/>
    <d v="1900-01-06T00:00:00"/>
    <n v="19"/>
    <x v="9"/>
    <x v="2"/>
  </r>
  <r>
    <x v="504"/>
    <n v="-10.5"/>
    <x v="1044"/>
    <n v="23386.44"/>
    <s v="Complete Access"/>
    <x v="30"/>
    <x v="4"/>
    <x v="20"/>
    <d v="1900-01-06T00:00:00"/>
    <n v="19"/>
    <x v="9"/>
    <x v="2"/>
  </r>
  <r>
    <x v="504"/>
    <n v="317"/>
    <x v="1045"/>
    <n v="23373.29"/>
    <s v="Complete Access"/>
    <x v="36"/>
    <x v="0"/>
    <x v="0"/>
    <d v="1900-01-06T00:00:00"/>
    <n v="19"/>
    <x v="9"/>
    <x v="2"/>
  </r>
  <r>
    <x v="505"/>
    <n v="-1600"/>
    <x v="1046"/>
    <n v="23557.439999999999"/>
    <s v="Complete Access"/>
    <x v="340"/>
    <x v="4"/>
    <x v="20"/>
    <d v="1900-01-05T00:00:00"/>
    <n v="18"/>
    <x v="9"/>
    <x v="2"/>
  </r>
  <r>
    <x v="505"/>
    <n v="-15.15"/>
    <x v="96"/>
    <n v="23396.94"/>
    <s v="Complete Access"/>
    <x v="47"/>
    <x v="1"/>
    <x v="5"/>
    <d v="1900-01-05T00:00:00"/>
    <n v="18"/>
    <x v="9"/>
    <x v="2"/>
  </r>
  <r>
    <x v="505"/>
    <n v="-118"/>
    <x v="112"/>
    <n v="23439.439999999999"/>
    <s v="Complete Access"/>
    <x v="50"/>
    <x v="4"/>
    <x v="25"/>
    <d v="1900-01-05T00:00:00"/>
    <n v="18"/>
    <x v="9"/>
    <x v="2"/>
  </r>
  <r>
    <x v="505"/>
    <n v="-27.35"/>
    <x v="966"/>
    <n v="23412.09"/>
    <s v="Complete Access"/>
    <x v="215"/>
    <x v="1"/>
    <x v="1"/>
    <d v="1900-01-05T00:00:00"/>
    <n v="18"/>
    <x v="9"/>
    <x v="2"/>
  </r>
  <r>
    <x v="506"/>
    <n v="-2.75"/>
    <x v="1047"/>
    <n v="25157.439999999999"/>
    <s v="Complete Access"/>
    <x v="188"/>
    <x v="1"/>
    <x v="1"/>
    <d v="1900-01-04T00:00:00"/>
    <n v="18"/>
    <x v="9"/>
    <x v="2"/>
  </r>
  <r>
    <x v="507"/>
    <n v="-2.75"/>
    <x v="1048"/>
    <n v="25198.23"/>
    <s v="Complete Access"/>
    <x v="188"/>
    <x v="1"/>
    <x v="1"/>
    <d v="1900-01-03T00:00:00"/>
    <n v="18"/>
    <x v="9"/>
    <x v="2"/>
  </r>
  <r>
    <x v="507"/>
    <n v="-38.04"/>
    <x v="966"/>
    <n v="25160.19"/>
    <s v="Complete Access"/>
    <x v="215"/>
    <x v="1"/>
    <x v="1"/>
    <d v="1900-01-03T00:00:00"/>
    <n v="18"/>
    <x v="9"/>
    <x v="2"/>
  </r>
  <r>
    <x v="508"/>
    <n v="-2.75"/>
    <x v="1049"/>
    <n v="25259.200000000001"/>
    <s v="Complete Access"/>
    <x v="188"/>
    <x v="1"/>
    <x v="1"/>
    <d v="1900-01-02T00:00:00"/>
    <n v="18"/>
    <x v="9"/>
    <x v="2"/>
  </r>
  <r>
    <x v="508"/>
    <n v="-4"/>
    <x v="1049"/>
    <n v="25261.95"/>
    <s v="Complete Access"/>
    <x v="188"/>
    <x v="1"/>
    <x v="1"/>
    <d v="1900-01-02T00:00:00"/>
    <n v="18"/>
    <x v="9"/>
    <x v="2"/>
  </r>
  <r>
    <x v="508"/>
    <n v="-20"/>
    <x v="1050"/>
    <n v="25394.13"/>
    <s v="Complete Access"/>
    <x v="12"/>
    <x v="5"/>
    <x v="8"/>
    <d v="1900-01-02T00:00:00"/>
    <n v="18"/>
    <x v="9"/>
    <x v="2"/>
  </r>
  <r>
    <x v="508"/>
    <n v="-106.29"/>
    <x v="1051"/>
    <n v="25269.14"/>
    <s v="Complete Access"/>
    <x v="341"/>
    <x v="4"/>
    <x v="20"/>
    <d v="1900-01-02T00:00:00"/>
    <n v="18"/>
    <x v="9"/>
    <x v="2"/>
  </r>
  <r>
    <x v="508"/>
    <n v="-18.7"/>
    <x v="1052"/>
    <n v="25375.43"/>
    <s v="Complete Access"/>
    <x v="329"/>
    <x v="4"/>
    <x v="7"/>
    <d v="1900-01-02T00:00:00"/>
    <n v="18"/>
    <x v="9"/>
    <x v="2"/>
  </r>
  <r>
    <x v="508"/>
    <n v="-3.19"/>
    <x v="1053"/>
    <n v="25265.95"/>
    <s v="Complete Access"/>
    <x v="10"/>
    <x v="0"/>
    <x v="0"/>
    <d v="1900-01-02T00:00:00"/>
    <n v="18"/>
    <x v="9"/>
    <x v="2"/>
  </r>
  <r>
    <x v="508"/>
    <n v="-58.22"/>
    <x v="405"/>
    <n v="25200.98"/>
    <s v="Complete Access"/>
    <x v="177"/>
    <x v="1"/>
    <x v="1"/>
    <d v="1900-01-02T00:00:00"/>
    <n v="18"/>
    <x v="9"/>
    <x v="2"/>
  </r>
  <r>
    <x v="509"/>
    <n v="-27.19"/>
    <x v="1054"/>
    <n v="25646.83"/>
    <s v="Complete Access"/>
    <x v="8"/>
    <x v="1"/>
    <x v="5"/>
    <d v="1900-01-01T00:00:00"/>
    <n v="18"/>
    <x v="9"/>
    <x v="2"/>
  </r>
  <r>
    <x v="509"/>
    <n v="-46"/>
    <x v="1055"/>
    <n v="25600.83"/>
    <s v="Complete Access"/>
    <x v="342"/>
    <x v="20"/>
    <x v="63"/>
    <d v="1900-01-01T00:00:00"/>
    <n v="18"/>
    <x v="9"/>
    <x v="2"/>
  </r>
  <r>
    <x v="509"/>
    <n v="-186.7"/>
    <x v="1056"/>
    <n v="25414.13"/>
    <s v="Complete Access"/>
    <x v="76"/>
    <x v="2"/>
    <x v="2"/>
    <d v="1900-01-01T00:00:00"/>
    <n v="18"/>
    <x v="9"/>
    <x v="2"/>
  </r>
  <r>
    <x v="509"/>
    <n v="-181.3"/>
    <x v="1057"/>
    <n v="25232.83"/>
    <s v="Complete Access"/>
    <x v="76"/>
    <x v="2"/>
    <x v="2"/>
    <d v="1900-01-01T00:00:00"/>
    <n v="18"/>
    <x v="9"/>
    <x v="2"/>
  </r>
  <r>
    <x v="509"/>
    <n v="181.3"/>
    <x v="1058"/>
    <n v="25414.13"/>
    <s v="Complete Access"/>
    <x v="76"/>
    <x v="2"/>
    <x v="2"/>
    <d v="1900-01-01T00:00:00"/>
    <n v="18"/>
    <x v="9"/>
    <x v="2"/>
  </r>
  <r>
    <x v="510"/>
    <n v="-15"/>
    <x v="18"/>
    <n v="25674.02"/>
    <s v="Complete Access"/>
    <x v="16"/>
    <x v="1"/>
    <x v="5"/>
    <d v="1899-12-31T00:00:00"/>
    <n v="18"/>
    <x v="9"/>
    <x v="2"/>
  </r>
  <r>
    <x v="510"/>
    <n v="4.03"/>
    <x v="609"/>
    <n v="2655.59"/>
    <s v="Netbank Saver"/>
    <x v="240"/>
    <x v="0"/>
    <x v="55"/>
    <d v="1899-12-31T00:00:00"/>
    <n v="18"/>
    <x v="9"/>
    <x v="2"/>
  </r>
  <r>
    <x v="511"/>
    <n v="-283.70999999999998"/>
    <x v="1059"/>
    <n v="25689.02"/>
    <s v="Complete Access"/>
    <x v="295"/>
    <x v="14"/>
    <x v="66"/>
    <d v="1900-01-28T00:00:00"/>
    <n v="17"/>
    <x v="10"/>
    <x v="2"/>
  </r>
  <r>
    <x v="511"/>
    <n v="-283.70999999999998"/>
    <x v="1059"/>
    <n v="25972.73"/>
    <s v="Complete Access"/>
    <x v="295"/>
    <x v="14"/>
    <x v="66"/>
    <d v="1900-01-28T00:00:00"/>
    <n v="17"/>
    <x v="10"/>
    <x v="2"/>
  </r>
  <r>
    <x v="512"/>
    <n v="-2.75"/>
    <x v="1060"/>
    <n v="26310.54"/>
    <s v="Complete Access"/>
    <x v="188"/>
    <x v="1"/>
    <x v="1"/>
    <d v="1900-01-27T00:00:00"/>
    <n v="17"/>
    <x v="10"/>
    <x v="2"/>
  </r>
  <r>
    <x v="512"/>
    <n v="-54.1"/>
    <x v="405"/>
    <n v="26256.44"/>
    <s v="Complete Access"/>
    <x v="177"/>
    <x v="1"/>
    <x v="1"/>
    <d v="1900-01-27T00:00:00"/>
    <n v="17"/>
    <x v="10"/>
    <x v="2"/>
  </r>
  <r>
    <x v="512"/>
    <n v="-51.15"/>
    <x v="1061"/>
    <n v="26313.29"/>
    <s v="Complete Access"/>
    <x v="1"/>
    <x v="1"/>
    <x v="1"/>
    <d v="1900-01-27T00:00:00"/>
    <n v="17"/>
    <x v="10"/>
    <x v="2"/>
  </r>
  <r>
    <x v="513"/>
    <n v="-500"/>
    <x v="656"/>
    <n v="26438.54"/>
    <s v="Complete Access"/>
    <x v="13"/>
    <x v="0"/>
    <x v="0"/>
    <d v="1900-01-26T00:00:00"/>
    <n v="17"/>
    <x v="10"/>
    <x v="2"/>
  </r>
  <r>
    <x v="513"/>
    <n v="-37.090000000000003"/>
    <x v="1062"/>
    <n v="26364.44"/>
    <s v="Complete Access"/>
    <x v="8"/>
    <x v="1"/>
    <x v="5"/>
    <d v="1900-01-26T00:00:00"/>
    <n v="17"/>
    <x v="10"/>
    <x v="2"/>
  </r>
  <r>
    <x v="513"/>
    <n v="-20"/>
    <x v="1063"/>
    <n v="26418.54"/>
    <s v="Complete Access"/>
    <x v="12"/>
    <x v="5"/>
    <x v="8"/>
    <d v="1900-01-26T00:00:00"/>
    <n v="17"/>
    <x v="10"/>
    <x v="2"/>
  </r>
  <r>
    <x v="513"/>
    <n v="2332.84"/>
    <x v="1064"/>
    <n v="26938.54"/>
    <s v="Complete Access"/>
    <x v="14"/>
    <x v="6"/>
    <x v="9"/>
    <d v="1900-01-26T00:00:00"/>
    <n v="17"/>
    <x v="10"/>
    <x v="2"/>
  </r>
  <r>
    <x v="513"/>
    <n v="-16.510000000000002"/>
    <x v="1065"/>
    <n v="26402.03"/>
    <s v="Complete Access"/>
    <x v="74"/>
    <x v="4"/>
    <x v="10"/>
    <d v="1900-01-26T00:00:00"/>
    <n v="17"/>
    <x v="10"/>
    <x v="2"/>
  </r>
  <r>
    <x v="513"/>
    <n v="-0.5"/>
    <x v="1066"/>
    <n v="26401.53"/>
    <s v="Complete Access"/>
    <x v="10"/>
    <x v="0"/>
    <x v="0"/>
    <d v="1900-01-26T00:00:00"/>
    <n v="17"/>
    <x v="10"/>
    <x v="2"/>
  </r>
  <r>
    <x v="514"/>
    <n v="-23.67"/>
    <x v="969"/>
    <n v="24605.7"/>
    <s v="Complete Access"/>
    <x v="177"/>
    <x v="1"/>
    <x v="1"/>
    <d v="1900-01-25T00:00:00"/>
    <n v="17"/>
    <x v="10"/>
    <x v="2"/>
  </r>
  <r>
    <x v="514"/>
    <n v="-400"/>
    <x v="657"/>
    <n v="24629.37"/>
    <s v="Complete Access"/>
    <x v="0"/>
    <x v="0"/>
    <x v="0"/>
    <d v="1900-01-25T00:00:00"/>
    <n v="17"/>
    <x v="10"/>
    <x v="2"/>
  </r>
  <r>
    <x v="515"/>
    <n v="-27.19"/>
    <x v="1067"/>
    <n v="24577.56"/>
    <s v="Complete Access"/>
    <x v="8"/>
    <x v="1"/>
    <x v="5"/>
    <d v="1900-01-24T00:00:00"/>
    <n v="17"/>
    <x v="10"/>
    <x v="2"/>
  </r>
  <r>
    <x v="515"/>
    <n v="-48.19"/>
    <x v="1068"/>
    <n v="24529.37"/>
    <s v="Complete Access"/>
    <x v="8"/>
    <x v="1"/>
    <x v="5"/>
    <d v="1900-01-24T00:00:00"/>
    <n v="17"/>
    <x v="10"/>
    <x v="2"/>
  </r>
  <r>
    <x v="515"/>
    <n v="500"/>
    <x v="946"/>
    <n v="25029.37"/>
    <s v="Complete Access"/>
    <x v="325"/>
    <x v="6"/>
    <x v="64"/>
    <d v="1900-01-24T00:00:00"/>
    <n v="17"/>
    <x v="10"/>
    <x v="2"/>
  </r>
  <r>
    <x v="516"/>
    <n v="-72.05"/>
    <x v="405"/>
    <n v="24604.75"/>
    <s v="Complete Access"/>
    <x v="177"/>
    <x v="1"/>
    <x v="1"/>
    <d v="1900-01-23T00:00:00"/>
    <n v="17"/>
    <x v="10"/>
    <x v="2"/>
  </r>
  <r>
    <x v="517"/>
    <n v="-2.75"/>
    <x v="1069"/>
    <n v="24676.799999999999"/>
    <s v="Complete Access"/>
    <x v="188"/>
    <x v="1"/>
    <x v="1"/>
    <d v="1900-01-20T00:00:00"/>
    <n v="16"/>
    <x v="10"/>
    <x v="2"/>
  </r>
  <r>
    <x v="517"/>
    <n v="-69"/>
    <x v="1070"/>
    <n v="24695.73"/>
    <s v="Complete Access"/>
    <x v="207"/>
    <x v="7"/>
    <x v="11"/>
    <d v="1900-01-20T00:00:00"/>
    <n v="16"/>
    <x v="10"/>
    <x v="2"/>
  </r>
  <r>
    <x v="517"/>
    <n v="-16.18"/>
    <x v="1071"/>
    <n v="24679.55"/>
    <s v="Complete Access"/>
    <x v="333"/>
    <x v="1"/>
    <x v="5"/>
    <d v="1900-01-20T00:00:00"/>
    <n v="16"/>
    <x v="10"/>
    <x v="2"/>
  </r>
  <r>
    <x v="518"/>
    <n v="-28.93"/>
    <x v="1072"/>
    <n v="24764.73"/>
    <s v="Complete Access"/>
    <x v="8"/>
    <x v="1"/>
    <x v="5"/>
    <d v="1900-01-19T00:00:00"/>
    <n v="16"/>
    <x v="10"/>
    <x v="2"/>
  </r>
  <r>
    <x v="519"/>
    <n v="-10.45"/>
    <x v="1073"/>
    <n v="24802.86"/>
    <s v="Complete Access"/>
    <x v="188"/>
    <x v="1"/>
    <x v="1"/>
    <d v="1900-01-18T00:00:00"/>
    <n v="16"/>
    <x v="10"/>
    <x v="2"/>
  </r>
  <r>
    <x v="519"/>
    <n v="-33.79"/>
    <x v="1074"/>
    <n v="24813.31"/>
    <s v="Complete Access"/>
    <x v="8"/>
    <x v="1"/>
    <x v="5"/>
    <d v="1900-01-18T00:00:00"/>
    <n v="16"/>
    <x v="10"/>
    <x v="2"/>
  </r>
  <r>
    <x v="519"/>
    <n v="-9.1999999999999993"/>
    <x v="807"/>
    <n v="24793.66"/>
    <s v="Complete Access"/>
    <x v="277"/>
    <x v="8"/>
    <x v="29"/>
    <d v="1900-01-18T00:00:00"/>
    <n v="16"/>
    <x v="10"/>
    <x v="2"/>
  </r>
  <r>
    <x v="520"/>
    <n v="-22.3"/>
    <x v="1075"/>
    <n v="25000.45"/>
    <s v="Complete Access"/>
    <x v="8"/>
    <x v="1"/>
    <x v="5"/>
    <d v="1900-01-17T00:00:00"/>
    <n v="16"/>
    <x v="10"/>
    <x v="2"/>
  </r>
  <r>
    <x v="520"/>
    <n v="-18.559999999999999"/>
    <x v="1075"/>
    <n v="25022.75"/>
    <s v="Complete Access"/>
    <x v="8"/>
    <x v="1"/>
    <x v="5"/>
    <d v="1900-01-17T00:00:00"/>
    <n v="16"/>
    <x v="10"/>
    <x v="2"/>
  </r>
  <r>
    <x v="520"/>
    <n v="-20"/>
    <x v="1076"/>
    <n v="25041.31"/>
    <s v="Complete Access"/>
    <x v="12"/>
    <x v="5"/>
    <x v="8"/>
    <d v="1900-01-17T00:00:00"/>
    <n v="16"/>
    <x v="10"/>
    <x v="2"/>
  </r>
  <r>
    <x v="520"/>
    <n v="-35.89"/>
    <x v="1077"/>
    <n v="24887.63"/>
    <s v="Complete Access"/>
    <x v="343"/>
    <x v="1"/>
    <x v="5"/>
    <d v="1900-01-17T00:00:00"/>
    <n v="16"/>
    <x v="10"/>
    <x v="2"/>
  </r>
  <r>
    <x v="520"/>
    <n v="-74.69"/>
    <x v="1078"/>
    <n v="24925.759999999998"/>
    <s v="Complete Access"/>
    <x v="344"/>
    <x v="4"/>
    <x v="25"/>
    <d v="1900-01-17T00:00:00"/>
    <n v="16"/>
    <x v="10"/>
    <x v="2"/>
  </r>
  <r>
    <x v="520"/>
    <n v="-2.2400000000000002"/>
    <x v="1079"/>
    <n v="24923.52"/>
    <s v="Complete Access"/>
    <x v="10"/>
    <x v="0"/>
    <x v="0"/>
    <d v="1900-01-17T00:00:00"/>
    <n v="16"/>
    <x v="10"/>
    <x v="2"/>
  </r>
  <r>
    <x v="520"/>
    <n v="-40.53"/>
    <x v="405"/>
    <n v="24847.1"/>
    <s v="Complete Access"/>
    <x v="177"/>
    <x v="1"/>
    <x v="1"/>
    <d v="1900-01-17T00:00:00"/>
    <n v="16"/>
    <x v="10"/>
    <x v="2"/>
  </r>
  <r>
    <x v="521"/>
    <n v="-14.5"/>
    <x v="18"/>
    <n v="24461.31"/>
    <s v="Complete Access"/>
    <x v="16"/>
    <x v="1"/>
    <x v="5"/>
    <d v="1900-01-16T00:00:00"/>
    <n v="16"/>
    <x v="10"/>
    <x v="2"/>
  </r>
  <r>
    <x v="521"/>
    <n v="600"/>
    <x v="946"/>
    <n v="25061.31"/>
    <s v="Complete Access"/>
    <x v="325"/>
    <x v="6"/>
    <x v="64"/>
    <d v="1900-01-16T00:00:00"/>
    <n v="16"/>
    <x v="10"/>
    <x v="2"/>
  </r>
  <r>
    <x v="522"/>
    <n v="-23.41"/>
    <x v="405"/>
    <n v="24475.81"/>
    <s v="Complete Access"/>
    <x v="177"/>
    <x v="1"/>
    <x v="1"/>
    <d v="1900-01-15T00:00:00"/>
    <n v="16"/>
    <x v="10"/>
    <x v="2"/>
  </r>
  <r>
    <x v="522"/>
    <n v="9"/>
    <x v="1080"/>
    <n v="24499.22"/>
    <s v="Complete Access"/>
    <x v="36"/>
    <x v="0"/>
    <x v="0"/>
    <d v="1900-01-15T00:00:00"/>
    <n v="16"/>
    <x v="10"/>
    <x v="2"/>
  </r>
  <r>
    <x v="523"/>
    <n v="-25.28"/>
    <x v="1081"/>
    <n v="24490.22"/>
    <s v="Complete Access"/>
    <x v="333"/>
    <x v="1"/>
    <x v="5"/>
    <d v="1900-01-14T00:00:00"/>
    <n v="15"/>
    <x v="10"/>
    <x v="2"/>
  </r>
  <r>
    <x v="524"/>
    <n v="-500"/>
    <x v="656"/>
    <n v="24611.79"/>
    <s v="Complete Access"/>
    <x v="13"/>
    <x v="0"/>
    <x v="0"/>
    <d v="1900-01-12T00:00:00"/>
    <n v="15"/>
    <x v="10"/>
    <x v="2"/>
  </r>
  <r>
    <x v="524"/>
    <n v="-13.2"/>
    <x v="827"/>
    <n v="24515.5"/>
    <s v="Complete Access"/>
    <x v="297"/>
    <x v="1"/>
    <x v="5"/>
    <d v="1900-01-12T00:00:00"/>
    <n v="15"/>
    <x v="10"/>
    <x v="2"/>
  </r>
  <r>
    <x v="524"/>
    <n v="2332.84"/>
    <x v="1082"/>
    <n v="25111.79"/>
    <s v="Complete Access"/>
    <x v="14"/>
    <x v="6"/>
    <x v="9"/>
    <d v="1900-01-12T00:00:00"/>
    <n v="15"/>
    <x v="10"/>
    <x v="2"/>
  </r>
  <r>
    <x v="524"/>
    <n v="-73.89"/>
    <x v="1083"/>
    <n v="24528.7"/>
    <s v="Complete Access"/>
    <x v="1"/>
    <x v="1"/>
    <x v="1"/>
    <d v="1900-01-12T00:00:00"/>
    <n v="15"/>
    <x v="10"/>
    <x v="2"/>
  </r>
  <r>
    <x v="524"/>
    <n v="-9.1999999999999993"/>
    <x v="1084"/>
    <n v="24602.59"/>
    <s v="Complete Access"/>
    <x v="277"/>
    <x v="8"/>
    <x v="29"/>
    <d v="1900-01-12T00:00:00"/>
    <n v="15"/>
    <x v="10"/>
    <x v="2"/>
  </r>
  <r>
    <x v="525"/>
    <n v="-49.6"/>
    <x v="1085"/>
    <n v="22997.85"/>
    <s v="Complete Access"/>
    <x v="345"/>
    <x v="4"/>
    <x v="47"/>
    <d v="1900-01-11T00:00:00"/>
    <n v="15"/>
    <x v="10"/>
    <x v="2"/>
  </r>
  <r>
    <x v="525"/>
    <n v="-34.33"/>
    <x v="1086"/>
    <n v="23047.45"/>
    <s v="Complete Access"/>
    <x v="8"/>
    <x v="1"/>
    <x v="5"/>
    <d v="1900-01-11T00:00:00"/>
    <n v="15"/>
    <x v="10"/>
    <x v="2"/>
  </r>
  <r>
    <x v="525"/>
    <n v="-20"/>
    <x v="1087"/>
    <n v="23081.78"/>
    <s v="Complete Access"/>
    <x v="12"/>
    <x v="5"/>
    <x v="8"/>
    <d v="1900-01-11T00:00:00"/>
    <n v="15"/>
    <x v="10"/>
    <x v="2"/>
  </r>
  <r>
    <x v="525"/>
    <n v="-139"/>
    <x v="1088"/>
    <n v="22815.8"/>
    <s v="Complete Access"/>
    <x v="346"/>
    <x v="4"/>
    <x v="7"/>
    <d v="1900-01-11T00:00:00"/>
    <n v="15"/>
    <x v="10"/>
    <x v="2"/>
  </r>
  <r>
    <x v="525"/>
    <n v="-25"/>
    <x v="681"/>
    <n v="22790.799999999999"/>
    <s v="Complete Access"/>
    <x v="254"/>
    <x v="16"/>
    <x v="35"/>
    <d v="1900-01-11T00:00:00"/>
    <n v="15"/>
    <x v="10"/>
    <x v="2"/>
  </r>
  <r>
    <x v="525"/>
    <n v="-1.49"/>
    <x v="1089"/>
    <n v="22996.36"/>
    <s v="Complete Access"/>
    <x v="10"/>
    <x v="0"/>
    <x v="0"/>
    <d v="1900-01-11T00:00:00"/>
    <n v="15"/>
    <x v="10"/>
    <x v="2"/>
  </r>
  <r>
    <x v="525"/>
    <n v="-11.85"/>
    <x v="969"/>
    <n v="22778.95"/>
    <s v="Complete Access"/>
    <x v="177"/>
    <x v="1"/>
    <x v="1"/>
    <d v="1900-01-11T00:00:00"/>
    <n v="15"/>
    <x v="10"/>
    <x v="2"/>
  </r>
  <r>
    <x v="525"/>
    <n v="-41.56"/>
    <x v="1090"/>
    <n v="22954.799999999999"/>
    <s v="Complete Access"/>
    <x v="91"/>
    <x v="9"/>
    <x v="12"/>
    <d v="1900-01-11T00:00:00"/>
    <n v="15"/>
    <x v="10"/>
    <x v="2"/>
  </r>
  <r>
    <x v="526"/>
    <n v="-8.6999999999999993"/>
    <x v="1091"/>
    <n v="23101.78"/>
    <s v="Complete Access"/>
    <x v="1"/>
    <x v="1"/>
    <x v="1"/>
    <d v="1900-01-10T00:00:00"/>
    <n v="15"/>
    <x v="10"/>
    <x v="2"/>
  </r>
  <r>
    <x v="527"/>
    <n v="800"/>
    <x v="1092"/>
    <n v="23110.48"/>
    <s v="Complete Access"/>
    <x v="325"/>
    <x v="6"/>
    <x v="64"/>
    <d v="1900-01-07T00:00:00"/>
    <n v="14"/>
    <x v="10"/>
    <x v="2"/>
  </r>
  <r>
    <x v="528"/>
    <n v="-47.11"/>
    <x v="405"/>
    <n v="22310.48"/>
    <s v="Complete Access"/>
    <x v="177"/>
    <x v="1"/>
    <x v="1"/>
    <d v="1900-01-06T00:00:00"/>
    <n v="14"/>
    <x v="10"/>
    <x v="2"/>
  </r>
  <r>
    <x v="529"/>
    <n v="-20"/>
    <x v="1093"/>
    <n v="22386.89"/>
    <s v="Complete Access"/>
    <x v="12"/>
    <x v="5"/>
    <x v="8"/>
    <d v="1900-01-04T00:00:00"/>
    <n v="14"/>
    <x v="10"/>
    <x v="2"/>
  </r>
  <r>
    <x v="529"/>
    <n v="-20.100000000000001"/>
    <x v="96"/>
    <n v="22357.59"/>
    <s v="Complete Access"/>
    <x v="47"/>
    <x v="1"/>
    <x v="5"/>
    <d v="1900-01-04T00:00:00"/>
    <n v="14"/>
    <x v="10"/>
    <x v="2"/>
  </r>
  <r>
    <x v="529"/>
    <n v="-9.1999999999999993"/>
    <x v="1094"/>
    <n v="22377.69"/>
    <s v="Complete Access"/>
    <x v="277"/>
    <x v="8"/>
    <x v="29"/>
    <d v="1900-01-04T00:00:00"/>
    <n v="14"/>
    <x v="10"/>
    <x v="2"/>
  </r>
  <r>
    <x v="530"/>
    <n v="-14.5"/>
    <x v="18"/>
    <n v="22406.89"/>
    <s v="Complete Access"/>
    <x v="16"/>
    <x v="1"/>
    <x v="5"/>
    <d v="1900-01-03T00:00:00"/>
    <n v="14"/>
    <x v="10"/>
    <x v="2"/>
  </r>
  <r>
    <x v="530"/>
    <n v="-18.7"/>
    <x v="1095"/>
    <n v="22462.37"/>
    <s v="Complete Access"/>
    <x v="329"/>
    <x v="4"/>
    <x v="7"/>
    <d v="1900-01-03T00:00:00"/>
    <n v="14"/>
    <x v="10"/>
    <x v="2"/>
  </r>
  <r>
    <x v="530"/>
    <n v="-40.98"/>
    <x v="1096"/>
    <n v="22421.39"/>
    <s v="Complete Access"/>
    <x v="5"/>
    <x v="3"/>
    <x v="3"/>
    <d v="1900-01-03T00:00:00"/>
    <n v="14"/>
    <x v="10"/>
    <x v="2"/>
  </r>
  <r>
    <x v="531"/>
    <n v="-186.7"/>
    <x v="1097"/>
    <n v="22481.07"/>
    <s v="Complete Access"/>
    <x v="76"/>
    <x v="2"/>
    <x v="2"/>
    <d v="1900-01-02T00:00:00"/>
    <n v="14"/>
    <x v="10"/>
    <x v="2"/>
  </r>
  <r>
    <x v="532"/>
    <n v="-120.58"/>
    <x v="405"/>
    <n v="22667.77"/>
    <s v="Complete Access"/>
    <x v="177"/>
    <x v="1"/>
    <x v="1"/>
    <d v="1900-01-01T00:00:00"/>
    <n v="14"/>
    <x v="10"/>
    <x v="2"/>
  </r>
  <r>
    <x v="533"/>
    <n v="-94"/>
    <x v="1098"/>
    <n v="22788.35"/>
    <s v="Complete Access"/>
    <x v="347"/>
    <x v="3"/>
    <x v="62"/>
    <d v="1899-12-31T00:00:00"/>
    <n v="13"/>
    <x v="10"/>
    <x v="2"/>
  </r>
  <r>
    <x v="533"/>
    <n v="3.87"/>
    <x v="609"/>
    <n v="2651.56"/>
    <s v="Netbank Saver"/>
    <x v="240"/>
    <x v="0"/>
    <x v="55"/>
    <d v="1899-12-31T00:00:00"/>
    <n v="13"/>
    <x v="10"/>
    <x v="2"/>
  </r>
  <r>
    <x v="534"/>
    <n v="-11.5"/>
    <x v="827"/>
    <n v="22950.46"/>
    <s v="Complete Access"/>
    <x v="297"/>
    <x v="1"/>
    <x v="5"/>
    <d v="1900-01-30T00:00:00"/>
    <n v="13"/>
    <x v="11"/>
    <x v="2"/>
  </r>
  <r>
    <x v="534"/>
    <n v="-5.4"/>
    <x v="533"/>
    <n v="22945.06"/>
    <s v="Complete Access"/>
    <x v="215"/>
    <x v="1"/>
    <x v="1"/>
    <d v="1900-01-30T00:00:00"/>
    <n v="13"/>
    <x v="11"/>
    <x v="2"/>
  </r>
  <r>
    <x v="534"/>
    <n v="-62.71"/>
    <x v="405"/>
    <n v="22882.35"/>
    <s v="Complete Access"/>
    <x v="177"/>
    <x v="1"/>
    <x v="1"/>
    <d v="1900-01-30T00:00:00"/>
    <n v="13"/>
    <x v="11"/>
    <x v="2"/>
  </r>
  <r>
    <x v="534"/>
    <n v="-11.99"/>
    <x v="1099"/>
    <n v="22971.16"/>
    <s v="Complete Access"/>
    <x v="15"/>
    <x v="4"/>
    <x v="10"/>
    <d v="1900-01-30T00:00:00"/>
    <n v="13"/>
    <x v="11"/>
    <x v="2"/>
  </r>
  <r>
    <x v="534"/>
    <n v="-9.1999999999999993"/>
    <x v="1100"/>
    <n v="22961.96"/>
    <s v="Complete Access"/>
    <x v="277"/>
    <x v="8"/>
    <x v="29"/>
    <d v="1900-01-30T00:00:00"/>
    <n v="13"/>
    <x v="11"/>
    <x v="2"/>
  </r>
  <r>
    <x v="535"/>
    <n v="-500"/>
    <x v="656"/>
    <n v="21839.72"/>
    <s v="Complete Access"/>
    <x v="13"/>
    <x v="0"/>
    <x v="0"/>
    <d v="1900-01-29T00:00:00"/>
    <n v="13"/>
    <x v="11"/>
    <x v="2"/>
  </r>
  <r>
    <x v="535"/>
    <n v="-20"/>
    <x v="1101"/>
    <n v="21819.72"/>
    <s v="Complete Access"/>
    <x v="12"/>
    <x v="5"/>
    <x v="8"/>
    <d v="1900-01-29T00:00:00"/>
    <n v="13"/>
    <x v="11"/>
    <x v="2"/>
  </r>
  <r>
    <x v="535"/>
    <n v="2332.84"/>
    <x v="1102"/>
    <n v="22339.72"/>
    <s v="Complete Access"/>
    <x v="14"/>
    <x v="6"/>
    <x v="9"/>
    <d v="1900-01-29T00:00:00"/>
    <n v="13"/>
    <x v="11"/>
    <x v="2"/>
  </r>
  <r>
    <x v="535"/>
    <n v="-20.07"/>
    <x v="1103"/>
    <n v="21783.15"/>
    <s v="Complete Access"/>
    <x v="56"/>
    <x v="9"/>
    <x v="31"/>
    <d v="1900-01-29T00:00:00"/>
    <n v="13"/>
    <x v="11"/>
    <x v="2"/>
  </r>
  <r>
    <x v="535"/>
    <n v="-16.5"/>
    <x v="1103"/>
    <n v="21803.22"/>
    <s v="Complete Access"/>
    <x v="56"/>
    <x v="9"/>
    <x v="31"/>
    <d v="1900-01-29T00:00:00"/>
    <n v="13"/>
    <x v="11"/>
    <x v="2"/>
  </r>
  <r>
    <x v="535"/>
    <n v="1200"/>
    <x v="1104"/>
    <n v="22983.15"/>
    <s v="Complete Access"/>
    <x v="325"/>
    <x v="6"/>
    <x v="64"/>
    <d v="1900-01-29T00:00:00"/>
    <n v="13"/>
    <x v="11"/>
    <x v="2"/>
  </r>
  <r>
    <x v="536"/>
    <n v="-20"/>
    <x v="1105"/>
    <n v="20055.919999999998"/>
    <s v="Complete Access"/>
    <x v="12"/>
    <x v="5"/>
    <x v="8"/>
    <d v="1900-01-27T00:00:00"/>
    <n v="13"/>
    <x v="11"/>
    <x v="2"/>
  </r>
  <r>
    <x v="536"/>
    <n v="-16.61"/>
    <x v="1106"/>
    <n v="20039.310000000001"/>
    <s v="Complete Access"/>
    <x v="74"/>
    <x v="4"/>
    <x v="10"/>
    <d v="1900-01-27T00:00:00"/>
    <n v="13"/>
    <x v="11"/>
    <x v="2"/>
  </r>
  <r>
    <x v="536"/>
    <n v="-0.5"/>
    <x v="1107"/>
    <n v="20038.810000000001"/>
    <s v="Complete Access"/>
    <x v="10"/>
    <x v="0"/>
    <x v="0"/>
    <d v="1900-01-27T00:00:00"/>
    <n v="13"/>
    <x v="11"/>
    <x v="2"/>
  </r>
  <r>
    <x v="536"/>
    <n v="-17.89"/>
    <x v="966"/>
    <n v="20006.88"/>
    <s v="Complete Access"/>
    <x v="215"/>
    <x v="1"/>
    <x v="1"/>
    <d v="1900-01-27T00:00:00"/>
    <n v="13"/>
    <x v="11"/>
    <x v="2"/>
  </r>
  <r>
    <x v="536"/>
    <n v="-14.04"/>
    <x v="436"/>
    <n v="20024.77"/>
    <s v="Complete Access"/>
    <x v="186"/>
    <x v="1"/>
    <x v="5"/>
    <d v="1900-01-27T00:00:00"/>
    <n v="13"/>
    <x v="11"/>
    <x v="2"/>
  </r>
  <r>
    <x v="537"/>
    <n v="-16.18"/>
    <x v="1108"/>
    <n v="20075.919999999998"/>
    <s v="Complete Access"/>
    <x v="348"/>
    <x v="1"/>
    <x v="5"/>
    <d v="1900-01-26T00:00:00"/>
    <n v="13"/>
    <x v="11"/>
    <x v="2"/>
  </r>
  <r>
    <x v="538"/>
    <n v="-25.6"/>
    <x v="405"/>
    <n v="20092.099999999999"/>
    <s v="Complete Access"/>
    <x v="177"/>
    <x v="1"/>
    <x v="1"/>
    <d v="1900-01-25T00:00:00"/>
    <n v="13"/>
    <x v="11"/>
    <x v="2"/>
  </r>
  <r>
    <x v="539"/>
    <n v="-73.680000000000007"/>
    <x v="405"/>
    <n v="20119.2"/>
    <s v="Complete Access"/>
    <x v="177"/>
    <x v="1"/>
    <x v="1"/>
    <d v="1900-01-24T00:00:00"/>
    <n v="12"/>
    <x v="11"/>
    <x v="2"/>
  </r>
  <r>
    <x v="539"/>
    <n v="-1.5"/>
    <x v="517"/>
    <n v="20117.7"/>
    <s v="Complete Access"/>
    <x v="34"/>
    <x v="9"/>
    <x v="12"/>
    <d v="1900-01-24T00:00:00"/>
    <n v="12"/>
    <x v="11"/>
    <x v="2"/>
  </r>
  <r>
    <x v="540"/>
    <n v="-20"/>
    <x v="1109"/>
    <n v="20202.080000000002"/>
    <s v="Complete Access"/>
    <x v="12"/>
    <x v="5"/>
    <x v="8"/>
    <d v="1900-01-23T00:00:00"/>
    <n v="12"/>
    <x v="11"/>
    <x v="2"/>
  </r>
  <r>
    <x v="540"/>
    <n v="-9.1999999999999993"/>
    <x v="1110"/>
    <n v="20192.88"/>
    <s v="Complete Access"/>
    <x v="277"/>
    <x v="8"/>
    <x v="29"/>
    <d v="1900-01-23T00:00:00"/>
    <n v="12"/>
    <x v="11"/>
    <x v="2"/>
  </r>
  <r>
    <x v="541"/>
    <n v="-69"/>
    <x v="1111"/>
    <n v="20304.05"/>
    <s v="Complete Access"/>
    <x v="207"/>
    <x v="7"/>
    <x v="11"/>
    <d v="1900-01-22T00:00:00"/>
    <n v="12"/>
    <x v="11"/>
    <x v="2"/>
  </r>
  <r>
    <x v="541"/>
    <n v="-12.99"/>
    <x v="1112"/>
    <n v="20222.080000000002"/>
    <s v="Complete Access"/>
    <x v="15"/>
    <x v="4"/>
    <x v="10"/>
    <d v="1900-01-22T00:00:00"/>
    <n v="12"/>
    <x v="11"/>
    <x v="2"/>
  </r>
  <r>
    <x v="541"/>
    <n v="-68.98"/>
    <x v="1113"/>
    <n v="20235.07"/>
    <s v="Complete Access"/>
    <x v="1"/>
    <x v="1"/>
    <x v="1"/>
    <d v="1900-01-22T00:00:00"/>
    <n v="12"/>
    <x v="11"/>
    <x v="2"/>
  </r>
  <r>
    <x v="542"/>
    <n v="-14.99"/>
    <x v="1114"/>
    <n v="20373.05"/>
    <s v="Complete Access"/>
    <x v="15"/>
    <x v="4"/>
    <x v="10"/>
    <d v="1900-01-21T00:00:00"/>
    <n v="12"/>
    <x v="11"/>
    <x v="2"/>
  </r>
  <r>
    <x v="542"/>
    <n v="-37.49"/>
    <x v="1115"/>
    <n v="20388.04"/>
    <s v="Complete Access"/>
    <x v="237"/>
    <x v="15"/>
    <x v="34"/>
    <d v="1900-01-21T00:00:00"/>
    <n v="12"/>
    <x v="11"/>
    <x v="2"/>
  </r>
  <r>
    <x v="543"/>
    <n v="-24.08"/>
    <x v="1116"/>
    <n v="20440.52"/>
    <s v="Complete Access"/>
    <x v="8"/>
    <x v="1"/>
    <x v="5"/>
    <d v="1900-01-20T00:00:00"/>
    <n v="12"/>
    <x v="11"/>
    <x v="2"/>
  </r>
  <r>
    <x v="543"/>
    <n v="-25.21"/>
    <x v="1117"/>
    <n v="20464.599999999999"/>
    <s v="Complete Access"/>
    <x v="343"/>
    <x v="1"/>
    <x v="5"/>
    <d v="1900-01-20T00:00:00"/>
    <n v="12"/>
    <x v="11"/>
    <x v="2"/>
  </r>
  <r>
    <x v="543"/>
    <n v="-14.99"/>
    <x v="1118"/>
    <n v="20425.53"/>
    <s v="Complete Access"/>
    <x v="15"/>
    <x v="4"/>
    <x v="10"/>
    <d v="1900-01-20T00:00:00"/>
    <n v="12"/>
    <x v="11"/>
    <x v="2"/>
  </r>
  <r>
    <x v="544"/>
    <n v="-14.04"/>
    <x v="436"/>
    <n v="20489.810000000001"/>
    <s v="Complete Access"/>
    <x v="186"/>
    <x v="1"/>
    <x v="5"/>
    <d v="1900-01-19T00:00:00"/>
    <n v="12"/>
    <x v="11"/>
    <x v="2"/>
  </r>
  <r>
    <x v="545"/>
    <n v="15"/>
    <x v="1119"/>
    <n v="20503.849999999999"/>
    <s v="Complete Access"/>
    <x v="36"/>
    <x v="0"/>
    <x v="0"/>
    <d v="1900-01-18T00:00:00"/>
    <n v="12"/>
    <x v="11"/>
    <x v="2"/>
  </r>
  <r>
    <x v="546"/>
    <n v="-50"/>
    <x v="1120"/>
    <n v="20553.849999999999"/>
    <s v="Complete Access"/>
    <x v="130"/>
    <x v="0"/>
    <x v="0"/>
    <d v="1900-01-17T00:00:00"/>
    <n v="11"/>
    <x v="11"/>
    <x v="2"/>
  </r>
  <r>
    <x v="546"/>
    <n v="-127.72"/>
    <x v="1121"/>
    <n v="19909.54"/>
    <s v="Complete Access"/>
    <x v="345"/>
    <x v="4"/>
    <x v="47"/>
    <d v="1900-01-17T00:00:00"/>
    <n v="11"/>
    <x v="11"/>
    <x v="2"/>
  </r>
  <r>
    <x v="546"/>
    <n v="-30"/>
    <x v="1122"/>
    <n v="20523.849999999999"/>
    <s v="Complete Access"/>
    <x v="349"/>
    <x v="1"/>
    <x v="5"/>
    <d v="1900-01-17T00:00:00"/>
    <n v="11"/>
    <x v="11"/>
    <x v="2"/>
  </r>
  <r>
    <x v="546"/>
    <n v="-15"/>
    <x v="1123"/>
    <n v="20488.849999999999"/>
    <s v="Complete Access"/>
    <x v="350"/>
    <x v="1"/>
    <x v="5"/>
    <d v="1900-01-17T00:00:00"/>
    <n v="11"/>
    <x v="11"/>
    <x v="2"/>
  </r>
  <r>
    <x v="546"/>
    <n v="-20"/>
    <x v="1123"/>
    <n v="20503.849999999999"/>
    <s v="Complete Access"/>
    <x v="350"/>
    <x v="1"/>
    <x v="5"/>
    <d v="1900-01-17T00:00:00"/>
    <n v="11"/>
    <x v="11"/>
    <x v="2"/>
  </r>
  <r>
    <x v="546"/>
    <n v="-3.83"/>
    <x v="1124"/>
    <n v="19905.71"/>
    <s v="Complete Access"/>
    <x v="10"/>
    <x v="0"/>
    <x v="0"/>
    <d v="1900-01-17T00:00:00"/>
    <n v="11"/>
    <x v="11"/>
    <x v="2"/>
  </r>
  <r>
    <x v="546"/>
    <n v="700"/>
    <x v="1125"/>
    <n v="20603.849999999999"/>
    <s v="Complete Access"/>
    <x v="325"/>
    <x v="6"/>
    <x v="64"/>
    <d v="1900-01-17T00:00:00"/>
    <n v="11"/>
    <x v="11"/>
    <x v="2"/>
  </r>
  <r>
    <x v="546"/>
    <n v="-1.86"/>
    <x v="1126"/>
    <n v="19903.849999999999"/>
    <s v="Complete Access"/>
    <x v="44"/>
    <x v="4"/>
    <x v="27"/>
    <d v="1900-01-17T00:00:00"/>
    <n v="11"/>
    <x v="11"/>
    <x v="2"/>
  </r>
  <r>
    <x v="547"/>
    <n v="-500"/>
    <x v="656"/>
    <n v="20028.919999999998"/>
    <s v="Complete Access"/>
    <x v="13"/>
    <x v="0"/>
    <x v="0"/>
    <d v="1900-01-15T00:00:00"/>
    <n v="11"/>
    <x v="11"/>
    <x v="2"/>
  </r>
  <r>
    <x v="547"/>
    <n v="-20"/>
    <x v="1127"/>
    <n v="20008.919999999998"/>
    <s v="Complete Access"/>
    <x v="12"/>
    <x v="5"/>
    <x v="8"/>
    <d v="1900-01-15T00:00:00"/>
    <n v="11"/>
    <x v="11"/>
    <x v="2"/>
  </r>
  <r>
    <x v="547"/>
    <n v="2332.84"/>
    <x v="1128"/>
    <n v="20528.919999999998"/>
    <s v="Complete Access"/>
    <x v="14"/>
    <x v="6"/>
    <x v="9"/>
    <d v="1900-01-15T00:00:00"/>
    <n v="11"/>
    <x v="11"/>
    <x v="2"/>
  </r>
  <r>
    <x v="547"/>
    <n v="28.34"/>
    <x v="6"/>
    <n v="20037.259999999998"/>
    <s v="Complete Access"/>
    <x v="6"/>
    <x v="4"/>
    <x v="4"/>
    <d v="1900-01-15T00:00:00"/>
    <n v="11"/>
    <x v="11"/>
    <x v="2"/>
  </r>
  <r>
    <x v="548"/>
    <n v="-13.4"/>
    <x v="827"/>
    <n v="18196.080000000002"/>
    <s v="Complete Access"/>
    <x v="297"/>
    <x v="1"/>
    <x v="5"/>
    <d v="1900-01-14T00:00:00"/>
    <n v="11"/>
    <x v="11"/>
    <x v="2"/>
  </r>
  <r>
    <x v="549"/>
    <n v="-18.2"/>
    <x v="1129"/>
    <n v="18221.509999999998"/>
    <s v="Complete Access"/>
    <x v="8"/>
    <x v="1"/>
    <x v="5"/>
    <d v="1900-01-13T00:00:00"/>
    <n v="11"/>
    <x v="11"/>
    <x v="2"/>
  </r>
  <r>
    <x v="549"/>
    <n v="-12.03"/>
    <x v="1108"/>
    <n v="18209.48"/>
    <s v="Complete Access"/>
    <x v="348"/>
    <x v="1"/>
    <x v="5"/>
    <d v="1900-01-13T00:00:00"/>
    <n v="11"/>
    <x v="11"/>
    <x v="2"/>
  </r>
  <r>
    <x v="550"/>
    <n v="-8.49"/>
    <x v="1108"/>
    <n v="18304.32"/>
    <s v="Complete Access"/>
    <x v="348"/>
    <x v="1"/>
    <x v="5"/>
    <d v="1900-01-12T00:00:00"/>
    <n v="11"/>
    <x v="11"/>
    <x v="2"/>
  </r>
  <r>
    <x v="550"/>
    <n v="-14.5"/>
    <x v="18"/>
    <n v="18289.82"/>
    <s v="Complete Access"/>
    <x v="16"/>
    <x v="1"/>
    <x v="5"/>
    <d v="1900-01-12T00:00:00"/>
    <n v="11"/>
    <x v="11"/>
    <x v="2"/>
  </r>
  <r>
    <x v="550"/>
    <n v="-50.11"/>
    <x v="405"/>
    <n v="18239.71"/>
    <s v="Complete Access"/>
    <x v="177"/>
    <x v="1"/>
    <x v="1"/>
    <d v="1900-01-12T00:00:00"/>
    <n v="11"/>
    <x v="11"/>
    <x v="2"/>
  </r>
  <r>
    <x v="551"/>
    <n v="-16.649999999999999"/>
    <x v="1130"/>
    <n v="18357.37"/>
    <s v="Complete Access"/>
    <x v="351"/>
    <x v="1"/>
    <x v="5"/>
    <d v="1900-01-11T00:00:00"/>
    <n v="11"/>
    <x v="11"/>
    <x v="2"/>
  </r>
  <r>
    <x v="551"/>
    <n v="900"/>
    <x v="1131"/>
    <n v="18374.02"/>
    <s v="Complete Access"/>
    <x v="325"/>
    <x v="6"/>
    <x v="64"/>
    <d v="1900-01-11T00:00:00"/>
    <n v="11"/>
    <x v="11"/>
    <x v="2"/>
  </r>
  <r>
    <x v="551"/>
    <n v="-44.56"/>
    <x v="532"/>
    <n v="18312.810000000001"/>
    <s v="Complete Access"/>
    <x v="1"/>
    <x v="1"/>
    <x v="1"/>
    <d v="1900-01-11T00:00:00"/>
    <n v="11"/>
    <x v="11"/>
    <x v="2"/>
  </r>
  <r>
    <x v="552"/>
    <n v="-55.14"/>
    <x v="405"/>
    <n v="17474.02"/>
    <s v="Complete Access"/>
    <x v="177"/>
    <x v="1"/>
    <x v="1"/>
    <d v="1900-01-10T00:00:00"/>
    <n v="10"/>
    <x v="11"/>
    <x v="2"/>
  </r>
  <r>
    <x v="553"/>
    <n v="-16.18"/>
    <x v="1132"/>
    <n v="17529.16"/>
    <s v="Complete Access"/>
    <x v="333"/>
    <x v="1"/>
    <x v="5"/>
    <d v="1900-01-09T00:00:00"/>
    <n v="10"/>
    <x v="11"/>
    <x v="2"/>
  </r>
  <r>
    <x v="554"/>
    <n v="-32.590000000000003"/>
    <x v="533"/>
    <n v="17545.34"/>
    <s v="Complete Access"/>
    <x v="215"/>
    <x v="1"/>
    <x v="1"/>
    <d v="1900-01-08T00:00:00"/>
    <n v="10"/>
    <x v="11"/>
    <x v="2"/>
  </r>
  <r>
    <x v="555"/>
    <n v="-66.7"/>
    <x v="532"/>
    <n v="17577.93"/>
    <s v="Complete Access"/>
    <x v="1"/>
    <x v="1"/>
    <x v="1"/>
    <d v="1900-01-05T00:00:00"/>
    <n v="10"/>
    <x v="11"/>
    <x v="2"/>
  </r>
  <r>
    <x v="556"/>
    <n v="-17.47"/>
    <x v="533"/>
    <n v="17644.63"/>
    <s v="Complete Access"/>
    <x v="215"/>
    <x v="1"/>
    <x v="1"/>
    <d v="1900-01-04T00:00:00"/>
    <n v="10"/>
    <x v="11"/>
    <x v="2"/>
  </r>
  <r>
    <x v="556"/>
    <n v="-19.64"/>
    <x v="405"/>
    <n v="17662.099999999999"/>
    <s v="Complete Access"/>
    <x v="177"/>
    <x v="1"/>
    <x v="1"/>
    <d v="1900-01-04T00:00:00"/>
    <n v="10"/>
    <x v="11"/>
    <x v="2"/>
  </r>
  <r>
    <x v="557"/>
    <n v="-40.229999999999997"/>
    <x v="405"/>
    <n v="17681.740000000002"/>
    <s v="Complete Access"/>
    <x v="177"/>
    <x v="1"/>
    <x v="1"/>
    <d v="1900-01-03T00:00:00"/>
    <n v="9"/>
    <x v="11"/>
    <x v="2"/>
  </r>
  <r>
    <x v="558"/>
    <n v="-3.93"/>
    <x v="1133"/>
    <n v="17611.669999999998"/>
    <s v="Complete Access"/>
    <x v="285"/>
    <x v="5"/>
    <x v="8"/>
    <d v="1900-01-02T00:00:00"/>
    <n v="9"/>
    <x v="11"/>
    <x v="2"/>
  </r>
  <r>
    <x v="558"/>
    <n v="-16"/>
    <x v="1134"/>
    <n v="17721.97"/>
    <s v="Complete Access"/>
    <x v="242"/>
    <x v="1"/>
    <x v="5"/>
    <d v="1900-01-02T00:00:00"/>
    <n v="9"/>
    <x v="11"/>
    <x v="2"/>
  </r>
  <r>
    <x v="558"/>
    <n v="145"/>
    <x v="1135"/>
    <n v="17756.669999999998"/>
    <s v="Complete Access"/>
    <x v="352"/>
    <x v="4"/>
    <x v="67"/>
    <d v="1900-01-02T00:00:00"/>
    <n v="9"/>
    <x v="11"/>
    <x v="2"/>
  </r>
  <r>
    <x v="558"/>
    <n v="-18.7"/>
    <x v="1136"/>
    <n v="17737.97"/>
    <s v="Complete Access"/>
    <x v="329"/>
    <x v="4"/>
    <x v="7"/>
    <d v="1900-01-02T00:00:00"/>
    <n v="9"/>
    <x v="11"/>
    <x v="2"/>
  </r>
  <r>
    <x v="559"/>
    <n v="-500"/>
    <x v="656"/>
    <n v="17470.23"/>
    <s v="Complete Access"/>
    <x v="13"/>
    <x v="0"/>
    <x v="0"/>
    <d v="1900-01-01T00:00:00"/>
    <n v="9"/>
    <x v="11"/>
    <x v="2"/>
  </r>
  <r>
    <x v="559"/>
    <n v="-10.55"/>
    <x v="1137"/>
    <n v="17439.68"/>
    <s v="Complete Access"/>
    <x v="188"/>
    <x v="1"/>
    <x v="1"/>
    <d v="1900-01-01T00:00:00"/>
    <n v="9"/>
    <x v="11"/>
    <x v="2"/>
  </r>
  <r>
    <x v="559"/>
    <n v="-20"/>
    <x v="1138"/>
    <n v="17450.23"/>
    <s v="Complete Access"/>
    <x v="12"/>
    <x v="5"/>
    <x v="8"/>
    <d v="1900-01-01T00:00:00"/>
    <n v="9"/>
    <x v="11"/>
    <x v="2"/>
  </r>
  <r>
    <x v="559"/>
    <n v="-16.18"/>
    <x v="1139"/>
    <n v="17423.5"/>
    <s v="Complete Access"/>
    <x v="333"/>
    <x v="1"/>
    <x v="5"/>
    <d v="1900-01-01T00:00:00"/>
    <n v="9"/>
    <x v="11"/>
    <x v="2"/>
  </r>
  <r>
    <x v="559"/>
    <n v="2332.84"/>
    <x v="1140"/>
    <n v="17970.23"/>
    <s v="Complete Access"/>
    <x v="14"/>
    <x v="6"/>
    <x v="9"/>
    <d v="1900-01-01T00:00:00"/>
    <n v="9"/>
    <x v="11"/>
    <x v="2"/>
  </r>
  <r>
    <x v="559"/>
    <n v="-7.9"/>
    <x v="96"/>
    <n v="17615.599999999999"/>
    <s v="Complete Access"/>
    <x v="47"/>
    <x v="1"/>
    <x v="5"/>
    <d v="1900-01-01T00:00:00"/>
    <n v="9"/>
    <x v="11"/>
    <x v="2"/>
  </r>
  <r>
    <x v="559"/>
    <n v="200"/>
    <x v="1141"/>
    <n v="17623.5"/>
    <s v="Complete Access"/>
    <x v="36"/>
    <x v="0"/>
    <x v="0"/>
    <d v="1900-01-01T00:00:00"/>
    <n v="9"/>
    <x v="11"/>
    <x v="2"/>
  </r>
  <r>
    <x v="560"/>
    <n v="-186.7"/>
    <x v="1142"/>
    <n v="15637.39"/>
    <s v="Complete Access"/>
    <x v="76"/>
    <x v="2"/>
    <x v="2"/>
    <d v="1899-12-31T00:00:00"/>
    <n v="9"/>
    <x v="11"/>
    <x v="2"/>
  </r>
  <r>
    <x v="560"/>
    <n v="3.25"/>
    <x v="609"/>
    <n v="2647.69"/>
    <s v="Netbank Saver"/>
    <x v="240"/>
    <x v="0"/>
    <x v="55"/>
    <d v="1899-12-31T00:00:00"/>
    <n v="9"/>
    <x v="11"/>
    <x v="2"/>
  </r>
  <r>
    <x v="560"/>
    <n v="-200"/>
    <x v="1006"/>
    <n v="15824.09"/>
    <s v="Complete Access"/>
    <x v="0"/>
    <x v="0"/>
    <x v="0"/>
    <d v="1899-12-31T00:00:00"/>
    <n v="9"/>
    <x v="11"/>
    <x v="2"/>
  </r>
  <r>
    <x v="561"/>
    <n v="-5.72"/>
    <x v="1143"/>
    <n v="16152.55"/>
    <s v="Complete Access"/>
    <x v="285"/>
    <x v="5"/>
    <x v="8"/>
    <d v="1900-01-27T00:00:00"/>
    <n v="9"/>
    <x v="0"/>
    <x v="2"/>
  </r>
  <r>
    <x v="561"/>
    <n v="-20"/>
    <x v="1144"/>
    <n v="16158.27"/>
    <s v="Complete Access"/>
    <x v="12"/>
    <x v="5"/>
    <x v="8"/>
    <d v="1900-01-27T00:00:00"/>
    <n v="9"/>
    <x v="0"/>
    <x v="2"/>
  </r>
  <r>
    <x v="561"/>
    <n v="-14.5"/>
    <x v="18"/>
    <n v="16052.94"/>
    <s v="Complete Access"/>
    <x v="16"/>
    <x v="1"/>
    <x v="5"/>
    <d v="1900-01-27T00:00:00"/>
    <n v="9"/>
    <x v="0"/>
    <x v="2"/>
  </r>
  <r>
    <x v="561"/>
    <n v="-3.5"/>
    <x v="405"/>
    <n v="16049.44"/>
    <s v="Complete Access"/>
    <x v="177"/>
    <x v="1"/>
    <x v="1"/>
    <d v="1900-01-27T00:00:00"/>
    <n v="9"/>
    <x v="0"/>
    <x v="2"/>
  </r>
  <r>
    <x v="561"/>
    <n v="-25.35"/>
    <x v="532"/>
    <n v="16024.09"/>
    <s v="Complete Access"/>
    <x v="1"/>
    <x v="1"/>
    <x v="1"/>
    <d v="1900-01-27T00:00:00"/>
    <n v="9"/>
    <x v="0"/>
    <x v="2"/>
  </r>
  <r>
    <x v="561"/>
    <n v="-40"/>
    <x v="1145"/>
    <n v="16067.44"/>
    <s v="Complete Access"/>
    <x v="243"/>
    <x v="1"/>
    <x v="23"/>
    <d v="1900-01-27T00:00:00"/>
    <n v="9"/>
    <x v="0"/>
    <x v="2"/>
  </r>
  <r>
    <x v="561"/>
    <n v="-45.11"/>
    <x v="1146"/>
    <n v="16107.44"/>
    <s v="Complete Access"/>
    <x v="34"/>
    <x v="9"/>
    <x v="12"/>
    <d v="1900-01-27T00:00:00"/>
    <n v="9"/>
    <x v="0"/>
    <x v="2"/>
  </r>
  <r>
    <x v="562"/>
    <n v="-3.76"/>
    <x v="966"/>
    <n v="16169.78"/>
    <s v="Complete Access"/>
    <x v="215"/>
    <x v="1"/>
    <x v="1"/>
    <d v="1900-01-26T00:00:00"/>
    <n v="9"/>
    <x v="0"/>
    <x v="2"/>
  </r>
  <r>
    <x v="562"/>
    <n v="8.49"/>
    <x v="6"/>
    <n v="16178.27"/>
    <s v="Complete Access"/>
    <x v="6"/>
    <x v="4"/>
    <x v="4"/>
    <d v="1900-01-26T00:00:00"/>
    <n v="9"/>
    <x v="0"/>
    <x v="2"/>
  </r>
  <r>
    <x v="563"/>
    <n v="-7.99"/>
    <x v="966"/>
    <n v="16173.54"/>
    <s v="Complete Access"/>
    <x v="215"/>
    <x v="1"/>
    <x v="1"/>
    <d v="1900-01-25T00:00:00"/>
    <n v="9"/>
    <x v="0"/>
    <x v="2"/>
  </r>
  <r>
    <x v="563"/>
    <n v="-63.52"/>
    <x v="405"/>
    <n v="16181.53"/>
    <s v="Complete Access"/>
    <x v="177"/>
    <x v="1"/>
    <x v="1"/>
    <d v="1900-01-25T00:00:00"/>
    <n v="9"/>
    <x v="0"/>
    <x v="2"/>
  </r>
  <r>
    <x v="564"/>
    <n v="-23.19"/>
    <x v="1147"/>
    <n v="16466.73"/>
    <s v="Complete Access"/>
    <x v="8"/>
    <x v="1"/>
    <x v="5"/>
    <d v="1900-01-24T00:00:00"/>
    <n v="8"/>
    <x v="0"/>
    <x v="2"/>
  </r>
  <r>
    <x v="564"/>
    <n v="-12.7"/>
    <x v="1148"/>
    <n v="16245.05"/>
    <s v="Complete Access"/>
    <x v="297"/>
    <x v="1"/>
    <x v="5"/>
    <d v="1900-01-24T00:00:00"/>
    <n v="8"/>
    <x v="0"/>
    <x v="2"/>
  </r>
  <r>
    <x v="564"/>
    <n v="-9.99"/>
    <x v="966"/>
    <n v="16257.75"/>
    <s v="Complete Access"/>
    <x v="215"/>
    <x v="1"/>
    <x v="1"/>
    <d v="1900-01-24T00:00:00"/>
    <n v="8"/>
    <x v="0"/>
    <x v="2"/>
  </r>
  <r>
    <x v="564"/>
    <n v="-8.4"/>
    <x v="405"/>
    <n v="16267.74"/>
    <s v="Complete Access"/>
    <x v="177"/>
    <x v="1"/>
    <x v="1"/>
    <d v="1900-01-24T00:00:00"/>
    <n v="8"/>
    <x v="0"/>
    <x v="2"/>
  </r>
  <r>
    <x v="564"/>
    <n v="-190.59"/>
    <x v="1149"/>
    <n v="16276.14"/>
    <s v="Complete Access"/>
    <x v="353"/>
    <x v="1"/>
    <x v="5"/>
    <d v="1900-01-24T00:00:00"/>
    <n v="8"/>
    <x v="0"/>
    <x v="2"/>
  </r>
  <r>
    <x v="565"/>
    <n v="-33.68"/>
    <x v="405"/>
    <n v="16489.919999999998"/>
    <s v="Complete Access"/>
    <x v="177"/>
    <x v="1"/>
    <x v="1"/>
    <d v="1900-01-23T00:00:00"/>
    <n v="8"/>
    <x v="0"/>
    <x v="2"/>
  </r>
  <r>
    <x v="566"/>
    <n v="-9.65"/>
    <x v="1150"/>
    <n v="16523.599999999999"/>
    <s v="Complete Access"/>
    <x v="285"/>
    <x v="5"/>
    <x v="8"/>
    <d v="1900-01-22T00:00:00"/>
    <n v="8"/>
    <x v="0"/>
    <x v="2"/>
  </r>
  <r>
    <x v="566"/>
    <n v="20"/>
    <x v="1151"/>
    <n v="16523.599999999999"/>
    <s v="Complete Access"/>
    <x v="36"/>
    <x v="0"/>
    <x v="0"/>
    <d v="1900-01-22T00:00:00"/>
    <n v="8"/>
    <x v="0"/>
    <x v="2"/>
  </r>
  <r>
    <x v="566"/>
    <n v="-20"/>
    <x v="1152"/>
    <n v="16503.599999999999"/>
    <s v="Complete Access"/>
    <x v="34"/>
    <x v="9"/>
    <x v="12"/>
    <d v="1900-01-22T00:00:00"/>
    <n v="8"/>
    <x v="0"/>
    <x v="2"/>
  </r>
  <r>
    <x v="567"/>
    <n v="-12.05"/>
    <x v="96"/>
    <n v="16533.25"/>
    <s v="Complete Access"/>
    <x v="47"/>
    <x v="1"/>
    <x v="5"/>
    <d v="1900-01-21T00:00:00"/>
    <n v="8"/>
    <x v="0"/>
    <x v="2"/>
  </r>
  <r>
    <x v="568"/>
    <n v="-37.130000000000003"/>
    <x v="1153"/>
    <n v="16699.5"/>
    <s v="Complete Access"/>
    <x v="8"/>
    <x v="1"/>
    <x v="5"/>
    <d v="1900-01-20T00:00:00"/>
    <n v="8"/>
    <x v="0"/>
    <x v="2"/>
  </r>
  <r>
    <x v="568"/>
    <n v="-2.75"/>
    <x v="1154"/>
    <n v="16769.03"/>
    <s v="Complete Access"/>
    <x v="285"/>
    <x v="5"/>
    <x v="8"/>
    <d v="1900-01-20T00:00:00"/>
    <n v="8"/>
    <x v="0"/>
    <x v="2"/>
  </r>
  <r>
    <x v="568"/>
    <n v="-145"/>
    <x v="1155"/>
    <n v="16554.5"/>
    <s v="Complete Access"/>
    <x v="352"/>
    <x v="4"/>
    <x v="67"/>
    <d v="1900-01-20T00:00:00"/>
    <n v="8"/>
    <x v="0"/>
    <x v="2"/>
  </r>
  <r>
    <x v="568"/>
    <n v="-32.4"/>
    <x v="1156"/>
    <n v="16736.63"/>
    <s v="Complete Access"/>
    <x v="1"/>
    <x v="1"/>
    <x v="1"/>
    <d v="1900-01-20T00:00:00"/>
    <n v="8"/>
    <x v="0"/>
    <x v="2"/>
  </r>
  <r>
    <x v="568"/>
    <n v="-9.1999999999999993"/>
    <x v="807"/>
    <n v="16545.3"/>
    <s v="Complete Access"/>
    <x v="277"/>
    <x v="8"/>
    <x v="29"/>
    <d v="1900-01-20T00:00:00"/>
    <n v="8"/>
    <x v="0"/>
    <x v="2"/>
  </r>
  <r>
    <x v="569"/>
    <n v="-24.29"/>
    <x v="532"/>
    <n v="16771.78"/>
    <s v="Complete Access"/>
    <x v="1"/>
    <x v="1"/>
    <x v="1"/>
    <d v="1900-01-19T00:00:00"/>
    <n v="8"/>
    <x v="0"/>
    <x v="2"/>
  </r>
  <r>
    <x v="569"/>
    <n v="-24.04"/>
    <x v="436"/>
    <n v="16796.07"/>
    <s v="Complete Access"/>
    <x v="186"/>
    <x v="1"/>
    <x v="5"/>
    <d v="1900-01-19T00:00:00"/>
    <n v="8"/>
    <x v="0"/>
    <x v="2"/>
  </r>
  <r>
    <x v="570"/>
    <n v="-9.44"/>
    <x v="532"/>
    <n v="16826.11"/>
    <s v="Complete Access"/>
    <x v="1"/>
    <x v="1"/>
    <x v="1"/>
    <d v="1900-01-18T00:00:00"/>
    <n v="8"/>
    <x v="0"/>
    <x v="2"/>
  </r>
  <r>
    <x v="570"/>
    <n v="-6"/>
    <x v="1157"/>
    <n v="16820.11"/>
    <s v="Complete Access"/>
    <x v="0"/>
    <x v="0"/>
    <x v="0"/>
    <d v="1900-01-18T00:00:00"/>
    <n v="8"/>
    <x v="0"/>
    <x v="2"/>
  </r>
  <r>
    <x v="571"/>
    <n v="-23.19"/>
    <x v="1158"/>
    <n v="16873.68"/>
    <s v="Complete Access"/>
    <x v="8"/>
    <x v="1"/>
    <x v="5"/>
    <d v="1900-01-17T00:00:00"/>
    <n v="7"/>
    <x v="0"/>
    <x v="2"/>
  </r>
  <r>
    <x v="571"/>
    <n v="-9.65"/>
    <x v="1159"/>
    <n v="16896.87"/>
    <s v="Complete Access"/>
    <x v="285"/>
    <x v="5"/>
    <x v="8"/>
    <d v="1900-01-17T00:00:00"/>
    <n v="7"/>
    <x v="0"/>
    <x v="2"/>
  </r>
  <r>
    <x v="571"/>
    <n v="-38.130000000000003"/>
    <x v="969"/>
    <n v="16835.55"/>
    <s v="Complete Access"/>
    <x v="177"/>
    <x v="1"/>
    <x v="1"/>
    <d v="1900-01-17T00:00:00"/>
    <n v="7"/>
    <x v="0"/>
    <x v="2"/>
  </r>
  <r>
    <x v="572"/>
    <n v="-9.65"/>
    <x v="1160"/>
    <n v="17030.79"/>
    <s v="Complete Access"/>
    <x v="285"/>
    <x v="5"/>
    <x v="8"/>
    <d v="1900-01-16T00:00:00"/>
    <n v="7"/>
    <x v="0"/>
    <x v="2"/>
  </r>
  <r>
    <x v="572"/>
    <n v="-149"/>
    <x v="1161"/>
    <n v="16869.02"/>
    <s v="Complete Access"/>
    <x v="354"/>
    <x v="1"/>
    <x v="5"/>
    <d v="1900-01-16T00:00:00"/>
    <n v="7"/>
    <x v="0"/>
    <x v="2"/>
  </r>
  <r>
    <x v="572"/>
    <n v="-12.77"/>
    <x v="533"/>
    <n v="17018.02"/>
    <s v="Complete Access"/>
    <x v="215"/>
    <x v="1"/>
    <x v="1"/>
    <d v="1900-01-16T00:00:00"/>
    <n v="7"/>
    <x v="0"/>
    <x v="2"/>
  </r>
  <r>
    <x v="572"/>
    <n v="37.5"/>
    <x v="1162"/>
    <n v="16906.52"/>
    <s v="Complete Access"/>
    <x v="36"/>
    <x v="0"/>
    <x v="0"/>
    <d v="1900-01-16T00:00:00"/>
    <n v="7"/>
    <x v="0"/>
    <x v="2"/>
  </r>
  <r>
    <x v="573"/>
    <n v="-500"/>
    <x v="656"/>
    <n v="17134.259999999998"/>
    <s v="Complete Access"/>
    <x v="13"/>
    <x v="0"/>
    <x v="0"/>
    <d v="1900-01-15T00:00:00"/>
    <n v="7"/>
    <x v="0"/>
    <x v="2"/>
  </r>
  <r>
    <x v="573"/>
    <n v="-9.65"/>
    <x v="1163"/>
    <n v="17124.61"/>
    <s v="Complete Access"/>
    <x v="285"/>
    <x v="5"/>
    <x v="8"/>
    <d v="1900-01-15T00:00:00"/>
    <n v="7"/>
    <x v="0"/>
    <x v="2"/>
  </r>
  <r>
    <x v="573"/>
    <n v="-69"/>
    <x v="1164"/>
    <n v="17055.61"/>
    <s v="Complete Access"/>
    <x v="207"/>
    <x v="7"/>
    <x v="11"/>
    <d v="1900-01-15T00:00:00"/>
    <n v="7"/>
    <x v="0"/>
    <x v="2"/>
  </r>
  <r>
    <x v="573"/>
    <n v="-15.17"/>
    <x v="1165"/>
    <n v="17040.439999999999"/>
    <s v="Complete Access"/>
    <x v="333"/>
    <x v="1"/>
    <x v="5"/>
    <d v="1900-01-15T00:00:00"/>
    <n v="7"/>
    <x v="0"/>
    <x v="2"/>
  </r>
  <r>
    <x v="573"/>
    <n v="2332.84"/>
    <x v="1166"/>
    <n v="17634.259999999998"/>
    <s v="Complete Access"/>
    <x v="14"/>
    <x v="6"/>
    <x v="9"/>
    <d v="1900-01-15T00:00:00"/>
    <n v="7"/>
    <x v="0"/>
    <x v="2"/>
  </r>
  <r>
    <x v="574"/>
    <n v="-20"/>
    <x v="1167"/>
    <n v="15307.42"/>
    <s v="Complete Access"/>
    <x v="130"/>
    <x v="0"/>
    <x v="0"/>
    <d v="1900-01-14T00:00:00"/>
    <n v="7"/>
    <x v="0"/>
    <x v="2"/>
  </r>
  <r>
    <x v="574"/>
    <n v="-15.92"/>
    <x v="1168"/>
    <n v="15327.9"/>
    <s v="Complete Access"/>
    <x v="74"/>
    <x v="4"/>
    <x v="10"/>
    <d v="1900-01-14T00:00:00"/>
    <n v="7"/>
    <x v="0"/>
    <x v="2"/>
  </r>
  <r>
    <x v="574"/>
    <n v="-0.48"/>
    <x v="1169"/>
    <n v="15327.42"/>
    <s v="Complete Access"/>
    <x v="10"/>
    <x v="0"/>
    <x v="0"/>
    <d v="1900-01-14T00:00:00"/>
    <n v="7"/>
    <x v="0"/>
    <x v="2"/>
  </r>
  <r>
    <x v="574"/>
    <n v="-6"/>
    <x v="966"/>
    <n v="15301.42"/>
    <s v="Complete Access"/>
    <x v="215"/>
    <x v="1"/>
    <x v="1"/>
    <d v="1900-01-14T00:00:00"/>
    <n v="7"/>
    <x v="0"/>
    <x v="2"/>
  </r>
  <r>
    <x v="574"/>
    <n v="-34.99"/>
    <x v="1170"/>
    <n v="15343.82"/>
    <s v="Complete Access"/>
    <x v="1"/>
    <x v="1"/>
    <x v="1"/>
    <d v="1900-01-14T00:00:00"/>
    <n v="7"/>
    <x v="0"/>
    <x v="2"/>
  </r>
  <r>
    <x v="575"/>
    <n v="-44.99"/>
    <x v="1171"/>
    <n v="15457.41"/>
    <s v="Complete Access"/>
    <x v="8"/>
    <x v="1"/>
    <x v="5"/>
    <d v="1900-01-13T00:00:00"/>
    <n v="7"/>
    <x v="0"/>
    <x v="2"/>
  </r>
  <r>
    <x v="575"/>
    <n v="-26.71"/>
    <x v="1171"/>
    <n v="15502.4"/>
    <s v="Complete Access"/>
    <x v="8"/>
    <x v="1"/>
    <x v="5"/>
    <d v="1900-01-13T00:00:00"/>
    <n v="7"/>
    <x v="0"/>
    <x v="2"/>
  </r>
  <r>
    <x v="575"/>
    <n v="-43.52"/>
    <x v="1172"/>
    <n v="15413.89"/>
    <s v="Complete Access"/>
    <x v="355"/>
    <x v="8"/>
    <x v="29"/>
    <d v="1900-01-13T00:00:00"/>
    <n v="7"/>
    <x v="0"/>
    <x v="2"/>
  </r>
  <r>
    <x v="575"/>
    <n v="-17.579999999999998"/>
    <x v="966"/>
    <n v="15378.81"/>
    <s v="Complete Access"/>
    <x v="215"/>
    <x v="1"/>
    <x v="1"/>
    <d v="1900-01-13T00:00:00"/>
    <n v="7"/>
    <x v="0"/>
    <x v="2"/>
  </r>
  <r>
    <x v="575"/>
    <n v="-17.5"/>
    <x v="1173"/>
    <n v="15396.39"/>
    <s v="Complete Access"/>
    <x v="356"/>
    <x v="8"/>
    <x v="29"/>
    <d v="1900-01-13T00:00:00"/>
    <n v="7"/>
    <x v="0"/>
    <x v="2"/>
  </r>
  <r>
    <x v="576"/>
    <n v="-17.5"/>
    <x v="532"/>
    <n v="15529.11"/>
    <s v="Complete Access"/>
    <x v="1"/>
    <x v="1"/>
    <x v="1"/>
    <d v="1900-01-11T00:00:00"/>
    <n v="7"/>
    <x v="0"/>
    <x v="2"/>
  </r>
  <r>
    <x v="576"/>
    <n v="-0.59"/>
    <x v="532"/>
    <n v="15546.61"/>
    <s v="Complete Access"/>
    <x v="1"/>
    <x v="1"/>
    <x v="1"/>
    <d v="1900-01-11T00:00:00"/>
    <n v="7"/>
    <x v="0"/>
    <x v="2"/>
  </r>
  <r>
    <x v="577"/>
    <n v="-9.65"/>
    <x v="1174"/>
    <n v="15574.73"/>
    <s v="Complete Access"/>
    <x v="285"/>
    <x v="5"/>
    <x v="8"/>
    <d v="1900-01-10T00:00:00"/>
    <n v="6"/>
    <x v="0"/>
    <x v="2"/>
  </r>
  <r>
    <x v="577"/>
    <n v="-27.53"/>
    <x v="969"/>
    <n v="15547.2"/>
    <s v="Complete Access"/>
    <x v="177"/>
    <x v="1"/>
    <x v="1"/>
    <d v="1900-01-10T00:00:00"/>
    <n v="6"/>
    <x v="0"/>
    <x v="2"/>
  </r>
  <r>
    <x v="578"/>
    <n v="-26.02"/>
    <x v="1175"/>
    <n v="15608.72"/>
    <s v="Complete Access"/>
    <x v="357"/>
    <x v="3"/>
    <x v="60"/>
    <d v="1900-01-09T00:00:00"/>
    <n v="6"/>
    <x v="0"/>
    <x v="2"/>
  </r>
  <r>
    <x v="578"/>
    <n v="-9.65"/>
    <x v="1174"/>
    <n v="15639.79"/>
    <s v="Complete Access"/>
    <x v="285"/>
    <x v="5"/>
    <x v="8"/>
    <d v="1900-01-09T00:00:00"/>
    <n v="6"/>
    <x v="0"/>
    <x v="2"/>
  </r>
  <r>
    <x v="578"/>
    <n v="-5.05"/>
    <x v="1176"/>
    <n v="15634.74"/>
    <s v="Complete Access"/>
    <x v="285"/>
    <x v="5"/>
    <x v="8"/>
    <d v="1900-01-09T00:00:00"/>
    <n v="6"/>
    <x v="0"/>
    <x v="2"/>
  </r>
  <r>
    <x v="578"/>
    <n v="-15.14"/>
    <x v="966"/>
    <n v="15584.38"/>
    <s v="Complete Access"/>
    <x v="215"/>
    <x v="1"/>
    <x v="1"/>
    <d v="1900-01-09T00:00:00"/>
    <n v="6"/>
    <x v="0"/>
    <x v="2"/>
  </r>
  <r>
    <x v="578"/>
    <n v="-9.1999999999999993"/>
    <x v="1177"/>
    <n v="15599.52"/>
    <s v="Complete Access"/>
    <x v="277"/>
    <x v="8"/>
    <x v="29"/>
    <d v="1900-01-09T00:00:00"/>
    <n v="6"/>
    <x v="0"/>
    <x v="2"/>
  </r>
  <r>
    <x v="579"/>
    <n v="-10.039999999999999"/>
    <x v="1176"/>
    <n v="15665.62"/>
    <s v="Complete Access"/>
    <x v="285"/>
    <x v="5"/>
    <x v="8"/>
    <d v="1900-01-08T00:00:00"/>
    <n v="6"/>
    <x v="0"/>
    <x v="2"/>
  </r>
  <r>
    <x v="579"/>
    <n v="-16.18"/>
    <x v="1178"/>
    <n v="15649.44"/>
    <s v="Complete Access"/>
    <x v="333"/>
    <x v="1"/>
    <x v="5"/>
    <d v="1900-01-08T00:00:00"/>
    <n v="6"/>
    <x v="0"/>
    <x v="2"/>
  </r>
  <r>
    <x v="580"/>
    <n v="700"/>
    <x v="1179"/>
    <n v="15675.66"/>
    <s v="Complete Access"/>
    <x v="288"/>
    <x v="6"/>
    <x v="64"/>
    <d v="1900-01-07T00:00:00"/>
    <n v="6"/>
    <x v="0"/>
    <x v="2"/>
  </r>
  <r>
    <x v="580"/>
    <n v="-43.35"/>
    <x v="1180"/>
    <n v="14975.66"/>
    <s v="Complete Access"/>
    <x v="1"/>
    <x v="1"/>
    <x v="1"/>
    <d v="1900-01-07T00:00:00"/>
    <n v="6"/>
    <x v="0"/>
    <x v="2"/>
  </r>
  <r>
    <x v="581"/>
    <n v="-25.3"/>
    <x v="1181"/>
    <n v="15043.05"/>
    <s v="Complete Access"/>
    <x v="8"/>
    <x v="1"/>
    <x v="5"/>
    <d v="1900-01-06T00:00:00"/>
    <n v="6"/>
    <x v="0"/>
    <x v="2"/>
  </r>
  <r>
    <x v="581"/>
    <n v="-10.99"/>
    <x v="1182"/>
    <n v="15068.35"/>
    <s v="Complete Access"/>
    <x v="177"/>
    <x v="1"/>
    <x v="1"/>
    <d v="1900-01-06T00:00:00"/>
    <n v="6"/>
    <x v="0"/>
    <x v="2"/>
  </r>
  <r>
    <x v="581"/>
    <n v="-42.6"/>
    <x v="1183"/>
    <n v="15079.34"/>
    <s v="Complete Access"/>
    <x v="177"/>
    <x v="1"/>
    <x v="1"/>
    <d v="1900-01-06T00:00:00"/>
    <n v="6"/>
    <x v="0"/>
    <x v="2"/>
  </r>
  <r>
    <x v="581"/>
    <n v="-24.04"/>
    <x v="436"/>
    <n v="15019.01"/>
    <s v="Complete Access"/>
    <x v="186"/>
    <x v="1"/>
    <x v="5"/>
    <d v="1900-01-06T00:00:00"/>
    <n v="6"/>
    <x v="0"/>
    <x v="2"/>
  </r>
  <r>
    <x v="582"/>
    <n v="-12.94"/>
    <x v="966"/>
    <n v="15121.94"/>
    <s v="Complete Access"/>
    <x v="215"/>
    <x v="1"/>
    <x v="1"/>
    <d v="1900-01-05T00:00:00"/>
    <n v="6"/>
    <x v="0"/>
    <x v="2"/>
  </r>
  <r>
    <x v="582"/>
    <n v="-337.12"/>
    <x v="1184"/>
    <n v="15134.88"/>
    <s v="Complete Access"/>
    <x v="0"/>
    <x v="0"/>
    <x v="0"/>
    <d v="1900-01-05T00:00:00"/>
    <n v="6"/>
    <x v="0"/>
    <x v="2"/>
  </r>
  <r>
    <x v="583"/>
    <n v="-9.65"/>
    <x v="1185"/>
    <n v="15486"/>
    <s v="Complete Access"/>
    <x v="285"/>
    <x v="5"/>
    <x v="8"/>
    <d v="1900-01-03T00:00:00"/>
    <n v="5"/>
    <x v="0"/>
    <x v="2"/>
  </r>
  <r>
    <x v="583"/>
    <n v="-14"/>
    <x v="1157"/>
    <n v="15472"/>
    <s v="Complete Access"/>
    <x v="0"/>
    <x v="0"/>
    <x v="0"/>
    <d v="1900-01-03T00:00:00"/>
    <n v="5"/>
    <x v="0"/>
    <x v="2"/>
  </r>
  <r>
    <x v="584"/>
    <n v="-9.65"/>
    <x v="1186"/>
    <n v="15918.82"/>
    <s v="Complete Access"/>
    <x v="285"/>
    <x v="5"/>
    <x v="8"/>
    <d v="1900-01-02T00:00:00"/>
    <n v="5"/>
    <x v="0"/>
    <x v="2"/>
  </r>
  <r>
    <x v="584"/>
    <n v="-18.7"/>
    <x v="1187"/>
    <n v="15890"/>
    <s v="Complete Access"/>
    <x v="329"/>
    <x v="4"/>
    <x v="7"/>
    <d v="1900-01-02T00:00:00"/>
    <n v="5"/>
    <x v="0"/>
    <x v="2"/>
  </r>
  <r>
    <x v="584"/>
    <n v="-315"/>
    <x v="1188"/>
    <n v="15575"/>
    <s v="Complete Access"/>
    <x v="247"/>
    <x v="9"/>
    <x v="57"/>
    <d v="1900-01-02T00:00:00"/>
    <n v="5"/>
    <x v="0"/>
    <x v="2"/>
  </r>
  <r>
    <x v="584"/>
    <n v="-10.119999999999999"/>
    <x v="1189"/>
    <n v="15908.7"/>
    <s v="Complete Access"/>
    <x v="358"/>
    <x v="1"/>
    <x v="5"/>
    <d v="1900-01-02T00:00:00"/>
    <n v="5"/>
    <x v="0"/>
    <x v="2"/>
  </r>
  <r>
    <x v="584"/>
    <n v="-80"/>
    <x v="1190"/>
    <n v="15495"/>
    <s v="Complete Access"/>
    <x v="359"/>
    <x v="11"/>
    <x v="16"/>
    <d v="1900-01-02T00:00:00"/>
    <n v="5"/>
    <x v="0"/>
    <x v="2"/>
  </r>
  <r>
    <x v="584"/>
    <n v="-39.1"/>
    <x v="969"/>
    <n v="15455.9"/>
    <s v="Complete Access"/>
    <x v="177"/>
    <x v="1"/>
    <x v="1"/>
    <d v="1900-01-02T00:00:00"/>
    <n v="5"/>
    <x v="0"/>
    <x v="2"/>
  </r>
  <r>
    <x v="584"/>
    <n v="39.75"/>
    <x v="1191"/>
    <n v="15495.65"/>
    <s v="Complete Access"/>
    <x v="26"/>
    <x v="11"/>
    <x v="18"/>
    <d v="1900-01-02T00:00:00"/>
    <n v="5"/>
    <x v="0"/>
    <x v="2"/>
  </r>
  <r>
    <x v="585"/>
    <n v="-500"/>
    <x v="656"/>
    <n v="15967.97"/>
    <s v="Complete Access"/>
    <x v="13"/>
    <x v="0"/>
    <x v="0"/>
    <d v="1900-01-01T00:00:00"/>
    <n v="5"/>
    <x v="0"/>
    <x v="2"/>
  </r>
  <r>
    <x v="585"/>
    <n v="2410.4299999999998"/>
    <x v="1192"/>
    <n v="16467.97"/>
    <s v="Complete Access"/>
    <x v="14"/>
    <x v="6"/>
    <x v="9"/>
    <d v="1900-01-01T00:00:00"/>
    <n v="5"/>
    <x v="0"/>
    <x v="2"/>
  </r>
  <r>
    <x v="585"/>
    <n v="-39.5"/>
    <x v="1193"/>
    <n v="15928.47"/>
    <s v="Complete Access"/>
    <x v="360"/>
    <x v="7"/>
    <x v="53"/>
    <d v="1900-01-01T00:00:00"/>
    <n v="5"/>
    <x v="0"/>
    <x v="2"/>
  </r>
  <r>
    <x v="586"/>
    <n v="-9.65"/>
    <x v="1194"/>
    <n v="14258.96"/>
    <s v="Complete Access"/>
    <x v="285"/>
    <x v="5"/>
    <x v="8"/>
    <d v="1899-12-31T00:00:00"/>
    <n v="5"/>
    <x v="0"/>
    <x v="2"/>
  </r>
  <r>
    <x v="586"/>
    <n v="-14.72"/>
    <x v="1195"/>
    <n v="14244.24"/>
    <s v="Complete Access"/>
    <x v="16"/>
    <x v="1"/>
    <x v="5"/>
    <d v="1899-12-31T00:00:00"/>
    <n v="5"/>
    <x v="0"/>
    <x v="2"/>
  </r>
  <r>
    <x v="586"/>
    <n v="-186.7"/>
    <x v="1196"/>
    <n v="14057.54"/>
    <s v="Complete Access"/>
    <x v="76"/>
    <x v="2"/>
    <x v="2"/>
    <d v="1899-12-31T00:00:00"/>
    <n v="5"/>
    <x v="0"/>
    <x v="2"/>
  </r>
  <r>
    <x v="586"/>
    <n v="3.59"/>
    <x v="609"/>
    <n v="2644.44"/>
    <s v="Netbank Saver"/>
    <x v="240"/>
    <x v="0"/>
    <x v="55"/>
    <d v="1899-12-31T00:00:00"/>
    <n v="5"/>
    <x v="0"/>
    <x v="2"/>
  </r>
  <r>
    <x v="587"/>
    <n v="-79.989999999999995"/>
    <x v="1197"/>
    <n v="14268.61"/>
    <s v="Complete Access"/>
    <x v="8"/>
    <x v="1"/>
    <x v="5"/>
    <d v="1900-01-30T00:00:00"/>
    <n v="5"/>
    <x v="1"/>
    <x v="2"/>
  </r>
  <r>
    <x v="587"/>
    <n v="-12.7"/>
    <x v="1198"/>
    <n v="14348.6"/>
    <s v="Complete Access"/>
    <x v="177"/>
    <x v="1"/>
    <x v="1"/>
    <d v="1900-01-30T00:00:00"/>
    <n v="5"/>
    <x v="1"/>
    <x v="2"/>
  </r>
  <r>
    <x v="587"/>
    <n v="-19.760000000000002"/>
    <x v="1199"/>
    <n v="14361.3"/>
    <s v="Complete Access"/>
    <x v="1"/>
    <x v="1"/>
    <x v="1"/>
    <d v="1900-01-30T00:00:00"/>
    <n v="5"/>
    <x v="1"/>
    <x v="2"/>
  </r>
  <r>
    <x v="588"/>
    <n v="-19.09"/>
    <x v="966"/>
    <n v="14381.06"/>
    <s v="Complete Access"/>
    <x v="215"/>
    <x v="1"/>
    <x v="1"/>
    <d v="1900-01-29T00:00:00"/>
    <n v="5"/>
    <x v="1"/>
    <x v="2"/>
  </r>
  <r>
    <x v="589"/>
    <n v="-16.649999999999999"/>
    <x v="1130"/>
    <n v="14400.15"/>
    <s v="Complete Access"/>
    <x v="351"/>
    <x v="1"/>
    <x v="5"/>
    <d v="1900-01-28T00:00:00"/>
    <n v="5"/>
    <x v="1"/>
    <x v="2"/>
  </r>
  <r>
    <x v="589"/>
    <n v="22"/>
    <x v="1200"/>
    <n v="14416.8"/>
    <s v="Complete Access"/>
    <x v="36"/>
    <x v="0"/>
    <x v="0"/>
    <d v="1900-01-28T00:00:00"/>
    <n v="5"/>
    <x v="1"/>
    <x v="2"/>
  </r>
  <r>
    <x v="589"/>
    <n v="30"/>
    <x v="1201"/>
    <n v="14394.8"/>
    <s v="Complete Access"/>
    <x v="36"/>
    <x v="0"/>
    <x v="0"/>
    <d v="1900-01-28T00:00:00"/>
    <n v="5"/>
    <x v="1"/>
    <x v="2"/>
  </r>
  <r>
    <x v="590"/>
    <n v="-53.99"/>
    <x v="1202"/>
    <n v="14390.78"/>
    <s v="Complete Access"/>
    <x v="8"/>
    <x v="1"/>
    <x v="5"/>
    <d v="1900-01-27T00:00:00"/>
    <n v="4"/>
    <x v="1"/>
    <x v="2"/>
  </r>
  <r>
    <x v="590"/>
    <n v="-9.65"/>
    <x v="1203"/>
    <n v="14474.18"/>
    <s v="Complete Access"/>
    <x v="285"/>
    <x v="5"/>
    <x v="8"/>
    <d v="1900-01-27T00:00:00"/>
    <n v="4"/>
    <x v="1"/>
    <x v="2"/>
  </r>
  <r>
    <x v="590"/>
    <n v="-9.65"/>
    <x v="1204"/>
    <n v="14464.53"/>
    <s v="Complete Access"/>
    <x v="285"/>
    <x v="5"/>
    <x v="8"/>
    <d v="1900-01-27T00:00:00"/>
    <n v="4"/>
    <x v="1"/>
    <x v="2"/>
  </r>
  <r>
    <x v="590"/>
    <n v="-19.760000000000002"/>
    <x v="1205"/>
    <n v="14444.77"/>
    <s v="Complete Access"/>
    <x v="177"/>
    <x v="1"/>
    <x v="1"/>
    <d v="1900-01-27T00:00:00"/>
    <n v="4"/>
    <x v="1"/>
    <x v="2"/>
  </r>
  <r>
    <x v="590"/>
    <n v="-16.98"/>
    <x v="1206"/>
    <n v="14373.8"/>
    <s v="Complete Access"/>
    <x v="196"/>
    <x v="11"/>
    <x v="14"/>
    <d v="1900-01-27T00:00:00"/>
    <n v="4"/>
    <x v="1"/>
    <x v="2"/>
  </r>
  <r>
    <x v="590"/>
    <n v="-9"/>
    <x v="1207"/>
    <n v="14364.8"/>
    <s v="Complete Access"/>
    <x v="277"/>
    <x v="8"/>
    <x v="29"/>
    <d v="1900-01-27T00:00:00"/>
    <n v="4"/>
    <x v="1"/>
    <x v="2"/>
  </r>
  <r>
    <x v="591"/>
    <n v="-2.0499999999999998"/>
    <x v="1208"/>
    <n v="14486.02"/>
    <s v="Complete Access"/>
    <x v="188"/>
    <x v="1"/>
    <x v="1"/>
    <d v="1900-01-25T00:00:00"/>
    <n v="4"/>
    <x v="1"/>
    <x v="2"/>
  </r>
  <r>
    <x v="591"/>
    <n v="-2.19"/>
    <x v="1209"/>
    <n v="14483.83"/>
    <s v="Complete Access"/>
    <x v="77"/>
    <x v="4"/>
    <x v="27"/>
    <d v="1900-01-25T00:00:00"/>
    <n v="4"/>
    <x v="1"/>
    <x v="2"/>
  </r>
  <r>
    <x v="592"/>
    <n v="-10"/>
    <x v="1210"/>
    <n v="14534.37"/>
    <s v="Complete Access"/>
    <x v="361"/>
    <x v="8"/>
    <x v="22"/>
    <d v="1900-01-24T00:00:00"/>
    <n v="4"/>
    <x v="1"/>
    <x v="2"/>
  </r>
  <r>
    <x v="592"/>
    <n v="-20"/>
    <x v="681"/>
    <n v="14464.07"/>
    <s v="Complete Access"/>
    <x v="254"/>
    <x v="16"/>
    <x v="35"/>
    <d v="1900-01-24T00:00:00"/>
    <n v="4"/>
    <x v="1"/>
    <x v="2"/>
  </r>
  <r>
    <x v="592"/>
    <n v="-27.48"/>
    <x v="1211"/>
    <n v="14544.37"/>
    <s v="Complete Access"/>
    <x v="177"/>
    <x v="1"/>
    <x v="1"/>
    <d v="1900-01-24T00:00:00"/>
    <n v="4"/>
    <x v="1"/>
    <x v="2"/>
  </r>
  <r>
    <x v="592"/>
    <n v="24"/>
    <x v="1201"/>
    <n v="14488.07"/>
    <s v="Complete Access"/>
    <x v="36"/>
    <x v="0"/>
    <x v="0"/>
    <d v="1900-01-24T00:00:00"/>
    <n v="4"/>
    <x v="1"/>
    <x v="2"/>
  </r>
  <r>
    <x v="592"/>
    <n v="-50.3"/>
    <x v="1212"/>
    <n v="14484.07"/>
    <s v="Complete Access"/>
    <x v="1"/>
    <x v="1"/>
    <x v="1"/>
    <d v="1900-01-24T00:00:00"/>
    <n v="4"/>
    <x v="1"/>
    <x v="2"/>
  </r>
  <r>
    <x v="593"/>
    <n v="-9.65"/>
    <x v="1213"/>
    <n v="14730.25"/>
    <s v="Complete Access"/>
    <x v="285"/>
    <x v="5"/>
    <x v="8"/>
    <d v="1900-01-23T00:00:00"/>
    <n v="4"/>
    <x v="1"/>
    <x v="2"/>
  </r>
  <r>
    <x v="593"/>
    <n v="-19.82"/>
    <x v="1214"/>
    <n v="14754.31"/>
    <s v="Complete Access"/>
    <x v="362"/>
    <x v="1"/>
    <x v="5"/>
    <d v="1900-01-23T00:00:00"/>
    <n v="4"/>
    <x v="1"/>
    <x v="2"/>
  </r>
  <r>
    <x v="593"/>
    <n v="52.38"/>
    <x v="1215"/>
    <n v="14782.63"/>
    <s v="Complete Access"/>
    <x v="363"/>
    <x v="4"/>
    <x v="25"/>
    <d v="1900-01-23T00:00:00"/>
    <n v="4"/>
    <x v="1"/>
    <x v="2"/>
  </r>
  <r>
    <x v="593"/>
    <n v="-130.5"/>
    <x v="1216"/>
    <n v="14623.81"/>
    <s v="Complete Access"/>
    <x v="232"/>
    <x v="3"/>
    <x v="15"/>
    <d v="1900-01-23T00:00:00"/>
    <n v="4"/>
    <x v="1"/>
    <x v="2"/>
  </r>
  <r>
    <x v="593"/>
    <n v="-11"/>
    <x v="1217"/>
    <n v="14571.85"/>
    <s v="Complete Access"/>
    <x v="364"/>
    <x v="8"/>
    <x v="22"/>
    <d v="1900-01-23T00:00:00"/>
    <n v="4"/>
    <x v="1"/>
    <x v="2"/>
  </r>
  <r>
    <x v="593"/>
    <n v="-8.5"/>
    <x v="1218"/>
    <n v="14774.13"/>
    <s v="Complete Access"/>
    <x v="365"/>
    <x v="1"/>
    <x v="5"/>
    <d v="1900-01-23T00:00:00"/>
    <n v="4"/>
    <x v="1"/>
    <x v="2"/>
  </r>
  <r>
    <x v="593"/>
    <n v="-28.26"/>
    <x v="1219"/>
    <n v="14595.55"/>
    <s v="Complete Access"/>
    <x v="177"/>
    <x v="1"/>
    <x v="1"/>
    <d v="1900-01-23T00:00:00"/>
    <n v="4"/>
    <x v="1"/>
    <x v="2"/>
  </r>
  <r>
    <x v="593"/>
    <n v="-6.5"/>
    <x v="1220"/>
    <n v="14582.85"/>
    <s v="Complete Access"/>
    <x v="1"/>
    <x v="1"/>
    <x v="1"/>
    <d v="1900-01-23T00:00:00"/>
    <n v="4"/>
    <x v="1"/>
    <x v="2"/>
  </r>
  <r>
    <x v="593"/>
    <n v="-6.2"/>
    <x v="1221"/>
    <n v="14589.35"/>
    <s v="Complete Access"/>
    <x v="34"/>
    <x v="9"/>
    <x v="12"/>
    <d v="1900-01-23T00:00:00"/>
    <n v="4"/>
    <x v="1"/>
    <x v="2"/>
  </r>
  <r>
    <x v="594"/>
    <n v="-9"/>
    <x v="1222"/>
    <n v="14889.9"/>
    <s v="Complete Access"/>
    <x v="365"/>
    <x v="1"/>
    <x v="5"/>
    <d v="1900-01-20T00:00:00"/>
    <n v="3"/>
    <x v="1"/>
    <x v="2"/>
  </r>
  <r>
    <x v="594"/>
    <n v="-43.49"/>
    <x v="1223"/>
    <n v="14908.1"/>
    <s v="Complete Access"/>
    <x v="177"/>
    <x v="1"/>
    <x v="1"/>
    <d v="1900-01-20T00:00:00"/>
    <n v="3"/>
    <x v="1"/>
    <x v="2"/>
  </r>
  <r>
    <x v="594"/>
    <n v="-9.1999999999999993"/>
    <x v="1224"/>
    <n v="14898.9"/>
    <s v="Complete Access"/>
    <x v="277"/>
    <x v="8"/>
    <x v="29"/>
    <d v="1900-01-20T00:00:00"/>
    <n v="3"/>
    <x v="1"/>
    <x v="2"/>
  </r>
  <r>
    <x v="594"/>
    <n v="-150"/>
    <x v="1225"/>
    <n v="14739.9"/>
    <s v="Complete Access"/>
    <x v="0"/>
    <x v="0"/>
    <x v="0"/>
    <d v="1900-01-20T00:00:00"/>
    <n v="3"/>
    <x v="1"/>
    <x v="2"/>
  </r>
  <r>
    <x v="595"/>
    <n v="-9.65"/>
    <x v="1226"/>
    <n v="14971.59"/>
    <s v="Complete Access"/>
    <x v="285"/>
    <x v="5"/>
    <x v="8"/>
    <d v="1900-01-19T00:00:00"/>
    <n v="3"/>
    <x v="1"/>
    <x v="2"/>
  </r>
  <r>
    <x v="595"/>
    <n v="-20"/>
    <x v="1227"/>
    <n v="14951.59"/>
    <s v="Complete Access"/>
    <x v="366"/>
    <x v="8"/>
    <x v="29"/>
    <d v="1900-01-19T00:00:00"/>
    <n v="3"/>
    <x v="1"/>
    <x v="2"/>
  </r>
  <r>
    <x v="596"/>
    <n v="-500"/>
    <x v="656"/>
    <n v="14981.24"/>
    <s v="Complete Access"/>
    <x v="13"/>
    <x v="0"/>
    <x v="0"/>
    <d v="1900-01-18T00:00:00"/>
    <n v="3"/>
    <x v="1"/>
    <x v="2"/>
  </r>
  <r>
    <x v="596"/>
    <n v="-69"/>
    <x v="1228"/>
    <n v="15534.67"/>
    <s v="Complete Access"/>
    <x v="207"/>
    <x v="7"/>
    <x v="11"/>
    <d v="1900-01-18T00:00:00"/>
    <n v="3"/>
    <x v="1"/>
    <x v="2"/>
  </r>
  <r>
    <x v="596"/>
    <n v="2422.16"/>
    <x v="1229"/>
    <n v="15603.67"/>
    <s v="Complete Access"/>
    <x v="14"/>
    <x v="6"/>
    <x v="9"/>
    <d v="1900-01-18T00:00:00"/>
    <n v="3"/>
    <x v="1"/>
    <x v="2"/>
  </r>
  <r>
    <x v="596"/>
    <n v="-1.56"/>
    <x v="1230"/>
    <n v="15481.24"/>
    <s v="Complete Access"/>
    <x v="10"/>
    <x v="0"/>
    <x v="0"/>
    <d v="1900-01-18T00:00:00"/>
    <n v="3"/>
    <x v="1"/>
    <x v="2"/>
  </r>
  <r>
    <x v="596"/>
    <n v="-51.87"/>
    <x v="1231"/>
    <n v="15482.8"/>
    <s v="Complete Access"/>
    <x v="363"/>
    <x v="4"/>
    <x v="25"/>
    <d v="1900-01-18T00:00:00"/>
    <n v="3"/>
    <x v="1"/>
    <x v="2"/>
  </r>
  <r>
    <x v="597"/>
    <n v="-179.34"/>
    <x v="1232"/>
    <n v="13186.89"/>
    <s v="Complete Access"/>
    <x v="256"/>
    <x v="4"/>
    <x v="47"/>
    <d v="1900-01-17T00:00:00"/>
    <n v="3"/>
    <x v="1"/>
    <x v="2"/>
  </r>
  <r>
    <x v="597"/>
    <n v="-9.65"/>
    <x v="1233"/>
    <n v="13439.88"/>
    <s v="Complete Access"/>
    <x v="285"/>
    <x v="5"/>
    <x v="8"/>
    <d v="1900-01-17T00:00:00"/>
    <n v="3"/>
    <x v="1"/>
    <x v="2"/>
  </r>
  <r>
    <x v="597"/>
    <n v="16.45"/>
    <x v="1234"/>
    <n v="13456.33"/>
    <s v="Complete Access"/>
    <x v="367"/>
    <x v="4"/>
    <x v="7"/>
    <d v="1900-01-17T00:00:00"/>
    <n v="3"/>
    <x v="1"/>
    <x v="2"/>
  </r>
  <r>
    <x v="597"/>
    <n v="-8.1"/>
    <x v="1235"/>
    <n v="13448.23"/>
    <s v="Complete Access"/>
    <x v="358"/>
    <x v="1"/>
    <x v="5"/>
    <d v="1900-01-17T00:00:00"/>
    <n v="3"/>
    <x v="1"/>
    <x v="2"/>
  </r>
  <r>
    <x v="597"/>
    <n v="-5.38"/>
    <x v="1236"/>
    <n v="13181.51"/>
    <s v="Complete Access"/>
    <x v="10"/>
    <x v="0"/>
    <x v="0"/>
    <d v="1900-01-17T00:00:00"/>
    <n v="3"/>
    <x v="1"/>
    <x v="2"/>
  </r>
  <r>
    <x v="597"/>
    <n v="-82"/>
    <x v="1237"/>
    <n v="13366.23"/>
    <s v="Complete Access"/>
    <x v="368"/>
    <x v="8"/>
    <x v="22"/>
    <d v="1900-01-17T00:00:00"/>
    <n v="3"/>
    <x v="1"/>
    <x v="2"/>
  </r>
  <r>
    <x v="598"/>
    <n v="-24.97"/>
    <x v="1238"/>
    <n v="12759.44"/>
    <s v="Complete Access"/>
    <x v="8"/>
    <x v="1"/>
    <x v="5"/>
    <d v="1900-01-16T00:00:00"/>
    <n v="3"/>
    <x v="1"/>
    <x v="2"/>
  </r>
  <r>
    <x v="598"/>
    <n v="-13"/>
    <x v="18"/>
    <n v="13449.53"/>
    <s v="Complete Access"/>
    <x v="16"/>
    <x v="1"/>
    <x v="5"/>
    <d v="1900-01-16T00:00:00"/>
    <n v="3"/>
    <x v="1"/>
    <x v="2"/>
  </r>
  <r>
    <x v="598"/>
    <n v="-16"/>
    <x v="1239"/>
    <n v="12707.01"/>
    <s v="Complete Access"/>
    <x v="74"/>
    <x v="4"/>
    <x v="10"/>
    <d v="1900-01-16T00:00:00"/>
    <n v="3"/>
    <x v="1"/>
    <x v="2"/>
  </r>
  <r>
    <x v="598"/>
    <n v="-0.48"/>
    <x v="1240"/>
    <n v="12706.53"/>
    <s v="Complete Access"/>
    <x v="10"/>
    <x v="0"/>
    <x v="0"/>
    <d v="1900-01-16T00:00:00"/>
    <n v="3"/>
    <x v="1"/>
    <x v="2"/>
  </r>
  <r>
    <x v="598"/>
    <n v="-17"/>
    <x v="1241"/>
    <n v="12844.28"/>
    <s v="Complete Access"/>
    <x v="177"/>
    <x v="1"/>
    <x v="1"/>
    <d v="1900-01-16T00:00:00"/>
    <n v="3"/>
    <x v="1"/>
    <x v="2"/>
  </r>
  <r>
    <x v="598"/>
    <n v="655"/>
    <x v="1242"/>
    <n v="13361.53"/>
    <s v="Complete Access"/>
    <x v="257"/>
    <x v="0"/>
    <x v="0"/>
    <d v="1900-01-16T00:00:00"/>
    <n v="3"/>
    <x v="1"/>
    <x v="2"/>
  </r>
  <r>
    <x v="598"/>
    <n v="101"/>
    <x v="1243"/>
    <n v="13462.53"/>
    <s v="Complete Access"/>
    <x v="257"/>
    <x v="0"/>
    <x v="0"/>
    <d v="1900-01-16T00:00:00"/>
    <n v="3"/>
    <x v="1"/>
    <x v="2"/>
  </r>
  <r>
    <x v="598"/>
    <n v="-59.87"/>
    <x v="1244"/>
    <n v="12784.41"/>
    <s v="Complete Access"/>
    <x v="1"/>
    <x v="1"/>
    <x v="1"/>
    <d v="1900-01-16T00:00:00"/>
    <n v="3"/>
    <x v="1"/>
    <x v="2"/>
  </r>
  <r>
    <x v="598"/>
    <n v="-36.43"/>
    <x v="1245"/>
    <n v="12723.01"/>
    <s v="Complete Access"/>
    <x v="34"/>
    <x v="9"/>
    <x v="12"/>
    <d v="1900-01-16T00:00:00"/>
    <n v="3"/>
    <x v="1"/>
    <x v="2"/>
  </r>
  <r>
    <x v="599"/>
    <n v="-60"/>
    <x v="1246"/>
    <n v="12861.28"/>
    <s v="Complete Access"/>
    <x v="369"/>
    <x v="20"/>
    <x v="63"/>
    <d v="1900-01-15T00:00:00"/>
    <n v="3"/>
    <x v="1"/>
    <x v="2"/>
  </r>
  <r>
    <x v="600"/>
    <n v="-12"/>
    <x v="1247"/>
    <n v="12921.28"/>
    <s v="Complete Access"/>
    <x v="370"/>
    <x v="20"/>
    <x v="63"/>
    <d v="1900-01-13T00:00:00"/>
    <n v="2"/>
    <x v="1"/>
    <x v="2"/>
  </r>
  <r>
    <x v="601"/>
    <n v="-29.16"/>
    <x v="1248"/>
    <n v="12934.15"/>
    <s v="Complete Access"/>
    <x v="74"/>
    <x v="4"/>
    <x v="10"/>
    <d v="1900-01-12T00:00:00"/>
    <n v="2"/>
    <x v="1"/>
    <x v="2"/>
  </r>
  <r>
    <x v="601"/>
    <n v="-0.87"/>
    <x v="1249"/>
    <n v="12933.28"/>
    <s v="Complete Access"/>
    <x v="10"/>
    <x v="0"/>
    <x v="0"/>
    <d v="1900-01-12T00:00:00"/>
    <n v="2"/>
    <x v="1"/>
    <x v="2"/>
  </r>
  <r>
    <x v="601"/>
    <n v="-12.14"/>
    <x v="1250"/>
    <n v="12963.31"/>
    <s v="Complete Access"/>
    <x v="215"/>
    <x v="1"/>
    <x v="1"/>
    <d v="1900-01-12T00:00:00"/>
    <n v="2"/>
    <x v="1"/>
    <x v="2"/>
  </r>
  <r>
    <x v="601"/>
    <n v="-16.78"/>
    <x v="1251"/>
    <n v="12975.45"/>
    <s v="Complete Access"/>
    <x v="177"/>
    <x v="1"/>
    <x v="1"/>
    <d v="1900-01-12T00:00:00"/>
    <n v="2"/>
    <x v="1"/>
    <x v="2"/>
  </r>
  <r>
    <x v="602"/>
    <n v="-16.45"/>
    <x v="1252"/>
    <n v="12992.23"/>
    <s v="Complete Access"/>
    <x v="367"/>
    <x v="4"/>
    <x v="7"/>
    <d v="1900-01-11T00:00:00"/>
    <n v="2"/>
    <x v="1"/>
    <x v="2"/>
  </r>
  <r>
    <x v="603"/>
    <n v="-20.86"/>
    <x v="1253"/>
    <n v="13097.05"/>
    <s v="Complete Access"/>
    <x v="8"/>
    <x v="1"/>
    <x v="5"/>
    <d v="1900-01-09T00:00:00"/>
    <n v="2"/>
    <x v="1"/>
    <x v="2"/>
  </r>
  <r>
    <x v="603"/>
    <n v="-5.94"/>
    <x v="1254"/>
    <n v="13008.86"/>
    <s v="Complete Access"/>
    <x v="74"/>
    <x v="4"/>
    <x v="10"/>
    <d v="1900-01-09T00:00:00"/>
    <n v="2"/>
    <x v="1"/>
    <x v="2"/>
  </r>
  <r>
    <x v="603"/>
    <n v="-5.94"/>
    <x v="1254"/>
    <n v="13014.98"/>
    <s v="Complete Access"/>
    <x v="74"/>
    <x v="4"/>
    <x v="10"/>
    <d v="1900-01-09T00:00:00"/>
    <n v="2"/>
    <x v="1"/>
    <x v="2"/>
  </r>
  <r>
    <x v="603"/>
    <n v="-0.18"/>
    <x v="1255"/>
    <n v="13008.68"/>
    <s v="Complete Access"/>
    <x v="10"/>
    <x v="0"/>
    <x v="0"/>
    <d v="1900-01-09T00:00:00"/>
    <n v="2"/>
    <x v="1"/>
    <x v="2"/>
  </r>
  <r>
    <x v="603"/>
    <n v="-0.18"/>
    <x v="1256"/>
    <n v="13014.8"/>
    <s v="Complete Access"/>
    <x v="10"/>
    <x v="0"/>
    <x v="0"/>
    <d v="1900-01-09T00:00:00"/>
    <n v="2"/>
    <x v="1"/>
    <x v="2"/>
  </r>
  <r>
    <x v="603"/>
    <n v="-76.13"/>
    <x v="1257"/>
    <n v="13020.92"/>
    <s v="Complete Access"/>
    <x v="371"/>
    <x v="1"/>
    <x v="5"/>
    <d v="1900-01-09T00:00:00"/>
    <n v="2"/>
    <x v="1"/>
    <x v="2"/>
  </r>
  <r>
    <x v="604"/>
    <n v="-22.42"/>
    <x v="1258"/>
    <n v="13149.91"/>
    <s v="Complete Access"/>
    <x v="8"/>
    <x v="1"/>
    <x v="5"/>
    <d v="1900-01-06T00:00:00"/>
    <n v="1"/>
    <x v="1"/>
    <x v="2"/>
  </r>
  <r>
    <x v="604"/>
    <n v="-32"/>
    <x v="1259"/>
    <n v="13117.91"/>
    <s v="Complete Access"/>
    <x v="372"/>
    <x v="20"/>
    <x v="63"/>
    <d v="1900-01-06T00:00:00"/>
    <n v="1"/>
    <x v="1"/>
    <x v="2"/>
  </r>
  <r>
    <x v="604"/>
    <n v="22.99"/>
    <x v="1260"/>
    <n v="13172.33"/>
    <s v="Complete Access"/>
    <x v="373"/>
    <x v="8"/>
    <x v="7"/>
    <d v="1900-01-06T00:00:00"/>
    <n v="1"/>
    <x v="1"/>
    <x v="2"/>
  </r>
  <r>
    <x v="604"/>
    <n v="22.99"/>
    <x v="1261"/>
    <n v="13149.34"/>
    <s v="Complete Access"/>
    <x v="373"/>
    <x v="8"/>
    <x v="7"/>
    <d v="1900-01-06T00:00:00"/>
    <n v="1"/>
    <x v="1"/>
    <x v="2"/>
  </r>
  <r>
    <x v="605"/>
    <n v="-22.99"/>
    <x v="1262"/>
    <n v="13188.35"/>
    <s v="Complete Access"/>
    <x v="373"/>
    <x v="8"/>
    <x v="7"/>
    <d v="1900-01-05T00:00:00"/>
    <n v="1"/>
    <x v="1"/>
    <x v="2"/>
  </r>
  <r>
    <x v="605"/>
    <n v="-12"/>
    <x v="1263"/>
    <n v="13126.35"/>
    <s v="Complete Access"/>
    <x v="374"/>
    <x v="8"/>
    <x v="29"/>
    <d v="1900-01-05T00:00:00"/>
    <n v="1"/>
    <x v="1"/>
    <x v="2"/>
  </r>
  <r>
    <x v="605"/>
    <n v="-50"/>
    <x v="1264"/>
    <n v="13138.35"/>
    <s v="Complete Access"/>
    <x v="265"/>
    <x v="8"/>
    <x v="22"/>
    <d v="1900-01-05T00:00:00"/>
    <n v="1"/>
    <x v="1"/>
    <x v="2"/>
  </r>
  <r>
    <x v="606"/>
    <n v="-500"/>
    <x v="656"/>
    <n v="13261.21"/>
    <s v="Complete Access"/>
    <x v="13"/>
    <x v="0"/>
    <x v="0"/>
    <d v="1900-01-04T00:00:00"/>
    <n v="1"/>
    <x v="1"/>
    <x v="2"/>
  </r>
  <r>
    <x v="606"/>
    <n v="2422.16"/>
    <x v="1265"/>
    <n v="13761.21"/>
    <s v="Complete Access"/>
    <x v="14"/>
    <x v="6"/>
    <x v="9"/>
    <d v="1900-01-04T00:00:00"/>
    <n v="1"/>
    <x v="1"/>
    <x v="2"/>
  </r>
  <r>
    <x v="606"/>
    <n v="-49.87"/>
    <x v="1266"/>
    <n v="13211.34"/>
    <s v="Complete Access"/>
    <x v="1"/>
    <x v="1"/>
    <x v="1"/>
    <d v="1900-01-04T00:00:00"/>
    <n v="1"/>
    <x v="1"/>
    <x v="2"/>
  </r>
  <r>
    <x v="607"/>
    <n v="-35.74"/>
    <x v="1267"/>
    <n v="11810.63"/>
    <s v="Complete Access"/>
    <x v="8"/>
    <x v="1"/>
    <x v="5"/>
    <d v="1900-01-03T00:00:00"/>
    <n v="1"/>
    <x v="1"/>
    <x v="2"/>
  </r>
  <r>
    <x v="607"/>
    <n v="-26.3"/>
    <x v="1268"/>
    <n v="11784.33"/>
    <s v="Complete Access"/>
    <x v="8"/>
    <x v="1"/>
    <x v="5"/>
    <d v="1900-01-03T00:00:00"/>
    <n v="1"/>
    <x v="1"/>
    <x v="2"/>
  </r>
  <r>
    <x v="607"/>
    <n v="-23.19"/>
    <x v="1269"/>
    <n v="11339.05"/>
    <s v="Complete Access"/>
    <x v="8"/>
    <x v="1"/>
    <x v="5"/>
    <d v="1900-01-03T00:00:00"/>
    <n v="1"/>
    <x v="1"/>
    <x v="2"/>
  </r>
  <r>
    <x v="607"/>
    <n v="-89"/>
    <x v="1270"/>
    <n v="11693.14"/>
    <s v="Complete Access"/>
    <x v="289"/>
    <x v="3"/>
    <x v="15"/>
    <d v="1900-01-03T00:00:00"/>
    <n v="1"/>
    <x v="1"/>
    <x v="2"/>
  </r>
  <r>
    <x v="607"/>
    <n v="-18.7"/>
    <x v="1271"/>
    <n v="11873.18"/>
    <s v="Complete Access"/>
    <x v="329"/>
    <x v="4"/>
    <x v="7"/>
    <d v="1900-01-03T00:00:00"/>
    <n v="1"/>
    <x v="1"/>
    <x v="2"/>
  </r>
  <r>
    <x v="607"/>
    <n v="-12.17"/>
    <x v="1272"/>
    <n v="11362.24"/>
    <s v="Complete Access"/>
    <x v="215"/>
    <x v="1"/>
    <x v="1"/>
    <d v="1900-01-03T00:00:00"/>
    <n v="1"/>
    <x v="1"/>
    <x v="2"/>
  </r>
  <r>
    <x v="607"/>
    <n v="-237.6"/>
    <x v="1273"/>
    <n v="11455.54"/>
    <s v="Complete Access"/>
    <x v="375"/>
    <x v="3"/>
    <x v="15"/>
    <d v="1900-01-03T00:00:00"/>
    <n v="1"/>
    <x v="1"/>
    <x v="2"/>
  </r>
  <r>
    <x v="607"/>
    <n v="-46.16"/>
    <x v="1274"/>
    <n v="11374.41"/>
    <s v="Complete Access"/>
    <x v="177"/>
    <x v="1"/>
    <x v="1"/>
    <d v="1900-01-03T00:00:00"/>
    <n v="1"/>
    <x v="1"/>
    <x v="2"/>
  </r>
  <r>
    <x v="607"/>
    <n v="-26.81"/>
    <x v="1275"/>
    <n v="11846.37"/>
    <s v="Complete Access"/>
    <x v="1"/>
    <x v="1"/>
    <x v="1"/>
    <d v="1900-01-03T00:00:00"/>
    <n v="1"/>
    <x v="1"/>
    <x v="2"/>
  </r>
  <r>
    <x v="607"/>
    <n v="-2.19"/>
    <x v="1276"/>
    <n v="11782.14"/>
    <s v="Complete Access"/>
    <x v="77"/>
    <x v="4"/>
    <x v="27"/>
    <d v="1900-01-03T00:00:00"/>
    <n v="1"/>
    <x v="1"/>
    <x v="2"/>
  </r>
  <r>
    <x v="607"/>
    <n v="-34.97"/>
    <x v="1277"/>
    <n v="11420.57"/>
    <s v="Complete Access"/>
    <x v="376"/>
    <x v="3"/>
    <x v="15"/>
    <d v="1900-01-03T00:00:00"/>
    <n v="1"/>
    <x v="1"/>
    <x v="2"/>
  </r>
  <r>
    <x v="608"/>
    <n v="-18"/>
    <x v="1278"/>
    <n v="12078.58"/>
    <s v="Complete Access"/>
    <x v="377"/>
    <x v="8"/>
    <x v="29"/>
    <d v="1900-01-02T00:00:00"/>
    <n v="1"/>
    <x v="1"/>
    <x v="2"/>
  </r>
  <r>
    <x v="608"/>
    <n v="-22.8"/>
    <x v="1278"/>
    <n v="12096.58"/>
    <s v="Complete Access"/>
    <x v="377"/>
    <x v="8"/>
    <x v="29"/>
    <d v="1900-01-02T00:00:00"/>
    <n v="1"/>
    <x v="1"/>
    <x v="2"/>
  </r>
  <r>
    <x v="608"/>
    <n v="-186.7"/>
    <x v="1279"/>
    <n v="11891.88"/>
    <s v="Complete Access"/>
    <x v="76"/>
    <x v="2"/>
    <x v="2"/>
    <d v="1900-01-02T00:00:00"/>
    <n v="1"/>
    <x v="1"/>
    <x v="2"/>
  </r>
  <r>
    <x v="609"/>
    <n v="3.31"/>
    <x v="609"/>
    <n v="2640.85"/>
    <s v="Netbank Saver"/>
    <x v="240"/>
    <x v="0"/>
    <x v="55"/>
    <d v="1899-12-31T00:00:00"/>
    <n v="1"/>
    <x v="1"/>
    <x v="2"/>
  </r>
  <r>
    <x v="610"/>
    <n v="-26.3"/>
    <x v="1269"/>
    <n v="12205.98"/>
    <s v="Complete Access"/>
    <x v="8"/>
    <x v="1"/>
    <x v="5"/>
    <d v="1900-01-30T00:00:00"/>
    <n v="53"/>
    <x v="2"/>
    <x v="3"/>
  </r>
  <r>
    <x v="610"/>
    <n v="-38.619999999999997"/>
    <x v="1280"/>
    <n v="12167.36"/>
    <s v="Complete Access"/>
    <x v="8"/>
    <x v="1"/>
    <x v="5"/>
    <d v="1900-01-30T00:00:00"/>
    <n v="53"/>
    <x v="2"/>
    <x v="3"/>
  </r>
  <r>
    <x v="610"/>
    <n v="-22.99"/>
    <x v="1281"/>
    <n v="12144.37"/>
    <s v="Complete Access"/>
    <x v="373"/>
    <x v="8"/>
    <x v="7"/>
    <d v="1900-01-30T00:00:00"/>
    <n v="53"/>
    <x v="2"/>
    <x v="3"/>
  </r>
  <r>
    <x v="610"/>
    <n v="-24.99"/>
    <x v="969"/>
    <n v="12119.38"/>
    <s v="Complete Access"/>
    <x v="177"/>
    <x v="1"/>
    <x v="1"/>
    <d v="1900-01-30T00:00:00"/>
    <n v="53"/>
    <x v="2"/>
    <x v="3"/>
  </r>
  <r>
    <x v="611"/>
    <n v="22.99"/>
    <x v="1282"/>
    <n v="12232.28"/>
    <s v="Complete Access"/>
    <x v="373"/>
    <x v="8"/>
    <x v="7"/>
    <d v="1900-01-29T00:00:00"/>
    <n v="53"/>
    <x v="2"/>
    <x v="3"/>
  </r>
  <r>
    <x v="612"/>
    <n v="-22.44"/>
    <x v="1283"/>
    <n v="12707.71"/>
    <s v="Complete Access"/>
    <x v="378"/>
    <x v="4"/>
    <x v="25"/>
    <d v="1900-01-28T00:00:00"/>
    <n v="53"/>
    <x v="2"/>
    <x v="3"/>
  </r>
  <r>
    <x v="612"/>
    <n v="-73.7"/>
    <x v="1284"/>
    <n v="12305.02"/>
    <s v="Complete Access"/>
    <x v="256"/>
    <x v="4"/>
    <x v="47"/>
    <d v="1900-01-28T00:00:00"/>
    <n v="53"/>
    <x v="2"/>
    <x v="3"/>
  </r>
  <r>
    <x v="612"/>
    <n v="-28.19"/>
    <x v="1285"/>
    <n v="12384.71"/>
    <s v="Complete Access"/>
    <x v="8"/>
    <x v="1"/>
    <x v="5"/>
    <d v="1900-01-28T00:00:00"/>
    <n v="53"/>
    <x v="2"/>
    <x v="3"/>
  </r>
  <r>
    <x v="612"/>
    <n v="-23.19"/>
    <x v="1286"/>
    <n v="12226.47"/>
    <s v="Complete Access"/>
    <x v="8"/>
    <x v="1"/>
    <x v="5"/>
    <d v="1900-01-28T00:00:00"/>
    <n v="53"/>
    <x v="2"/>
    <x v="3"/>
  </r>
  <r>
    <x v="612"/>
    <n v="-6"/>
    <x v="1287"/>
    <n v="12220.47"/>
    <s v="Complete Access"/>
    <x v="74"/>
    <x v="4"/>
    <x v="10"/>
    <d v="1900-01-28T00:00:00"/>
    <n v="53"/>
    <x v="2"/>
    <x v="3"/>
  </r>
  <r>
    <x v="612"/>
    <n v="-43"/>
    <x v="1288"/>
    <n v="12249.66"/>
    <s v="Complete Access"/>
    <x v="35"/>
    <x v="1"/>
    <x v="23"/>
    <d v="1900-01-28T00:00:00"/>
    <n v="53"/>
    <x v="2"/>
    <x v="3"/>
  </r>
  <r>
    <x v="612"/>
    <n v="-0.67"/>
    <x v="1289"/>
    <n v="12707.04"/>
    <s v="Complete Access"/>
    <x v="10"/>
    <x v="0"/>
    <x v="0"/>
    <d v="1900-01-28T00:00:00"/>
    <n v="53"/>
    <x v="2"/>
    <x v="3"/>
  </r>
  <r>
    <x v="612"/>
    <n v="-2.21"/>
    <x v="1290"/>
    <n v="12302.81"/>
    <s v="Complete Access"/>
    <x v="10"/>
    <x v="0"/>
    <x v="0"/>
    <d v="1900-01-28T00:00:00"/>
    <n v="53"/>
    <x v="2"/>
    <x v="3"/>
  </r>
  <r>
    <x v="612"/>
    <n v="-0.18"/>
    <x v="1291"/>
    <n v="12220.29"/>
    <s v="Complete Access"/>
    <x v="10"/>
    <x v="0"/>
    <x v="0"/>
    <d v="1900-01-28T00:00:00"/>
    <n v="53"/>
    <x v="2"/>
    <x v="3"/>
  </r>
  <r>
    <x v="612"/>
    <n v="-294.14"/>
    <x v="1292"/>
    <n v="12412.9"/>
    <s v="Complete Access"/>
    <x v="379"/>
    <x v="4"/>
    <x v="47"/>
    <d v="1900-01-28T00:00:00"/>
    <n v="53"/>
    <x v="2"/>
    <x v="3"/>
  </r>
  <r>
    <x v="612"/>
    <n v="-5.99"/>
    <x v="1293"/>
    <n v="12378.72"/>
    <s v="Complete Access"/>
    <x v="222"/>
    <x v="11"/>
    <x v="14"/>
    <d v="1900-01-28T00:00:00"/>
    <n v="53"/>
    <x v="2"/>
    <x v="3"/>
  </r>
  <r>
    <x v="612"/>
    <n v="-10.15"/>
    <x v="1294"/>
    <n v="12292.66"/>
    <s v="Complete Access"/>
    <x v="1"/>
    <x v="1"/>
    <x v="1"/>
    <d v="1900-01-28T00:00:00"/>
    <n v="53"/>
    <x v="2"/>
    <x v="3"/>
  </r>
  <r>
    <x v="612"/>
    <n v="-11"/>
    <x v="1157"/>
    <n v="12209.29"/>
    <s v="Complete Access"/>
    <x v="0"/>
    <x v="0"/>
    <x v="0"/>
    <d v="1900-01-28T00:00:00"/>
    <n v="53"/>
    <x v="2"/>
    <x v="3"/>
  </r>
  <r>
    <x v="613"/>
    <n v="-14.3"/>
    <x v="1295"/>
    <n v="12730.15"/>
    <s v="Complete Access"/>
    <x v="0"/>
    <x v="0"/>
    <x v="0"/>
    <d v="1900-01-27T00:00:00"/>
    <n v="53"/>
    <x v="2"/>
    <x v="3"/>
  </r>
  <r>
    <x v="614"/>
    <n v="-34.630000000000003"/>
    <x v="1286"/>
    <n v="12751.45"/>
    <s v="Complete Access"/>
    <x v="8"/>
    <x v="1"/>
    <x v="5"/>
    <d v="1900-01-23T00:00:00"/>
    <n v="52"/>
    <x v="2"/>
    <x v="3"/>
  </r>
  <r>
    <x v="614"/>
    <n v="-7"/>
    <x v="1222"/>
    <n v="12744.45"/>
    <s v="Complete Access"/>
    <x v="365"/>
    <x v="1"/>
    <x v="5"/>
    <d v="1900-01-23T00:00:00"/>
    <n v="52"/>
    <x v="2"/>
    <x v="3"/>
  </r>
  <r>
    <x v="615"/>
    <n v="-150"/>
    <x v="782"/>
    <n v="12786.08"/>
    <s v="Complete Access"/>
    <x v="130"/>
    <x v="0"/>
    <x v="0"/>
    <d v="1900-01-22T00:00:00"/>
    <n v="52"/>
    <x v="2"/>
    <x v="3"/>
  </r>
  <r>
    <x v="615"/>
    <n v="-26.3"/>
    <x v="1296"/>
    <n v="12936.08"/>
    <s v="Complete Access"/>
    <x v="8"/>
    <x v="1"/>
    <x v="5"/>
    <d v="1900-01-22T00:00:00"/>
    <n v="52"/>
    <x v="2"/>
    <x v="3"/>
  </r>
  <r>
    <x v="616"/>
    <n v="-500"/>
    <x v="656"/>
    <n v="12985.62"/>
    <s v="Complete Access"/>
    <x v="13"/>
    <x v="0"/>
    <x v="0"/>
    <d v="1900-01-21T00:00:00"/>
    <n v="52"/>
    <x v="2"/>
    <x v="3"/>
  </r>
  <r>
    <x v="616"/>
    <n v="2422.16"/>
    <x v="1297"/>
    <n v="13485.62"/>
    <s v="Complete Access"/>
    <x v="14"/>
    <x v="6"/>
    <x v="9"/>
    <d v="1900-01-21T00:00:00"/>
    <n v="52"/>
    <x v="2"/>
    <x v="3"/>
  </r>
  <r>
    <x v="616"/>
    <n v="-23.24"/>
    <x v="1298"/>
    <n v="12962.38"/>
    <s v="Complete Access"/>
    <x v="304"/>
    <x v="1"/>
    <x v="5"/>
    <d v="1900-01-21T00:00:00"/>
    <n v="52"/>
    <x v="2"/>
    <x v="3"/>
  </r>
  <r>
    <x v="617"/>
    <n v="-26.3"/>
    <x v="1299"/>
    <n v="11115.51"/>
    <s v="Complete Access"/>
    <x v="8"/>
    <x v="1"/>
    <x v="5"/>
    <d v="1900-01-20T00:00:00"/>
    <n v="52"/>
    <x v="2"/>
    <x v="3"/>
  </r>
  <r>
    <x v="617"/>
    <n v="-38.049999999999997"/>
    <x v="1300"/>
    <n v="11063.46"/>
    <s v="Complete Access"/>
    <x v="380"/>
    <x v="8"/>
    <x v="22"/>
    <d v="1900-01-20T00:00:00"/>
    <n v="52"/>
    <x v="2"/>
    <x v="3"/>
  </r>
  <r>
    <x v="617"/>
    <n v="-14"/>
    <x v="1301"/>
    <n v="11101.51"/>
    <s v="Complete Access"/>
    <x v="34"/>
    <x v="9"/>
    <x v="12"/>
    <d v="1900-01-20T00:00:00"/>
    <n v="52"/>
    <x v="2"/>
    <x v="3"/>
  </r>
  <r>
    <x v="618"/>
    <n v="-24.08"/>
    <x v="1302"/>
    <n v="11166.96"/>
    <s v="Complete Access"/>
    <x v="8"/>
    <x v="1"/>
    <x v="5"/>
    <d v="1900-01-19T00:00:00"/>
    <n v="52"/>
    <x v="2"/>
    <x v="3"/>
  </r>
  <r>
    <x v="618"/>
    <n v="-35.74"/>
    <x v="1303"/>
    <n v="11191.04"/>
    <s v="Complete Access"/>
    <x v="8"/>
    <x v="1"/>
    <x v="5"/>
    <d v="1900-01-19T00:00:00"/>
    <n v="52"/>
    <x v="2"/>
    <x v="3"/>
  </r>
  <r>
    <x v="618"/>
    <n v="-16.649999999999999"/>
    <x v="1304"/>
    <n v="11150.31"/>
    <s v="Complete Access"/>
    <x v="351"/>
    <x v="1"/>
    <x v="5"/>
    <d v="1900-01-19T00:00:00"/>
    <n v="52"/>
    <x v="2"/>
    <x v="3"/>
  </r>
  <r>
    <x v="618"/>
    <n v="-8.5"/>
    <x v="1305"/>
    <n v="11141.81"/>
    <s v="Complete Access"/>
    <x v="365"/>
    <x v="1"/>
    <x v="5"/>
    <d v="1900-01-19T00:00:00"/>
    <n v="52"/>
    <x v="2"/>
    <x v="3"/>
  </r>
  <r>
    <x v="619"/>
    <n v="-13.5"/>
    <x v="1306"/>
    <n v="11281.78"/>
    <s v="Complete Access"/>
    <x v="381"/>
    <x v="1"/>
    <x v="1"/>
    <d v="1900-01-17T00:00:00"/>
    <n v="52"/>
    <x v="2"/>
    <x v="3"/>
  </r>
  <r>
    <x v="619"/>
    <n v="-55"/>
    <x v="1307"/>
    <n v="11226.78"/>
    <s v="Complete Access"/>
    <x v="205"/>
    <x v="11"/>
    <x v="49"/>
    <d v="1900-01-17T00:00:00"/>
    <n v="52"/>
    <x v="2"/>
    <x v="3"/>
  </r>
  <r>
    <x v="620"/>
    <n v="-69"/>
    <x v="1308"/>
    <n v="11295.28"/>
    <s v="Complete Access"/>
    <x v="207"/>
    <x v="7"/>
    <x v="11"/>
    <d v="1900-01-16T00:00:00"/>
    <n v="51"/>
    <x v="2"/>
    <x v="3"/>
  </r>
  <r>
    <x v="620"/>
    <n v="-6.2"/>
    <x v="1309"/>
    <n v="11364.28"/>
    <s v="Complete Access"/>
    <x v="215"/>
    <x v="1"/>
    <x v="1"/>
    <d v="1900-01-16T00:00:00"/>
    <n v="51"/>
    <x v="2"/>
    <x v="3"/>
  </r>
  <r>
    <x v="621"/>
    <n v="-6.54"/>
    <x v="1310"/>
    <n v="11382.88"/>
    <s v="Complete Access"/>
    <x v="285"/>
    <x v="5"/>
    <x v="8"/>
    <d v="1900-01-15T00:00:00"/>
    <n v="51"/>
    <x v="2"/>
    <x v="3"/>
  </r>
  <r>
    <x v="621"/>
    <n v="-12.4"/>
    <x v="1311"/>
    <n v="11370.48"/>
    <s v="Complete Access"/>
    <x v="297"/>
    <x v="1"/>
    <x v="5"/>
    <d v="1900-01-15T00:00:00"/>
    <n v="51"/>
    <x v="2"/>
    <x v="3"/>
  </r>
  <r>
    <x v="622"/>
    <n v="-690"/>
    <x v="1312"/>
    <n v="11389.42"/>
    <s v="Complete Access"/>
    <x v="0"/>
    <x v="0"/>
    <x v="0"/>
    <d v="1900-01-14T00:00:00"/>
    <n v="51"/>
    <x v="2"/>
    <x v="3"/>
  </r>
  <r>
    <x v="622"/>
    <n v="-43.68"/>
    <x v="1313"/>
    <n v="12080.73"/>
    <s v="Complete Access"/>
    <x v="74"/>
    <x v="4"/>
    <x v="10"/>
    <d v="1900-01-14T00:00:00"/>
    <n v="51"/>
    <x v="2"/>
    <x v="3"/>
  </r>
  <r>
    <x v="622"/>
    <n v="-1.31"/>
    <x v="1314"/>
    <n v="12079.42"/>
    <s v="Complete Access"/>
    <x v="10"/>
    <x v="0"/>
    <x v="0"/>
    <d v="1900-01-14T00:00:00"/>
    <n v="51"/>
    <x v="2"/>
    <x v="3"/>
  </r>
  <r>
    <x v="622"/>
    <n v="-1.99"/>
    <x v="1315"/>
    <n v="12187.54"/>
    <s v="Complete Access"/>
    <x v="177"/>
    <x v="1"/>
    <x v="1"/>
    <d v="1900-01-14T00:00:00"/>
    <n v="51"/>
    <x v="2"/>
    <x v="3"/>
  </r>
  <r>
    <x v="622"/>
    <n v="-36.130000000000003"/>
    <x v="1316"/>
    <n v="12151.41"/>
    <s v="Complete Access"/>
    <x v="304"/>
    <x v="1"/>
    <x v="5"/>
    <d v="1900-01-14T00:00:00"/>
    <n v="51"/>
    <x v="2"/>
    <x v="3"/>
  </r>
  <r>
    <x v="622"/>
    <n v="-26"/>
    <x v="1317"/>
    <n v="12125.41"/>
    <s v="Complete Access"/>
    <x v="243"/>
    <x v="1"/>
    <x v="23"/>
    <d v="1900-01-14T00:00:00"/>
    <n v="51"/>
    <x v="2"/>
    <x v="3"/>
  </r>
  <r>
    <x v="622"/>
    <n v="-1"/>
    <x v="1318"/>
    <n v="12124.41"/>
    <s v="Complete Access"/>
    <x v="34"/>
    <x v="9"/>
    <x v="12"/>
    <d v="1900-01-14T00:00:00"/>
    <n v="51"/>
    <x v="2"/>
    <x v="3"/>
  </r>
  <r>
    <x v="623"/>
    <n v="-8.4700000000000006"/>
    <x v="1319"/>
    <n v="12213.98"/>
    <s v="Complete Access"/>
    <x v="285"/>
    <x v="5"/>
    <x v="8"/>
    <d v="1900-01-13T00:00:00"/>
    <n v="51"/>
    <x v="2"/>
    <x v="3"/>
  </r>
  <r>
    <x v="623"/>
    <n v="-9.4499999999999993"/>
    <x v="1320"/>
    <n v="12204.53"/>
    <s v="Complete Access"/>
    <x v="237"/>
    <x v="15"/>
    <x v="34"/>
    <d v="1900-01-13T00:00:00"/>
    <n v="51"/>
    <x v="2"/>
    <x v="3"/>
  </r>
  <r>
    <x v="623"/>
    <n v="-15"/>
    <x v="1321"/>
    <n v="12189.53"/>
    <s v="Complete Access"/>
    <x v="277"/>
    <x v="8"/>
    <x v="29"/>
    <d v="1900-01-13T00:00:00"/>
    <n v="51"/>
    <x v="2"/>
    <x v="3"/>
  </r>
  <r>
    <x v="624"/>
    <n v="-20.32"/>
    <x v="1322"/>
    <n v="12384.3"/>
    <s v="Complete Access"/>
    <x v="8"/>
    <x v="1"/>
    <x v="5"/>
    <d v="1900-01-12T00:00:00"/>
    <n v="51"/>
    <x v="2"/>
    <x v="3"/>
  </r>
  <r>
    <x v="624"/>
    <n v="-2.2400000000000002"/>
    <x v="1323"/>
    <n v="12414.27"/>
    <s v="Complete Access"/>
    <x v="285"/>
    <x v="5"/>
    <x v="8"/>
    <d v="1900-01-12T00:00:00"/>
    <n v="51"/>
    <x v="2"/>
    <x v="3"/>
  </r>
  <r>
    <x v="624"/>
    <n v="-9.65"/>
    <x v="1324"/>
    <n v="12404.62"/>
    <s v="Complete Access"/>
    <x v="285"/>
    <x v="5"/>
    <x v="8"/>
    <d v="1900-01-12T00:00:00"/>
    <n v="51"/>
    <x v="2"/>
    <x v="3"/>
  </r>
  <r>
    <x v="624"/>
    <n v="-12.2"/>
    <x v="1325"/>
    <n v="12372.1"/>
    <s v="Complete Access"/>
    <x v="297"/>
    <x v="1"/>
    <x v="5"/>
    <d v="1900-01-12T00:00:00"/>
    <n v="51"/>
    <x v="2"/>
    <x v="3"/>
  </r>
  <r>
    <x v="624"/>
    <n v="-42.9"/>
    <x v="1326"/>
    <n v="12230.5"/>
    <s v="Complete Access"/>
    <x v="329"/>
    <x v="4"/>
    <x v="7"/>
    <d v="1900-01-12T00:00:00"/>
    <n v="51"/>
    <x v="2"/>
    <x v="3"/>
  </r>
  <r>
    <x v="624"/>
    <n v="-18.7"/>
    <x v="1326"/>
    <n v="12273.4"/>
    <s v="Complete Access"/>
    <x v="329"/>
    <x v="4"/>
    <x v="7"/>
    <d v="1900-01-12T00:00:00"/>
    <n v="51"/>
    <x v="2"/>
    <x v="3"/>
  </r>
  <r>
    <x v="624"/>
    <n v="-78"/>
    <x v="1327"/>
    <n v="12292.1"/>
    <s v="Complete Access"/>
    <x v="29"/>
    <x v="4"/>
    <x v="19"/>
    <d v="1900-01-12T00:00:00"/>
    <n v="51"/>
    <x v="2"/>
    <x v="3"/>
  </r>
  <r>
    <x v="624"/>
    <n v="-7.82"/>
    <x v="1328"/>
    <n v="12222.68"/>
    <s v="Complete Access"/>
    <x v="382"/>
    <x v="3"/>
    <x v="3"/>
    <d v="1900-01-12T00:00:00"/>
    <n v="51"/>
    <x v="2"/>
    <x v="3"/>
  </r>
  <r>
    <x v="624"/>
    <n v="-2"/>
    <x v="1329"/>
    <n v="12370.1"/>
    <s v="Complete Access"/>
    <x v="47"/>
    <x v="1"/>
    <x v="5"/>
    <d v="1900-01-12T00:00:00"/>
    <n v="51"/>
    <x v="2"/>
    <x v="3"/>
  </r>
  <r>
    <x v="624"/>
    <n v="-0.23"/>
    <x v="1330"/>
    <n v="12222.45"/>
    <s v="Complete Access"/>
    <x v="10"/>
    <x v="0"/>
    <x v="0"/>
    <d v="1900-01-12T00:00:00"/>
    <n v="51"/>
    <x v="2"/>
    <x v="3"/>
  </r>
  <r>
    <x v="625"/>
    <n v="-9.65"/>
    <x v="1331"/>
    <n v="12521.71"/>
    <s v="Complete Access"/>
    <x v="285"/>
    <x v="5"/>
    <x v="8"/>
    <d v="1900-01-09T00:00:00"/>
    <n v="50"/>
    <x v="2"/>
    <x v="3"/>
  </r>
  <r>
    <x v="625"/>
    <n v="-13.2"/>
    <x v="1332"/>
    <n v="12508.51"/>
    <s v="Complete Access"/>
    <x v="16"/>
    <x v="1"/>
    <x v="5"/>
    <d v="1900-01-09T00:00:00"/>
    <n v="50"/>
    <x v="2"/>
    <x v="3"/>
  </r>
  <r>
    <x v="625"/>
    <n v="-65"/>
    <x v="1333"/>
    <n v="12443.51"/>
    <s v="Complete Access"/>
    <x v="0"/>
    <x v="0"/>
    <x v="0"/>
    <d v="1900-01-09T00:00:00"/>
    <n v="50"/>
    <x v="2"/>
    <x v="3"/>
  </r>
  <r>
    <x v="625"/>
    <n v="-27"/>
    <x v="1028"/>
    <n v="12416.51"/>
    <s v="Complete Access"/>
    <x v="0"/>
    <x v="0"/>
    <x v="0"/>
    <d v="1900-01-09T00:00:00"/>
    <n v="50"/>
    <x v="2"/>
    <x v="3"/>
  </r>
  <r>
    <x v="626"/>
    <n v="-22.99"/>
    <x v="1334"/>
    <n v="12031.36"/>
    <s v="Complete Access"/>
    <x v="373"/>
    <x v="8"/>
    <x v="7"/>
    <d v="1900-01-08T00:00:00"/>
    <n v="50"/>
    <x v="2"/>
    <x v="3"/>
  </r>
  <r>
    <x v="626"/>
    <n v="500"/>
    <x v="1335"/>
    <n v="12531.36"/>
    <s v="Complete Access"/>
    <x v="36"/>
    <x v="0"/>
    <x v="0"/>
    <d v="1900-01-08T00:00:00"/>
    <n v="50"/>
    <x v="2"/>
    <x v="3"/>
  </r>
  <r>
    <x v="627"/>
    <n v="-500"/>
    <x v="656"/>
    <n v="12501.81"/>
    <s v="Complete Access"/>
    <x v="13"/>
    <x v="0"/>
    <x v="0"/>
    <d v="1900-01-07T00:00:00"/>
    <n v="50"/>
    <x v="2"/>
    <x v="3"/>
  </r>
  <r>
    <x v="627"/>
    <n v="-13.2"/>
    <x v="1336"/>
    <n v="12488.61"/>
    <s v="Complete Access"/>
    <x v="297"/>
    <x v="1"/>
    <x v="5"/>
    <d v="1900-01-07T00:00:00"/>
    <n v="50"/>
    <x v="2"/>
    <x v="3"/>
  </r>
  <r>
    <x v="627"/>
    <n v="2422.16"/>
    <x v="1337"/>
    <n v="13001.81"/>
    <s v="Complete Access"/>
    <x v="14"/>
    <x v="6"/>
    <x v="9"/>
    <d v="1900-01-07T00:00:00"/>
    <n v="50"/>
    <x v="2"/>
    <x v="3"/>
  </r>
  <r>
    <x v="627"/>
    <n v="-434.26"/>
    <x v="1338"/>
    <n v="12054.35"/>
    <s v="Complete Access"/>
    <x v="379"/>
    <x v="4"/>
    <x v="47"/>
    <d v="1900-01-07T00:00:00"/>
    <n v="50"/>
    <x v="2"/>
    <x v="3"/>
  </r>
  <r>
    <x v="628"/>
    <n v="-9.65"/>
    <x v="1339"/>
    <n v="10621.89"/>
    <s v="Complete Access"/>
    <x v="285"/>
    <x v="5"/>
    <x v="8"/>
    <d v="1900-01-06T00:00:00"/>
    <n v="50"/>
    <x v="2"/>
    <x v="3"/>
  </r>
  <r>
    <x v="628"/>
    <n v="-13.2"/>
    <x v="1340"/>
    <n v="10608.69"/>
    <s v="Complete Access"/>
    <x v="16"/>
    <x v="1"/>
    <x v="5"/>
    <d v="1900-01-06T00:00:00"/>
    <n v="50"/>
    <x v="2"/>
    <x v="3"/>
  </r>
  <r>
    <x v="628"/>
    <n v="-24.04"/>
    <x v="436"/>
    <n v="10579.65"/>
    <s v="Complete Access"/>
    <x v="186"/>
    <x v="1"/>
    <x v="5"/>
    <d v="1900-01-06T00:00:00"/>
    <n v="50"/>
    <x v="2"/>
    <x v="3"/>
  </r>
  <r>
    <x v="628"/>
    <n v="-5"/>
    <x v="1341"/>
    <n v="10603.69"/>
    <s v="Complete Access"/>
    <x v="34"/>
    <x v="9"/>
    <x v="12"/>
    <d v="1900-01-06T00:00:00"/>
    <n v="50"/>
    <x v="2"/>
    <x v="3"/>
  </r>
  <r>
    <x v="629"/>
    <n v="-33.520000000000003"/>
    <x v="1342"/>
    <n v="10331.540000000001"/>
    <s v="Complete Access"/>
    <x v="8"/>
    <x v="1"/>
    <x v="5"/>
    <d v="1900-01-05T00:00:00"/>
    <n v="50"/>
    <x v="2"/>
    <x v="3"/>
  </r>
  <r>
    <x v="629"/>
    <n v="-45.39"/>
    <x v="1343"/>
    <n v="10365.06"/>
    <s v="Complete Access"/>
    <x v="8"/>
    <x v="1"/>
    <x v="5"/>
    <d v="1900-01-05T00:00:00"/>
    <n v="50"/>
    <x v="2"/>
    <x v="3"/>
  </r>
  <r>
    <x v="629"/>
    <n v="300"/>
    <x v="1344"/>
    <n v="10631.54"/>
    <s v="Complete Access"/>
    <x v="36"/>
    <x v="0"/>
    <x v="0"/>
    <d v="1900-01-05T00:00:00"/>
    <n v="50"/>
    <x v="2"/>
    <x v="3"/>
  </r>
  <r>
    <x v="630"/>
    <n v="-4.8"/>
    <x v="1345"/>
    <n v="10410.450000000001"/>
    <s v="Complete Access"/>
    <x v="383"/>
    <x v="1"/>
    <x v="5"/>
    <d v="1900-01-04T00:00:00"/>
    <n v="50"/>
    <x v="2"/>
    <x v="3"/>
  </r>
  <r>
    <x v="630"/>
    <n v="-20"/>
    <x v="1346"/>
    <n v="10415.25"/>
    <s v="Complete Access"/>
    <x v="0"/>
    <x v="0"/>
    <x v="0"/>
    <d v="1900-01-04T00:00:00"/>
    <n v="50"/>
    <x v="2"/>
    <x v="3"/>
  </r>
  <r>
    <x v="631"/>
    <n v="-94.9"/>
    <x v="1347"/>
    <n v="10447.6"/>
    <s v="Complete Access"/>
    <x v="341"/>
    <x v="4"/>
    <x v="20"/>
    <d v="1900-01-02T00:00:00"/>
    <n v="49"/>
    <x v="2"/>
    <x v="3"/>
  </r>
  <r>
    <x v="631"/>
    <n v="-2.85"/>
    <x v="1348"/>
    <n v="10444.75"/>
    <s v="Complete Access"/>
    <x v="10"/>
    <x v="0"/>
    <x v="0"/>
    <d v="1900-01-02T00:00:00"/>
    <n v="49"/>
    <x v="2"/>
    <x v="3"/>
  </r>
  <r>
    <x v="631"/>
    <n v="-9.5"/>
    <x v="1222"/>
    <n v="10435.25"/>
    <s v="Complete Access"/>
    <x v="365"/>
    <x v="1"/>
    <x v="5"/>
    <d v="1900-01-02T00:00:00"/>
    <n v="49"/>
    <x v="2"/>
    <x v="3"/>
  </r>
  <r>
    <x v="632"/>
    <n v="20"/>
    <x v="1349"/>
    <n v="10542.5"/>
    <s v="Complete Access"/>
    <x v="36"/>
    <x v="0"/>
    <x v="0"/>
    <d v="1900-01-01T00:00:00"/>
    <n v="49"/>
    <x v="2"/>
    <x v="3"/>
  </r>
  <r>
    <x v="632"/>
    <n v="-37.200000000000003"/>
    <x v="1350"/>
    <n v="10522.5"/>
    <s v="Complete Access"/>
    <x v="91"/>
    <x v="9"/>
    <x v="12"/>
    <d v="1900-01-01T00:00:00"/>
    <n v="49"/>
    <x v="2"/>
    <x v="3"/>
  </r>
  <r>
    <x v="633"/>
    <n v="-186.7"/>
    <x v="1351"/>
    <n v="10559.7"/>
    <s v="Complete Access"/>
    <x v="76"/>
    <x v="2"/>
    <x v="2"/>
    <d v="1899-12-31T00:00:00"/>
    <n v="49"/>
    <x v="2"/>
    <x v="3"/>
  </r>
  <r>
    <x v="633"/>
    <n v="-73.069999999999993"/>
    <x v="1352"/>
    <n v="10746.4"/>
    <s v="Complete Access"/>
    <x v="1"/>
    <x v="1"/>
    <x v="1"/>
    <d v="1899-12-31T00:00:00"/>
    <n v="49"/>
    <x v="2"/>
    <x v="3"/>
  </r>
  <r>
    <x v="633"/>
    <n v="0.1"/>
    <x v="609"/>
    <n v="2637.54"/>
    <s v="Netbank Saver"/>
    <x v="240"/>
    <x v="0"/>
    <x v="55"/>
    <d v="1899-12-31T00:00:00"/>
    <n v="49"/>
    <x v="2"/>
    <x v="3"/>
  </r>
  <r>
    <x v="634"/>
    <n v="-13.2"/>
    <x v="1148"/>
    <n v="10889.47"/>
    <s v="Complete Access"/>
    <x v="297"/>
    <x v="1"/>
    <x v="5"/>
    <d v="1900-01-29T00:00:00"/>
    <n v="49"/>
    <x v="3"/>
    <x v="3"/>
  </r>
  <r>
    <x v="634"/>
    <n v="2635.41"/>
    <x v="1353"/>
    <n v="2637.44"/>
    <s v="Netbank Saver"/>
    <x v="384"/>
    <x v="14"/>
    <x v="68"/>
    <d v="1900-01-29T00:00:00"/>
    <n v="49"/>
    <x v="3"/>
    <x v="3"/>
  </r>
  <r>
    <x v="634"/>
    <n v="-70"/>
    <x v="1354"/>
    <n v="10819.47"/>
    <s v="Complete Access"/>
    <x v="0"/>
    <x v="0"/>
    <x v="0"/>
    <d v="1900-01-29T00:00:00"/>
    <n v="49"/>
    <x v="3"/>
    <x v="3"/>
  </r>
  <r>
    <x v="635"/>
    <n v="-102.35"/>
    <x v="1355"/>
    <n v="11756.7"/>
    <s v="Complete Access"/>
    <x v="385"/>
    <x v="20"/>
    <x v="63"/>
    <d v="1900-01-28T00:00:00"/>
    <n v="49"/>
    <x v="3"/>
    <x v="3"/>
  </r>
  <r>
    <x v="635"/>
    <n v="-147.74"/>
    <x v="1356"/>
    <n v="10995.67"/>
    <s v="Complete Access"/>
    <x v="256"/>
    <x v="4"/>
    <x v="47"/>
    <d v="1900-01-28T00:00:00"/>
    <n v="49"/>
    <x v="3"/>
    <x v="3"/>
  </r>
  <r>
    <x v="635"/>
    <n v="-595.42999999999995"/>
    <x v="1357"/>
    <n v="11161.27"/>
    <s v="Complete Access"/>
    <x v="256"/>
    <x v="4"/>
    <x v="47"/>
    <d v="1900-01-28T00:00:00"/>
    <n v="49"/>
    <x v="3"/>
    <x v="3"/>
  </r>
  <r>
    <x v="635"/>
    <n v="-35.74"/>
    <x v="1358"/>
    <n v="11894.79"/>
    <s v="Complete Access"/>
    <x v="8"/>
    <x v="1"/>
    <x v="5"/>
    <d v="1900-01-28T00:00:00"/>
    <n v="49"/>
    <x v="3"/>
    <x v="3"/>
  </r>
  <r>
    <x v="635"/>
    <n v="-35.74"/>
    <x v="1359"/>
    <n v="11859.05"/>
    <s v="Complete Access"/>
    <x v="8"/>
    <x v="1"/>
    <x v="5"/>
    <d v="1900-01-28T00:00:00"/>
    <n v="49"/>
    <x v="3"/>
    <x v="3"/>
  </r>
  <r>
    <x v="635"/>
    <n v="-53.99"/>
    <x v="1360"/>
    <n v="11941.03"/>
    <s v="Complete Access"/>
    <x v="8"/>
    <x v="1"/>
    <x v="5"/>
    <d v="1900-01-28T00:00:00"/>
    <n v="49"/>
    <x v="3"/>
    <x v="3"/>
  </r>
  <r>
    <x v="635"/>
    <n v="-79"/>
    <x v="1361"/>
    <n v="10902.67"/>
    <s v="Complete Access"/>
    <x v="298"/>
    <x v="4"/>
    <x v="30"/>
    <d v="1900-01-28T00:00:00"/>
    <n v="49"/>
    <x v="3"/>
    <x v="3"/>
  </r>
  <r>
    <x v="635"/>
    <n v="-4.43"/>
    <x v="1362"/>
    <n v="10991.24"/>
    <s v="Complete Access"/>
    <x v="10"/>
    <x v="0"/>
    <x v="0"/>
    <d v="1900-01-28T00:00:00"/>
    <n v="49"/>
    <x v="3"/>
    <x v="3"/>
  </r>
  <r>
    <x v="635"/>
    <n v="-17.86"/>
    <x v="1362"/>
    <n v="11143.41"/>
    <s v="Complete Access"/>
    <x v="10"/>
    <x v="0"/>
    <x v="0"/>
    <d v="1900-01-28T00:00:00"/>
    <n v="49"/>
    <x v="3"/>
    <x v="3"/>
  </r>
  <r>
    <x v="635"/>
    <n v="-9.57"/>
    <x v="969"/>
    <n v="10981.67"/>
    <s v="Complete Access"/>
    <x v="177"/>
    <x v="1"/>
    <x v="1"/>
    <d v="1900-01-28T00:00:00"/>
    <n v="49"/>
    <x v="3"/>
    <x v="3"/>
  </r>
  <r>
    <x v="635"/>
    <n v="-21.99"/>
    <x v="1363"/>
    <n v="11995.02"/>
    <s v="Complete Access"/>
    <x v="104"/>
    <x v="1"/>
    <x v="5"/>
    <d v="1900-01-28T00:00:00"/>
    <n v="49"/>
    <x v="3"/>
    <x v="3"/>
  </r>
  <r>
    <x v="635"/>
    <n v="-10.5"/>
    <x v="1364"/>
    <n v="11930.53"/>
    <s v="Complete Access"/>
    <x v="34"/>
    <x v="9"/>
    <x v="12"/>
    <d v="1900-01-28T00:00:00"/>
    <n v="49"/>
    <x v="3"/>
    <x v="3"/>
  </r>
  <r>
    <x v="636"/>
    <n v="1752.9"/>
    <x v="1365"/>
    <n v="12017.01"/>
    <s v="Complete Access"/>
    <x v="192"/>
    <x v="4"/>
    <x v="20"/>
    <d v="1900-01-27T00:00:00"/>
    <n v="49"/>
    <x v="3"/>
    <x v="3"/>
  </r>
  <r>
    <x v="637"/>
    <n v="-2299"/>
    <x v="1366"/>
    <n v="10290.26"/>
    <s v="Complete Access"/>
    <x v="386"/>
    <x v="4"/>
    <x v="17"/>
    <d v="1900-01-24T00:00:00"/>
    <n v="48"/>
    <x v="3"/>
    <x v="3"/>
  </r>
  <r>
    <x v="637"/>
    <n v="-26.15"/>
    <x v="1367"/>
    <n v="10264.11"/>
    <s v="Complete Access"/>
    <x v="34"/>
    <x v="9"/>
    <x v="12"/>
    <d v="1900-01-24T00:00:00"/>
    <n v="48"/>
    <x v="3"/>
    <x v="3"/>
  </r>
  <r>
    <x v="638"/>
    <n v="-500"/>
    <x v="656"/>
    <n v="12637.5"/>
    <s v="Complete Access"/>
    <x v="13"/>
    <x v="0"/>
    <x v="0"/>
    <d v="1900-01-23T00:00:00"/>
    <n v="48"/>
    <x v="3"/>
    <x v="3"/>
  </r>
  <r>
    <x v="638"/>
    <n v="-13.2"/>
    <x v="1148"/>
    <n v="12589.26"/>
    <s v="Complete Access"/>
    <x v="297"/>
    <x v="1"/>
    <x v="5"/>
    <d v="1900-01-23T00:00:00"/>
    <n v="48"/>
    <x v="3"/>
    <x v="3"/>
  </r>
  <r>
    <x v="638"/>
    <n v="2422.17"/>
    <x v="1368"/>
    <n v="13137.5"/>
    <s v="Complete Access"/>
    <x v="14"/>
    <x v="6"/>
    <x v="9"/>
    <d v="1900-01-23T00:00:00"/>
    <n v="48"/>
    <x v="3"/>
    <x v="3"/>
  </r>
  <r>
    <x v="638"/>
    <n v="-35.04"/>
    <x v="1369"/>
    <n v="12602.46"/>
    <s v="Complete Access"/>
    <x v="1"/>
    <x v="1"/>
    <x v="1"/>
    <d v="1900-01-23T00:00:00"/>
    <n v="48"/>
    <x v="3"/>
    <x v="3"/>
  </r>
  <r>
    <x v="639"/>
    <n v="-29.63"/>
    <x v="1370"/>
    <n v="12309.6"/>
    <s v="Complete Access"/>
    <x v="8"/>
    <x v="1"/>
    <x v="5"/>
    <d v="1900-01-22T00:00:00"/>
    <n v="48"/>
    <x v="3"/>
    <x v="3"/>
  </r>
  <r>
    <x v="639"/>
    <n v="-35.58"/>
    <x v="1371"/>
    <n v="12274.02"/>
    <s v="Complete Access"/>
    <x v="29"/>
    <x v="4"/>
    <x v="19"/>
    <d v="1900-01-22T00:00:00"/>
    <n v="48"/>
    <x v="3"/>
    <x v="3"/>
  </r>
  <r>
    <x v="639"/>
    <n v="-1558.69"/>
    <x v="1372"/>
    <n v="10715.33"/>
    <s v="Complete Access"/>
    <x v="387"/>
    <x v="4"/>
    <x v="20"/>
    <d v="1900-01-22T00:00:00"/>
    <n v="48"/>
    <x v="3"/>
    <x v="3"/>
  </r>
  <r>
    <x v="640"/>
    <n v="-26.3"/>
    <x v="1373"/>
    <n v="12464.17"/>
    <s v="Complete Access"/>
    <x v="8"/>
    <x v="1"/>
    <x v="5"/>
    <d v="1900-01-21T00:00:00"/>
    <n v="48"/>
    <x v="3"/>
    <x v="3"/>
  </r>
  <r>
    <x v="640"/>
    <n v="-38.06"/>
    <x v="1374"/>
    <n v="12357.73"/>
    <s v="Complete Access"/>
    <x v="8"/>
    <x v="1"/>
    <x v="5"/>
    <d v="1900-01-21T00:00:00"/>
    <n v="48"/>
    <x v="3"/>
    <x v="3"/>
  </r>
  <r>
    <x v="640"/>
    <n v="-12.5"/>
    <x v="988"/>
    <n v="12345.23"/>
    <s v="Complete Access"/>
    <x v="331"/>
    <x v="1"/>
    <x v="5"/>
    <d v="1900-01-21T00:00:00"/>
    <n v="48"/>
    <x v="3"/>
    <x v="3"/>
  </r>
  <r>
    <x v="640"/>
    <n v="-45.04"/>
    <x v="1375"/>
    <n v="12397.14"/>
    <s v="Complete Access"/>
    <x v="344"/>
    <x v="4"/>
    <x v="25"/>
    <d v="1900-01-21T00:00:00"/>
    <n v="48"/>
    <x v="3"/>
    <x v="3"/>
  </r>
  <r>
    <x v="640"/>
    <n v="-1.35"/>
    <x v="1376"/>
    <n v="12395.79"/>
    <s v="Complete Access"/>
    <x v="10"/>
    <x v="0"/>
    <x v="0"/>
    <d v="1900-01-21T00:00:00"/>
    <n v="48"/>
    <x v="3"/>
    <x v="3"/>
  </r>
  <r>
    <x v="640"/>
    <n v="-36.29"/>
    <x v="1377"/>
    <n v="12490.47"/>
    <s v="Complete Access"/>
    <x v="104"/>
    <x v="1"/>
    <x v="5"/>
    <d v="1900-01-21T00:00:00"/>
    <n v="48"/>
    <x v="3"/>
    <x v="3"/>
  </r>
  <r>
    <x v="640"/>
    <n v="-21.99"/>
    <x v="1378"/>
    <n v="12442.18"/>
    <s v="Complete Access"/>
    <x v="104"/>
    <x v="1"/>
    <x v="5"/>
    <d v="1900-01-21T00:00:00"/>
    <n v="48"/>
    <x v="3"/>
    <x v="3"/>
  </r>
  <r>
    <x v="640"/>
    <n v="-6"/>
    <x v="1379"/>
    <n v="12339.23"/>
    <s v="Complete Access"/>
    <x v="0"/>
    <x v="0"/>
    <x v="0"/>
    <d v="1900-01-21T00:00:00"/>
    <n v="48"/>
    <x v="3"/>
    <x v="3"/>
  </r>
  <r>
    <x v="641"/>
    <n v="-18.420000000000002"/>
    <x v="1380"/>
    <n v="12602.96"/>
    <s v="Complete Access"/>
    <x v="8"/>
    <x v="1"/>
    <x v="5"/>
    <d v="1900-01-18T00:00:00"/>
    <n v="47"/>
    <x v="3"/>
    <x v="3"/>
  </r>
  <r>
    <x v="641"/>
    <n v="-32.979999999999997"/>
    <x v="1381"/>
    <n v="12631.96"/>
    <s v="Complete Access"/>
    <x v="248"/>
    <x v="3"/>
    <x v="58"/>
    <d v="1900-01-18T00:00:00"/>
    <n v="47"/>
    <x v="3"/>
    <x v="3"/>
  </r>
  <r>
    <x v="641"/>
    <n v="-10.58"/>
    <x v="1382"/>
    <n v="12621.38"/>
    <s v="Complete Access"/>
    <x v="221"/>
    <x v="1"/>
    <x v="5"/>
    <d v="1900-01-18T00:00:00"/>
    <n v="47"/>
    <x v="3"/>
    <x v="3"/>
  </r>
  <r>
    <x v="641"/>
    <n v="-42"/>
    <x v="1383"/>
    <n v="12540.96"/>
    <s v="Complete Access"/>
    <x v="388"/>
    <x v="4"/>
    <x v="20"/>
    <d v="1900-01-18T00:00:00"/>
    <n v="47"/>
    <x v="3"/>
    <x v="3"/>
  </r>
  <r>
    <x v="641"/>
    <n v="-20"/>
    <x v="1384"/>
    <n v="12582.96"/>
    <s v="Complete Access"/>
    <x v="0"/>
    <x v="0"/>
    <x v="0"/>
    <d v="1900-01-18T00:00:00"/>
    <n v="47"/>
    <x v="3"/>
    <x v="3"/>
  </r>
  <r>
    <x v="641"/>
    <n v="-14.2"/>
    <x v="1385"/>
    <n v="12526.76"/>
    <s v="Complete Access"/>
    <x v="0"/>
    <x v="0"/>
    <x v="0"/>
    <d v="1900-01-18T00:00:00"/>
    <n v="47"/>
    <x v="3"/>
    <x v="3"/>
  </r>
  <r>
    <x v="642"/>
    <n v="-9.65"/>
    <x v="1386"/>
    <n v="12747.14"/>
    <s v="Complete Access"/>
    <x v="285"/>
    <x v="5"/>
    <x v="8"/>
    <d v="1900-01-17T00:00:00"/>
    <n v="47"/>
    <x v="3"/>
    <x v="3"/>
  </r>
  <r>
    <x v="642"/>
    <n v="-98.5"/>
    <x v="1387"/>
    <n v="12756.79"/>
    <s v="Complete Access"/>
    <x v="389"/>
    <x v="8"/>
    <x v="22"/>
    <d v="1900-01-17T00:00:00"/>
    <n v="47"/>
    <x v="3"/>
    <x v="3"/>
  </r>
  <r>
    <x v="642"/>
    <n v="-69"/>
    <x v="1388"/>
    <n v="12678.14"/>
    <s v="Complete Access"/>
    <x v="207"/>
    <x v="7"/>
    <x v="11"/>
    <d v="1900-01-17T00:00:00"/>
    <n v="47"/>
    <x v="3"/>
    <x v="3"/>
  </r>
  <r>
    <x v="642"/>
    <n v="-13.2"/>
    <x v="1148"/>
    <n v="12664.94"/>
    <s v="Complete Access"/>
    <x v="297"/>
    <x v="1"/>
    <x v="5"/>
    <d v="1900-01-17T00:00:00"/>
    <n v="47"/>
    <x v="3"/>
    <x v="3"/>
  </r>
  <r>
    <x v="643"/>
    <n v="-13.2"/>
    <x v="1389"/>
    <n v="12962.24"/>
    <s v="Complete Access"/>
    <x v="16"/>
    <x v="1"/>
    <x v="5"/>
    <d v="1900-01-16T00:00:00"/>
    <n v="47"/>
    <x v="3"/>
    <x v="3"/>
  </r>
  <r>
    <x v="643"/>
    <n v="-82"/>
    <x v="1390"/>
    <n v="12855.29"/>
    <s v="Complete Access"/>
    <x v="390"/>
    <x v="1"/>
    <x v="5"/>
    <d v="1900-01-16T00:00:00"/>
    <n v="47"/>
    <x v="3"/>
    <x v="3"/>
  </r>
  <r>
    <x v="643"/>
    <n v="-24.95"/>
    <x v="1391"/>
    <n v="12937.29"/>
    <s v="Complete Access"/>
    <x v="19"/>
    <x v="3"/>
    <x v="3"/>
    <d v="1900-01-16T00:00:00"/>
    <n v="47"/>
    <x v="3"/>
    <x v="3"/>
  </r>
  <r>
    <x v="644"/>
    <n v="-33.96"/>
    <x v="1392"/>
    <n v="13019.15"/>
    <s v="Complete Access"/>
    <x v="8"/>
    <x v="1"/>
    <x v="5"/>
    <d v="1900-01-15T00:00:00"/>
    <n v="47"/>
    <x v="3"/>
    <x v="3"/>
  </r>
  <r>
    <x v="644"/>
    <n v="-37.72"/>
    <x v="1393"/>
    <n v="12981.43"/>
    <s v="Complete Access"/>
    <x v="8"/>
    <x v="1"/>
    <x v="5"/>
    <d v="1900-01-15T00:00:00"/>
    <n v="47"/>
    <x v="3"/>
    <x v="3"/>
  </r>
  <r>
    <x v="644"/>
    <n v="-5.99"/>
    <x v="1394"/>
    <n v="12975.44"/>
    <s v="Complete Access"/>
    <x v="352"/>
    <x v="4"/>
    <x v="67"/>
    <d v="1900-01-15T00:00:00"/>
    <n v="47"/>
    <x v="3"/>
    <x v="3"/>
  </r>
  <r>
    <x v="645"/>
    <n v="-34.96"/>
    <x v="1395"/>
    <n v="11553.11"/>
    <s v="Complete Access"/>
    <x v="8"/>
    <x v="1"/>
    <x v="5"/>
    <d v="1900-01-14T00:00:00"/>
    <n v="47"/>
    <x v="3"/>
    <x v="3"/>
  </r>
  <r>
    <x v="645"/>
    <n v="-34.86"/>
    <x v="1396"/>
    <n v="11606.24"/>
    <s v="Complete Access"/>
    <x v="74"/>
    <x v="4"/>
    <x v="10"/>
    <d v="1900-01-14T00:00:00"/>
    <n v="47"/>
    <x v="3"/>
    <x v="3"/>
  </r>
  <r>
    <x v="645"/>
    <n v="-1.05"/>
    <x v="1397"/>
    <n v="11605.19"/>
    <s v="Complete Access"/>
    <x v="10"/>
    <x v="0"/>
    <x v="0"/>
    <d v="1900-01-14T00:00:00"/>
    <n v="47"/>
    <x v="3"/>
    <x v="3"/>
  </r>
  <r>
    <x v="645"/>
    <n v="1500"/>
    <x v="1398"/>
    <n v="13053.11"/>
    <s v="Complete Access"/>
    <x v="391"/>
    <x v="4"/>
    <x v="20"/>
    <d v="1900-01-14T00:00:00"/>
    <n v="47"/>
    <x v="3"/>
    <x v="3"/>
  </r>
  <r>
    <x v="645"/>
    <n v="-17.12"/>
    <x v="1399"/>
    <n v="11588.07"/>
    <s v="Complete Access"/>
    <x v="1"/>
    <x v="1"/>
    <x v="1"/>
    <d v="1900-01-14T00:00:00"/>
    <n v="47"/>
    <x v="3"/>
    <x v="3"/>
  </r>
  <r>
    <x v="646"/>
    <n v="1500"/>
    <x v="1400"/>
    <n v="11641.1"/>
    <s v="Complete Access"/>
    <x v="391"/>
    <x v="4"/>
    <x v="20"/>
    <d v="1900-01-13T00:00:00"/>
    <n v="47"/>
    <x v="3"/>
    <x v="3"/>
  </r>
  <r>
    <x v="646"/>
    <n v="-65.28"/>
    <x v="1401"/>
    <n v="10141.1"/>
    <s v="Complete Access"/>
    <x v="0"/>
    <x v="0"/>
    <x v="0"/>
    <d v="1900-01-13T00:00:00"/>
    <n v="47"/>
    <x v="3"/>
    <x v="3"/>
  </r>
  <r>
    <x v="647"/>
    <n v="-6.68"/>
    <x v="1402"/>
    <n v="10240.36"/>
    <s v="Complete Access"/>
    <x v="285"/>
    <x v="5"/>
    <x v="8"/>
    <d v="1900-01-11T00:00:00"/>
    <n v="46"/>
    <x v="3"/>
    <x v="3"/>
  </r>
  <r>
    <x v="647"/>
    <n v="-15.14"/>
    <x v="1130"/>
    <n v="10215.879999999999"/>
    <s v="Complete Access"/>
    <x v="351"/>
    <x v="1"/>
    <x v="5"/>
    <d v="1900-01-11T00:00:00"/>
    <n v="46"/>
    <x v="3"/>
    <x v="3"/>
  </r>
  <r>
    <x v="647"/>
    <n v="-9.5"/>
    <x v="1222"/>
    <n v="10206.379999999999"/>
    <s v="Complete Access"/>
    <x v="365"/>
    <x v="1"/>
    <x v="5"/>
    <d v="1900-01-11T00:00:00"/>
    <n v="46"/>
    <x v="3"/>
    <x v="3"/>
  </r>
  <r>
    <x v="647"/>
    <n v="-9.34"/>
    <x v="1403"/>
    <n v="10231.02"/>
    <s v="Complete Access"/>
    <x v="304"/>
    <x v="1"/>
    <x v="5"/>
    <d v="1900-01-11T00:00:00"/>
    <n v="46"/>
    <x v="3"/>
    <x v="3"/>
  </r>
  <r>
    <x v="648"/>
    <n v="-8.98"/>
    <x v="1404"/>
    <n v="10255.49"/>
    <s v="Complete Access"/>
    <x v="285"/>
    <x v="5"/>
    <x v="8"/>
    <d v="1900-01-10T00:00:00"/>
    <n v="46"/>
    <x v="3"/>
    <x v="3"/>
  </r>
  <r>
    <x v="648"/>
    <n v="-8.4499999999999993"/>
    <x v="1405"/>
    <n v="10247.040000000001"/>
    <s v="Complete Access"/>
    <x v="392"/>
    <x v="3"/>
    <x v="26"/>
    <d v="1900-01-10T00:00:00"/>
    <n v="46"/>
    <x v="3"/>
    <x v="3"/>
  </r>
  <r>
    <x v="649"/>
    <n v="-500"/>
    <x v="656"/>
    <n v="10356.27"/>
    <s v="Complete Access"/>
    <x v="13"/>
    <x v="0"/>
    <x v="0"/>
    <d v="1900-01-09T00:00:00"/>
    <n v="46"/>
    <x v="3"/>
    <x v="3"/>
  </r>
  <r>
    <x v="649"/>
    <n v="2409.83"/>
    <x v="1406"/>
    <n v="10856.27"/>
    <s v="Complete Access"/>
    <x v="14"/>
    <x v="6"/>
    <x v="9"/>
    <d v="1900-01-09T00:00:00"/>
    <n v="46"/>
    <x v="3"/>
    <x v="3"/>
  </r>
  <r>
    <x v="649"/>
    <n v="-91.8"/>
    <x v="1407"/>
    <n v="10264.469999999999"/>
    <s v="Complete Access"/>
    <x v="393"/>
    <x v="11"/>
    <x v="49"/>
    <d v="1900-01-09T00:00:00"/>
    <n v="46"/>
    <x v="3"/>
    <x v="3"/>
  </r>
  <r>
    <x v="650"/>
    <n v="-8.5"/>
    <x v="1408"/>
    <n v="8509.18"/>
    <s v="Complete Access"/>
    <x v="394"/>
    <x v="1"/>
    <x v="5"/>
    <d v="1900-01-08T00:00:00"/>
    <n v="46"/>
    <x v="3"/>
    <x v="3"/>
  </r>
  <r>
    <x v="650"/>
    <n v="-20"/>
    <x v="1409"/>
    <n v="8489.18"/>
    <s v="Complete Access"/>
    <x v="395"/>
    <x v="9"/>
    <x v="39"/>
    <d v="1900-01-08T00:00:00"/>
    <n v="46"/>
    <x v="3"/>
    <x v="3"/>
  </r>
  <r>
    <x v="650"/>
    <n v="-35.049999999999997"/>
    <x v="1410"/>
    <n v="8517.68"/>
    <s v="Complete Access"/>
    <x v="1"/>
    <x v="1"/>
    <x v="1"/>
    <d v="1900-01-08T00:00:00"/>
    <n v="46"/>
    <x v="3"/>
    <x v="3"/>
  </r>
  <r>
    <x v="650"/>
    <n v="-42.74"/>
    <x v="1411"/>
    <n v="8446.44"/>
    <s v="Complete Access"/>
    <x v="34"/>
    <x v="9"/>
    <x v="12"/>
    <d v="1900-01-08T00:00:00"/>
    <n v="46"/>
    <x v="3"/>
    <x v="3"/>
  </r>
  <r>
    <x v="651"/>
    <n v="-37.119999999999997"/>
    <x v="1412"/>
    <n v="8552.73"/>
    <s v="Complete Access"/>
    <x v="8"/>
    <x v="1"/>
    <x v="5"/>
    <d v="1900-01-07T00:00:00"/>
    <n v="46"/>
    <x v="3"/>
    <x v="3"/>
  </r>
  <r>
    <x v="652"/>
    <n v="-3.99"/>
    <x v="1413"/>
    <n v="8620.51"/>
    <s v="Complete Access"/>
    <x v="396"/>
    <x v="11"/>
    <x v="14"/>
    <d v="1900-01-06T00:00:00"/>
    <n v="46"/>
    <x v="3"/>
    <x v="3"/>
  </r>
  <r>
    <x v="652"/>
    <n v="-30.66"/>
    <x v="1414"/>
    <n v="8589.85"/>
    <s v="Complete Access"/>
    <x v="397"/>
    <x v="1"/>
    <x v="1"/>
    <d v="1900-01-06T00:00:00"/>
    <n v="46"/>
    <x v="3"/>
    <x v="3"/>
  </r>
  <r>
    <x v="653"/>
    <n v="-9.65"/>
    <x v="1415"/>
    <n v="8624.5"/>
    <s v="Complete Access"/>
    <x v="285"/>
    <x v="5"/>
    <x v="8"/>
    <d v="1900-01-04T00:00:00"/>
    <n v="45"/>
    <x v="3"/>
    <x v="3"/>
  </r>
  <r>
    <x v="654"/>
    <n v="-9.65"/>
    <x v="1416"/>
    <n v="8634.15"/>
    <s v="Complete Access"/>
    <x v="285"/>
    <x v="5"/>
    <x v="8"/>
    <d v="1900-01-03T00:00:00"/>
    <n v="45"/>
    <x v="3"/>
    <x v="3"/>
  </r>
  <r>
    <x v="655"/>
    <n v="-22.62"/>
    <x v="1417"/>
    <n v="8643.7999999999993"/>
    <s v="Complete Access"/>
    <x v="186"/>
    <x v="1"/>
    <x v="5"/>
    <d v="1900-01-02T00:00:00"/>
    <n v="45"/>
    <x v="3"/>
    <x v="3"/>
  </r>
  <r>
    <x v="656"/>
    <n v="-9.65"/>
    <x v="1418"/>
    <n v="8691.44"/>
    <s v="Complete Access"/>
    <x v="285"/>
    <x v="5"/>
    <x v="8"/>
    <d v="1900-01-01T00:00:00"/>
    <n v="45"/>
    <x v="3"/>
    <x v="3"/>
  </r>
  <r>
    <x v="656"/>
    <n v="-11.02"/>
    <x v="1108"/>
    <n v="8666.42"/>
    <s v="Complete Access"/>
    <x v="348"/>
    <x v="1"/>
    <x v="5"/>
    <d v="1900-01-01T00:00:00"/>
    <n v="45"/>
    <x v="3"/>
    <x v="3"/>
  </r>
  <r>
    <x v="656"/>
    <n v="-14"/>
    <x v="1419"/>
    <n v="8677.44"/>
    <s v="Complete Access"/>
    <x v="242"/>
    <x v="1"/>
    <x v="5"/>
    <d v="1900-01-01T00:00:00"/>
    <n v="45"/>
    <x v="3"/>
    <x v="3"/>
  </r>
  <r>
    <x v="657"/>
    <n v="-26.3"/>
    <x v="1420"/>
    <n v="8944.4699999999993"/>
    <s v="Complete Access"/>
    <x v="8"/>
    <x v="1"/>
    <x v="5"/>
    <d v="1899-12-31T00:00:00"/>
    <n v="45"/>
    <x v="3"/>
    <x v="3"/>
  </r>
  <r>
    <x v="657"/>
    <n v="-186.7"/>
    <x v="1421"/>
    <n v="8701.09"/>
    <s v="Complete Access"/>
    <x v="76"/>
    <x v="2"/>
    <x v="2"/>
    <d v="1899-12-31T00:00:00"/>
    <n v="45"/>
    <x v="3"/>
    <x v="3"/>
  </r>
  <r>
    <x v="657"/>
    <n v="-56.68"/>
    <x v="1422"/>
    <n v="8887.7900000000009"/>
    <s v="Complete Access"/>
    <x v="1"/>
    <x v="1"/>
    <x v="1"/>
    <d v="1899-12-31T00:00:00"/>
    <n v="45"/>
    <x v="3"/>
    <x v="3"/>
  </r>
  <r>
    <x v="658"/>
    <n v="-15"/>
    <x v="1423"/>
    <n v="8970.77"/>
    <s v="Complete Access"/>
    <x v="0"/>
    <x v="0"/>
    <x v="0"/>
    <d v="1900-01-28T00:00:00"/>
    <n v="44"/>
    <x v="4"/>
    <x v="3"/>
  </r>
  <r>
    <x v="659"/>
    <n v="-500"/>
    <x v="656"/>
    <n v="9061.2900000000009"/>
    <s v="Complete Access"/>
    <x v="13"/>
    <x v="0"/>
    <x v="0"/>
    <d v="1900-01-26T00:00:00"/>
    <n v="44"/>
    <x v="4"/>
    <x v="3"/>
  </r>
  <r>
    <x v="659"/>
    <n v="2543.0300000000002"/>
    <x v="1424"/>
    <n v="9561.2900000000009"/>
    <s v="Complete Access"/>
    <x v="14"/>
    <x v="6"/>
    <x v="9"/>
    <d v="1900-01-26T00:00:00"/>
    <n v="44"/>
    <x v="4"/>
    <x v="3"/>
  </r>
  <r>
    <x v="659"/>
    <n v="-75.52"/>
    <x v="1425"/>
    <n v="8985.77"/>
    <s v="Complete Access"/>
    <x v="1"/>
    <x v="1"/>
    <x v="1"/>
    <d v="1900-01-26T00:00:00"/>
    <n v="44"/>
    <x v="4"/>
    <x v="3"/>
  </r>
  <r>
    <x v="660"/>
    <n v="-3.2"/>
    <x v="1426"/>
    <n v="7074.26"/>
    <s v="Complete Access"/>
    <x v="285"/>
    <x v="5"/>
    <x v="8"/>
    <d v="1900-01-25T00:00:00"/>
    <n v="44"/>
    <x v="4"/>
    <x v="3"/>
  </r>
  <r>
    <x v="660"/>
    <n v="-31"/>
    <x v="1427"/>
    <n v="7043.26"/>
    <s v="Complete Access"/>
    <x v="398"/>
    <x v="1"/>
    <x v="5"/>
    <d v="1900-01-25T00:00:00"/>
    <n v="44"/>
    <x v="4"/>
    <x v="3"/>
  </r>
  <r>
    <x v="660"/>
    <n v="-13"/>
    <x v="1428"/>
    <n v="7030.26"/>
    <s v="Complete Access"/>
    <x v="0"/>
    <x v="0"/>
    <x v="0"/>
    <d v="1900-01-25T00:00:00"/>
    <n v="44"/>
    <x v="4"/>
    <x v="3"/>
  </r>
  <r>
    <x v="660"/>
    <n v="-12"/>
    <x v="1429"/>
    <n v="7018.26"/>
    <s v="Complete Access"/>
    <x v="0"/>
    <x v="0"/>
    <x v="0"/>
    <d v="1900-01-25T00:00:00"/>
    <n v="44"/>
    <x v="4"/>
    <x v="3"/>
  </r>
  <r>
    <x v="661"/>
    <n v="-26.3"/>
    <x v="1430"/>
    <n v="7118.41"/>
    <s v="Complete Access"/>
    <x v="8"/>
    <x v="1"/>
    <x v="5"/>
    <d v="1900-01-24T00:00:00"/>
    <n v="44"/>
    <x v="4"/>
    <x v="3"/>
  </r>
  <r>
    <x v="661"/>
    <n v="-27.75"/>
    <x v="1431"/>
    <n v="7144.71"/>
    <s v="Complete Access"/>
    <x v="8"/>
    <x v="1"/>
    <x v="5"/>
    <d v="1900-01-24T00:00:00"/>
    <n v="44"/>
    <x v="4"/>
    <x v="3"/>
  </r>
  <r>
    <x v="661"/>
    <n v="-40.950000000000003"/>
    <x v="1432"/>
    <n v="7077.46"/>
    <s v="Complete Access"/>
    <x v="8"/>
    <x v="1"/>
    <x v="5"/>
    <d v="1900-01-24T00:00:00"/>
    <n v="44"/>
    <x v="4"/>
    <x v="3"/>
  </r>
  <r>
    <x v="661"/>
    <n v="-5.5"/>
    <x v="1433"/>
    <n v="7172.46"/>
    <s v="Complete Access"/>
    <x v="285"/>
    <x v="5"/>
    <x v="8"/>
    <d v="1900-01-24T00:00:00"/>
    <n v="44"/>
    <x v="4"/>
    <x v="3"/>
  </r>
  <r>
    <x v="662"/>
    <n v="76"/>
    <x v="1434"/>
    <n v="7177.96"/>
    <s v="Complete Access"/>
    <x v="36"/>
    <x v="0"/>
    <x v="0"/>
    <d v="1900-01-22T00:00:00"/>
    <n v="44"/>
    <x v="4"/>
    <x v="3"/>
  </r>
  <r>
    <x v="662"/>
    <n v="-157.5"/>
    <x v="1435"/>
    <n v="7101.96"/>
    <s v="Complete Access"/>
    <x v="399"/>
    <x v="1"/>
    <x v="5"/>
    <d v="1900-01-22T00:00:00"/>
    <n v="44"/>
    <x v="4"/>
    <x v="3"/>
  </r>
  <r>
    <x v="663"/>
    <n v="-9.65"/>
    <x v="1436"/>
    <n v="7259.46"/>
    <s v="Complete Access"/>
    <x v="285"/>
    <x v="5"/>
    <x v="8"/>
    <d v="1900-01-21T00:00:00"/>
    <n v="43"/>
    <x v="4"/>
    <x v="3"/>
  </r>
  <r>
    <x v="664"/>
    <n v="-50"/>
    <x v="782"/>
    <n v="7269.11"/>
    <s v="Complete Access"/>
    <x v="130"/>
    <x v="0"/>
    <x v="0"/>
    <d v="1900-01-20T00:00:00"/>
    <n v="43"/>
    <x v="4"/>
    <x v="3"/>
  </r>
  <r>
    <x v="664"/>
    <n v="-7.86"/>
    <x v="1437"/>
    <n v="7428.15"/>
    <s v="Complete Access"/>
    <x v="285"/>
    <x v="5"/>
    <x v="8"/>
    <d v="1900-01-20T00:00:00"/>
    <n v="43"/>
    <x v="4"/>
    <x v="3"/>
  </r>
  <r>
    <x v="664"/>
    <n v="-69"/>
    <x v="1438"/>
    <n v="7359.15"/>
    <s v="Complete Access"/>
    <x v="207"/>
    <x v="7"/>
    <x v="11"/>
    <d v="1900-01-20T00:00:00"/>
    <n v="43"/>
    <x v="4"/>
    <x v="3"/>
  </r>
  <r>
    <x v="664"/>
    <n v="-40.04"/>
    <x v="1439"/>
    <n v="7319.11"/>
    <s v="Complete Access"/>
    <x v="1"/>
    <x v="1"/>
    <x v="1"/>
    <d v="1900-01-20T00:00:00"/>
    <n v="43"/>
    <x v="4"/>
    <x v="3"/>
  </r>
  <r>
    <x v="665"/>
    <n v="-9.99"/>
    <x v="1440"/>
    <n v="7405.01"/>
    <s v="Complete Access"/>
    <x v="100"/>
    <x v="9"/>
    <x v="32"/>
    <d v="1900-01-19T00:00:00"/>
    <n v="43"/>
    <x v="4"/>
    <x v="3"/>
  </r>
  <r>
    <x v="665"/>
    <n v="-9.99"/>
    <x v="1441"/>
    <n v="7415"/>
    <s v="Complete Access"/>
    <x v="400"/>
    <x v="9"/>
    <x v="32"/>
    <d v="1900-01-19T00:00:00"/>
    <n v="43"/>
    <x v="4"/>
    <x v="3"/>
  </r>
  <r>
    <x v="665"/>
    <n v="-14"/>
    <x v="1442"/>
    <n v="7391.01"/>
    <s v="Complete Access"/>
    <x v="242"/>
    <x v="1"/>
    <x v="5"/>
    <d v="1900-01-19T00:00:00"/>
    <n v="43"/>
    <x v="4"/>
    <x v="3"/>
  </r>
  <r>
    <x v="665"/>
    <n v="45"/>
    <x v="1443"/>
    <n v="7436.01"/>
    <s v="Complete Access"/>
    <x v="36"/>
    <x v="0"/>
    <x v="0"/>
    <d v="1900-01-19T00:00:00"/>
    <n v="43"/>
    <x v="4"/>
    <x v="3"/>
  </r>
  <r>
    <x v="666"/>
    <n v="-31.63"/>
    <x v="1444"/>
    <n v="7527"/>
    <s v="Complete Access"/>
    <x v="8"/>
    <x v="1"/>
    <x v="5"/>
    <d v="1900-01-18T00:00:00"/>
    <n v="43"/>
    <x v="4"/>
    <x v="3"/>
  </r>
  <r>
    <x v="666"/>
    <n v="-11.02"/>
    <x v="1108"/>
    <n v="7515.98"/>
    <s v="Complete Access"/>
    <x v="348"/>
    <x v="1"/>
    <x v="5"/>
    <d v="1900-01-18T00:00:00"/>
    <n v="43"/>
    <x v="4"/>
    <x v="3"/>
  </r>
  <r>
    <x v="666"/>
    <n v="-90.99"/>
    <x v="989"/>
    <n v="7424.99"/>
    <s v="Complete Access"/>
    <x v="332"/>
    <x v="1"/>
    <x v="5"/>
    <d v="1900-01-18T00:00:00"/>
    <n v="43"/>
    <x v="4"/>
    <x v="3"/>
  </r>
  <r>
    <x v="667"/>
    <n v="-20.059999999999999"/>
    <x v="1445"/>
    <n v="7790.61"/>
    <s v="Complete Access"/>
    <x v="401"/>
    <x v="20"/>
    <x v="63"/>
    <d v="1900-01-17T00:00:00"/>
    <n v="43"/>
    <x v="4"/>
    <x v="3"/>
  </r>
  <r>
    <x v="667"/>
    <n v="-22.97"/>
    <x v="1446"/>
    <n v="7810.67"/>
    <s v="Complete Access"/>
    <x v="8"/>
    <x v="1"/>
    <x v="5"/>
    <d v="1900-01-17T00:00:00"/>
    <n v="43"/>
    <x v="4"/>
    <x v="3"/>
  </r>
  <r>
    <x v="667"/>
    <n v="-26.3"/>
    <x v="1447"/>
    <n v="7833.64"/>
    <s v="Complete Access"/>
    <x v="8"/>
    <x v="1"/>
    <x v="5"/>
    <d v="1900-01-17T00:00:00"/>
    <n v="43"/>
    <x v="4"/>
    <x v="3"/>
  </r>
  <r>
    <x v="667"/>
    <n v="-36.68"/>
    <x v="1448"/>
    <n v="7571.73"/>
    <s v="Complete Access"/>
    <x v="8"/>
    <x v="1"/>
    <x v="5"/>
    <d v="1900-01-17T00:00:00"/>
    <n v="43"/>
    <x v="4"/>
    <x v="3"/>
  </r>
  <r>
    <x v="667"/>
    <n v="-6.15"/>
    <x v="1449"/>
    <n v="7859.94"/>
    <s v="Complete Access"/>
    <x v="285"/>
    <x v="5"/>
    <x v="8"/>
    <d v="1900-01-17T00:00:00"/>
    <n v="43"/>
    <x v="4"/>
    <x v="3"/>
  </r>
  <r>
    <x v="667"/>
    <n v="-5.99"/>
    <x v="1450"/>
    <n v="7784.62"/>
    <s v="Complete Access"/>
    <x v="352"/>
    <x v="4"/>
    <x v="67"/>
    <d v="1900-01-17T00:00:00"/>
    <n v="43"/>
    <x v="4"/>
    <x v="3"/>
  </r>
  <r>
    <x v="667"/>
    <n v="-15.64"/>
    <x v="1451"/>
    <n v="7612.98"/>
    <s v="Complete Access"/>
    <x v="351"/>
    <x v="1"/>
    <x v="5"/>
    <d v="1900-01-17T00:00:00"/>
    <n v="43"/>
    <x v="4"/>
    <x v="3"/>
  </r>
  <r>
    <x v="667"/>
    <n v="-156"/>
    <x v="1452"/>
    <n v="7628.62"/>
    <s v="Complete Access"/>
    <x v="50"/>
    <x v="4"/>
    <x v="25"/>
    <d v="1900-01-17T00:00:00"/>
    <n v="43"/>
    <x v="4"/>
    <x v="3"/>
  </r>
  <r>
    <x v="667"/>
    <n v="-4.57"/>
    <x v="1453"/>
    <n v="7608.41"/>
    <s v="Complete Access"/>
    <x v="402"/>
    <x v="1"/>
    <x v="5"/>
    <d v="1900-01-17T00:00:00"/>
    <n v="43"/>
    <x v="4"/>
    <x v="3"/>
  </r>
  <r>
    <x v="667"/>
    <n v="-13.1"/>
    <x v="1454"/>
    <n v="7558.63"/>
    <s v="Complete Access"/>
    <x v="1"/>
    <x v="1"/>
    <x v="1"/>
    <d v="1900-01-17T00:00:00"/>
    <n v="43"/>
    <x v="4"/>
    <x v="3"/>
  </r>
  <r>
    <x v="668"/>
    <n v="-30.96"/>
    <x v="1455"/>
    <n v="7866.09"/>
    <s v="Complete Access"/>
    <x v="403"/>
    <x v="1"/>
    <x v="5"/>
    <d v="1900-01-15T00:00:00"/>
    <n v="43"/>
    <x v="4"/>
    <x v="3"/>
  </r>
  <r>
    <x v="669"/>
    <n v="-28.96"/>
    <x v="1456"/>
    <n v="7915.22"/>
    <s v="Complete Access"/>
    <x v="8"/>
    <x v="1"/>
    <x v="5"/>
    <d v="1900-01-14T00:00:00"/>
    <n v="42"/>
    <x v="4"/>
    <x v="3"/>
  </r>
  <r>
    <x v="669"/>
    <n v="-9.65"/>
    <x v="1457"/>
    <n v="7926.35"/>
    <s v="Complete Access"/>
    <x v="285"/>
    <x v="5"/>
    <x v="8"/>
    <d v="1900-01-14T00:00:00"/>
    <n v="42"/>
    <x v="4"/>
    <x v="3"/>
  </r>
  <r>
    <x v="669"/>
    <n v="17.829999999999998"/>
    <x v="1458"/>
    <n v="7944.18"/>
    <s v="Complete Access"/>
    <x v="74"/>
    <x v="4"/>
    <x v="10"/>
    <d v="1900-01-14T00:00:00"/>
    <n v="42"/>
    <x v="4"/>
    <x v="3"/>
  </r>
  <r>
    <x v="669"/>
    <n v="-17.64"/>
    <x v="1459"/>
    <n v="7897.58"/>
    <s v="Complete Access"/>
    <x v="74"/>
    <x v="4"/>
    <x v="10"/>
    <d v="1900-01-14T00:00:00"/>
    <n v="42"/>
    <x v="4"/>
    <x v="3"/>
  </r>
  <r>
    <x v="669"/>
    <n v="-0.53"/>
    <x v="1460"/>
    <n v="7897.05"/>
    <s v="Complete Access"/>
    <x v="10"/>
    <x v="0"/>
    <x v="0"/>
    <d v="1900-01-14T00:00:00"/>
    <n v="42"/>
    <x v="4"/>
    <x v="3"/>
  </r>
  <r>
    <x v="670"/>
    <n v="-9.65"/>
    <x v="1461"/>
    <n v="7949.2"/>
    <s v="Complete Access"/>
    <x v="285"/>
    <x v="5"/>
    <x v="8"/>
    <d v="1900-01-13T00:00:00"/>
    <n v="42"/>
    <x v="4"/>
    <x v="3"/>
  </r>
  <r>
    <x v="670"/>
    <n v="-13.2"/>
    <x v="1462"/>
    <n v="7936"/>
    <s v="Complete Access"/>
    <x v="16"/>
    <x v="1"/>
    <x v="5"/>
    <d v="1900-01-13T00:00:00"/>
    <n v="42"/>
    <x v="4"/>
    <x v="3"/>
  </r>
  <r>
    <x v="671"/>
    <n v="-500"/>
    <x v="656"/>
    <n v="7958.85"/>
    <s v="Complete Access"/>
    <x v="13"/>
    <x v="0"/>
    <x v="0"/>
    <d v="1900-01-12T00:00:00"/>
    <n v="42"/>
    <x v="4"/>
    <x v="3"/>
  </r>
  <r>
    <x v="671"/>
    <n v="2379.48"/>
    <x v="1463"/>
    <n v="8458.85"/>
    <s v="Complete Access"/>
    <x v="14"/>
    <x v="6"/>
    <x v="9"/>
    <d v="1900-01-12T00:00:00"/>
    <n v="42"/>
    <x v="4"/>
    <x v="3"/>
  </r>
  <r>
    <x v="672"/>
    <n v="-9.65"/>
    <x v="1464"/>
    <n v="6117.21"/>
    <s v="Complete Access"/>
    <x v="285"/>
    <x v="5"/>
    <x v="8"/>
    <d v="1900-01-11T00:00:00"/>
    <n v="42"/>
    <x v="4"/>
    <x v="3"/>
  </r>
  <r>
    <x v="672"/>
    <n v="-7.08"/>
    <x v="1108"/>
    <n v="6079.37"/>
    <s v="Complete Access"/>
    <x v="348"/>
    <x v="1"/>
    <x v="5"/>
    <d v="1900-01-11T00:00:00"/>
    <n v="42"/>
    <x v="4"/>
    <x v="3"/>
  </r>
  <r>
    <x v="672"/>
    <n v="-6.99"/>
    <x v="1465"/>
    <n v="6110.22"/>
    <s v="Complete Access"/>
    <x v="222"/>
    <x v="11"/>
    <x v="14"/>
    <d v="1900-01-11T00:00:00"/>
    <n v="42"/>
    <x v="4"/>
    <x v="3"/>
  </r>
  <r>
    <x v="672"/>
    <n v="-23.77"/>
    <x v="1466"/>
    <n v="6086.45"/>
    <s v="Complete Access"/>
    <x v="1"/>
    <x v="1"/>
    <x v="1"/>
    <d v="1900-01-11T00:00:00"/>
    <n v="42"/>
    <x v="4"/>
    <x v="3"/>
  </r>
  <r>
    <x v="673"/>
    <n v="-44.83"/>
    <x v="1467"/>
    <n v="6196.39"/>
    <s v="Complete Access"/>
    <x v="8"/>
    <x v="1"/>
    <x v="5"/>
    <d v="1900-01-10T00:00:00"/>
    <n v="42"/>
    <x v="4"/>
    <x v="3"/>
  </r>
  <r>
    <x v="673"/>
    <n v="-8.49"/>
    <x v="1108"/>
    <n v="6130.16"/>
    <s v="Complete Access"/>
    <x v="348"/>
    <x v="1"/>
    <x v="5"/>
    <d v="1900-01-10T00:00:00"/>
    <n v="42"/>
    <x v="4"/>
    <x v="3"/>
  </r>
  <r>
    <x v="673"/>
    <n v="-3.3"/>
    <x v="659"/>
    <n v="6126.86"/>
    <s v="Complete Access"/>
    <x v="220"/>
    <x v="1"/>
    <x v="5"/>
    <d v="1900-01-10T00:00:00"/>
    <n v="42"/>
    <x v="4"/>
    <x v="3"/>
  </r>
  <r>
    <x v="673"/>
    <n v="-17.16"/>
    <x v="1468"/>
    <n v="6139.16"/>
    <s v="Complete Access"/>
    <x v="74"/>
    <x v="4"/>
    <x v="10"/>
    <d v="1900-01-10T00:00:00"/>
    <n v="42"/>
    <x v="4"/>
    <x v="3"/>
  </r>
  <r>
    <x v="673"/>
    <n v="-0.51"/>
    <x v="1469"/>
    <n v="6138.65"/>
    <s v="Complete Access"/>
    <x v="10"/>
    <x v="0"/>
    <x v="0"/>
    <d v="1900-01-10T00:00:00"/>
    <n v="42"/>
    <x v="4"/>
    <x v="3"/>
  </r>
  <r>
    <x v="673"/>
    <n v="-40.07"/>
    <x v="1470"/>
    <n v="6156.32"/>
    <s v="Complete Access"/>
    <x v="64"/>
    <x v="9"/>
    <x v="12"/>
    <d v="1900-01-10T00:00:00"/>
    <n v="42"/>
    <x v="4"/>
    <x v="3"/>
  </r>
  <r>
    <x v="674"/>
    <n v="-13.14"/>
    <x v="1108"/>
    <n v="6241.22"/>
    <s v="Complete Access"/>
    <x v="348"/>
    <x v="1"/>
    <x v="5"/>
    <d v="1900-01-09T00:00:00"/>
    <n v="42"/>
    <x v="4"/>
    <x v="3"/>
  </r>
  <r>
    <x v="675"/>
    <n v="-100"/>
    <x v="1471"/>
    <n v="6257.16"/>
    <s v="Complete Access"/>
    <x v="130"/>
    <x v="0"/>
    <x v="0"/>
    <d v="1900-01-07T00:00:00"/>
    <n v="41"/>
    <x v="4"/>
    <x v="3"/>
  </r>
  <r>
    <x v="675"/>
    <n v="-50"/>
    <x v="782"/>
    <n v="6357.16"/>
    <s v="Complete Access"/>
    <x v="130"/>
    <x v="0"/>
    <x v="0"/>
    <d v="1900-01-07T00:00:00"/>
    <n v="41"/>
    <x v="4"/>
    <x v="3"/>
  </r>
  <r>
    <x v="675"/>
    <n v="-2.8"/>
    <x v="72"/>
    <n v="6254.36"/>
    <s v="Complete Access"/>
    <x v="37"/>
    <x v="0"/>
    <x v="0"/>
    <d v="1900-01-07T00:00:00"/>
    <n v="41"/>
    <x v="4"/>
    <x v="3"/>
  </r>
  <r>
    <x v="676"/>
    <n v="-100"/>
    <x v="782"/>
    <n v="6407.16"/>
    <s v="Complete Access"/>
    <x v="130"/>
    <x v="0"/>
    <x v="0"/>
    <d v="1900-01-06T00:00:00"/>
    <n v="41"/>
    <x v="4"/>
    <x v="3"/>
  </r>
  <r>
    <x v="677"/>
    <n v="-22.99"/>
    <x v="1472"/>
    <n v="6603.47"/>
    <s v="Complete Access"/>
    <x v="8"/>
    <x v="1"/>
    <x v="5"/>
    <d v="1900-01-05T00:00:00"/>
    <n v="41"/>
    <x v="4"/>
    <x v="3"/>
  </r>
  <r>
    <x v="677"/>
    <n v="-8.4700000000000006"/>
    <x v="1473"/>
    <n v="6626.46"/>
    <s v="Complete Access"/>
    <x v="285"/>
    <x v="5"/>
    <x v="8"/>
    <d v="1900-01-05T00:00:00"/>
    <n v="41"/>
    <x v="4"/>
    <x v="3"/>
  </r>
  <r>
    <x v="677"/>
    <n v="-96.31"/>
    <x v="1474"/>
    <n v="6507.16"/>
    <s v="Complete Access"/>
    <x v="1"/>
    <x v="1"/>
    <x v="1"/>
    <d v="1900-01-05T00:00:00"/>
    <n v="41"/>
    <x v="4"/>
    <x v="3"/>
  </r>
  <r>
    <x v="678"/>
    <n v="-22.79"/>
    <x v="1472"/>
    <n v="6634.93"/>
    <s v="Complete Access"/>
    <x v="8"/>
    <x v="1"/>
    <x v="5"/>
    <d v="1900-01-04T00:00:00"/>
    <n v="41"/>
    <x v="4"/>
    <x v="3"/>
  </r>
  <r>
    <x v="679"/>
    <n v="-26.09"/>
    <x v="1475"/>
    <n v="6850.49"/>
    <s v="Complete Access"/>
    <x v="8"/>
    <x v="1"/>
    <x v="5"/>
    <d v="1900-01-03T00:00:00"/>
    <n v="41"/>
    <x v="4"/>
    <x v="3"/>
  </r>
  <r>
    <x v="679"/>
    <n v="-39.19"/>
    <x v="1475"/>
    <n v="6876.58"/>
    <s v="Complete Access"/>
    <x v="8"/>
    <x v="1"/>
    <x v="5"/>
    <d v="1900-01-03T00:00:00"/>
    <n v="41"/>
    <x v="4"/>
    <x v="3"/>
  </r>
  <r>
    <x v="679"/>
    <n v="-41.1"/>
    <x v="1476"/>
    <n v="6915.77"/>
    <s v="Complete Access"/>
    <x v="104"/>
    <x v="1"/>
    <x v="5"/>
    <d v="1900-01-03T00:00:00"/>
    <n v="41"/>
    <x v="4"/>
    <x v="3"/>
  </r>
  <r>
    <x v="679"/>
    <n v="-180.55"/>
    <x v="1477"/>
    <n v="6657.72"/>
    <s v="Complete Access"/>
    <x v="76"/>
    <x v="2"/>
    <x v="2"/>
    <d v="1900-01-03T00:00:00"/>
    <n v="41"/>
    <x v="4"/>
    <x v="3"/>
  </r>
  <r>
    <x v="679"/>
    <n v="-4.24"/>
    <x v="436"/>
    <n v="6838.27"/>
    <s v="Complete Access"/>
    <x v="186"/>
    <x v="1"/>
    <x v="5"/>
    <d v="1900-01-03T00:00:00"/>
    <n v="41"/>
    <x v="4"/>
    <x v="3"/>
  </r>
  <r>
    <x v="679"/>
    <n v="-7.98"/>
    <x v="436"/>
    <n v="6842.51"/>
    <s v="Complete Access"/>
    <x v="186"/>
    <x v="1"/>
    <x v="5"/>
    <d v="1900-01-03T00:00:00"/>
    <n v="41"/>
    <x v="4"/>
    <x v="3"/>
  </r>
  <r>
    <x v="680"/>
    <n v="-9.65"/>
    <x v="1478"/>
    <n v="6977.82"/>
    <s v="Complete Access"/>
    <x v="285"/>
    <x v="5"/>
    <x v="8"/>
    <d v="1900-01-29T00:00:00"/>
    <n v="40"/>
    <x v="5"/>
    <x v="3"/>
  </r>
  <r>
    <x v="680"/>
    <n v="-20.95"/>
    <x v="96"/>
    <n v="6956.87"/>
    <s v="Complete Access"/>
    <x v="47"/>
    <x v="1"/>
    <x v="5"/>
    <d v="1900-01-29T00:00:00"/>
    <n v="40"/>
    <x v="5"/>
    <x v="3"/>
  </r>
  <r>
    <x v="681"/>
    <n v="-500"/>
    <x v="656"/>
    <n v="6996.27"/>
    <s v="Complete Access"/>
    <x v="13"/>
    <x v="0"/>
    <x v="0"/>
    <d v="1900-01-28T00:00:00"/>
    <n v="40"/>
    <x v="5"/>
    <x v="3"/>
  </r>
  <r>
    <x v="681"/>
    <n v="2727.1"/>
    <x v="1479"/>
    <n v="7496.27"/>
    <s v="Complete Access"/>
    <x v="14"/>
    <x v="6"/>
    <x v="9"/>
    <d v="1900-01-28T00:00:00"/>
    <n v="40"/>
    <x v="5"/>
    <x v="3"/>
  </r>
  <r>
    <x v="681"/>
    <n v="-8.8000000000000007"/>
    <x v="1480"/>
    <n v="6987.47"/>
    <s v="Complete Access"/>
    <x v="277"/>
    <x v="8"/>
    <x v="29"/>
    <d v="1900-01-28T00:00:00"/>
    <n v="40"/>
    <x v="5"/>
    <x v="3"/>
  </r>
  <r>
    <x v="682"/>
    <n v="-23.89"/>
    <x v="1481"/>
    <n v="4785.67"/>
    <s v="Complete Access"/>
    <x v="8"/>
    <x v="1"/>
    <x v="5"/>
    <d v="1900-01-27T00:00:00"/>
    <n v="40"/>
    <x v="5"/>
    <x v="3"/>
  </r>
  <r>
    <x v="682"/>
    <n v="-9.65"/>
    <x v="1482"/>
    <n v="4846.42"/>
    <s v="Complete Access"/>
    <x v="285"/>
    <x v="5"/>
    <x v="8"/>
    <d v="1900-01-27T00:00:00"/>
    <n v="40"/>
    <x v="5"/>
    <x v="3"/>
  </r>
  <r>
    <x v="682"/>
    <n v="-3.3"/>
    <x v="1483"/>
    <n v="4769.17"/>
    <s v="Complete Access"/>
    <x v="220"/>
    <x v="1"/>
    <x v="5"/>
    <d v="1900-01-27T00:00:00"/>
    <n v="40"/>
    <x v="5"/>
    <x v="3"/>
  </r>
  <r>
    <x v="682"/>
    <n v="-13.2"/>
    <x v="1484"/>
    <n v="4772.47"/>
    <s v="Complete Access"/>
    <x v="16"/>
    <x v="1"/>
    <x v="5"/>
    <d v="1900-01-27T00:00:00"/>
    <n v="40"/>
    <x v="5"/>
    <x v="3"/>
  </r>
  <r>
    <x v="682"/>
    <n v="-36.86"/>
    <x v="1485"/>
    <n v="4809.5600000000004"/>
    <s v="Complete Access"/>
    <x v="237"/>
    <x v="15"/>
    <x v="34"/>
    <d v="1900-01-27T00:00:00"/>
    <n v="40"/>
    <x v="5"/>
    <x v="3"/>
  </r>
  <r>
    <x v="683"/>
    <n v="-5"/>
    <x v="1345"/>
    <n v="4862.05"/>
    <s v="Complete Access"/>
    <x v="383"/>
    <x v="1"/>
    <x v="5"/>
    <d v="1900-01-26T00:00:00"/>
    <n v="40"/>
    <x v="5"/>
    <x v="3"/>
  </r>
  <r>
    <x v="683"/>
    <n v="-32.33"/>
    <x v="1486"/>
    <n v="5036.05"/>
    <s v="Complete Access"/>
    <x v="8"/>
    <x v="1"/>
    <x v="5"/>
    <d v="1900-01-26T00:00:00"/>
    <n v="40"/>
    <x v="5"/>
    <x v="3"/>
  </r>
  <r>
    <x v="683"/>
    <n v="-169"/>
    <x v="1487"/>
    <n v="4867.05"/>
    <s v="Complete Access"/>
    <x v="289"/>
    <x v="3"/>
    <x v="15"/>
    <d v="1900-01-26T00:00:00"/>
    <n v="40"/>
    <x v="5"/>
    <x v="3"/>
  </r>
  <r>
    <x v="683"/>
    <n v="214"/>
    <x v="1488"/>
    <n v="5070.07"/>
    <s v="Complete Access"/>
    <x v="404"/>
    <x v="0"/>
    <x v="0"/>
    <d v="1900-01-26T00:00:00"/>
    <n v="40"/>
    <x v="5"/>
    <x v="3"/>
  </r>
  <r>
    <x v="683"/>
    <n v="-5.98"/>
    <x v="1489"/>
    <n v="4856.07"/>
    <s v="Complete Access"/>
    <x v="215"/>
    <x v="1"/>
    <x v="1"/>
    <d v="1900-01-26T00:00:00"/>
    <n v="40"/>
    <x v="5"/>
    <x v="3"/>
  </r>
  <r>
    <x v="683"/>
    <n v="150"/>
    <x v="1490"/>
    <n v="4856.07"/>
    <s v="Complete Access"/>
    <x v="36"/>
    <x v="0"/>
    <x v="0"/>
    <d v="1900-01-26T00:00:00"/>
    <n v="40"/>
    <x v="5"/>
    <x v="3"/>
  </r>
  <r>
    <x v="683"/>
    <n v="-214"/>
    <x v="1491"/>
    <n v="4856.07"/>
    <s v="Complete Access"/>
    <x v="265"/>
    <x v="8"/>
    <x v="22"/>
    <d v="1900-01-26T00:00:00"/>
    <n v="40"/>
    <x v="5"/>
    <x v="3"/>
  </r>
  <r>
    <x v="683"/>
    <n v="-150"/>
    <x v="1492"/>
    <n v="4706.07"/>
    <s v="Complete Access"/>
    <x v="265"/>
    <x v="8"/>
    <x v="22"/>
    <d v="1900-01-26T00:00:00"/>
    <n v="40"/>
    <x v="5"/>
    <x v="3"/>
  </r>
  <r>
    <x v="684"/>
    <n v="-250"/>
    <x v="1493"/>
    <n v="5068.38"/>
    <s v="Complete Access"/>
    <x v="0"/>
    <x v="0"/>
    <x v="0"/>
    <d v="1900-01-23T00:00:00"/>
    <n v="39"/>
    <x v="5"/>
    <x v="3"/>
  </r>
  <r>
    <x v="684"/>
    <n v="-28.5"/>
    <x v="1494"/>
    <n v="5398.37"/>
    <s v="Complete Access"/>
    <x v="405"/>
    <x v="8"/>
    <x v="29"/>
    <d v="1900-01-23T00:00:00"/>
    <n v="39"/>
    <x v="5"/>
    <x v="3"/>
  </r>
  <r>
    <x v="684"/>
    <n v="-244"/>
    <x v="1495"/>
    <n v="5426.87"/>
    <s v="Complete Access"/>
    <x v="406"/>
    <x v="8"/>
    <x v="22"/>
    <d v="1900-01-23T00:00:00"/>
    <n v="39"/>
    <x v="5"/>
    <x v="3"/>
  </r>
  <r>
    <x v="684"/>
    <n v="-13.75"/>
    <x v="1496"/>
    <n v="5670.87"/>
    <s v="Complete Access"/>
    <x v="47"/>
    <x v="1"/>
    <x v="5"/>
    <d v="1900-01-23T00:00:00"/>
    <n v="39"/>
    <x v="5"/>
    <x v="3"/>
  </r>
  <r>
    <x v="684"/>
    <n v="-79.989999999999995"/>
    <x v="1497"/>
    <n v="5318.38"/>
    <s v="Complete Access"/>
    <x v="407"/>
    <x v="1"/>
    <x v="23"/>
    <d v="1900-01-23T00:00:00"/>
    <n v="39"/>
    <x v="5"/>
    <x v="3"/>
  </r>
  <r>
    <x v="684"/>
    <n v="-214"/>
    <x v="1498"/>
    <n v="5684.62"/>
    <s v="Complete Access"/>
    <x v="13"/>
    <x v="0"/>
    <x v="0"/>
    <d v="1900-01-23T00:00:00"/>
    <n v="39"/>
    <x v="5"/>
    <x v="3"/>
  </r>
  <r>
    <x v="685"/>
    <n v="-50"/>
    <x v="1423"/>
    <n v="5898.62"/>
    <s v="Complete Access"/>
    <x v="0"/>
    <x v="0"/>
    <x v="0"/>
    <d v="1900-01-22T00:00:00"/>
    <n v="39"/>
    <x v="5"/>
    <x v="3"/>
  </r>
  <r>
    <x v="686"/>
    <n v="-70.3"/>
    <x v="1499"/>
    <n v="5948.62"/>
    <s v="Complete Access"/>
    <x v="1"/>
    <x v="1"/>
    <x v="1"/>
    <d v="1900-01-20T00:00:00"/>
    <n v="39"/>
    <x v="5"/>
    <x v="3"/>
  </r>
  <r>
    <x v="687"/>
    <n v="-35.44"/>
    <x v="1500"/>
    <n v="6018.92"/>
    <s v="Complete Access"/>
    <x v="8"/>
    <x v="1"/>
    <x v="5"/>
    <d v="1900-01-19T00:00:00"/>
    <n v="39"/>
    <x v="5"/>
    <x v="3"/>
  </r>
  <r>
    <x v="688"/>
    <n v="-15"/>
    <x v="1385"/>
    <n v="6054.36"/>
    <s v="Complete Access"/>
    <x v="0"/>
    <x v="0"/>
    <x v="0"/>
    <d v="1900-01-17T00:00:00"/>
    <n v="39"/>
    <x v="5"/>
    <x v="3"/>
  </r>
  <r>
    <x v="689"/>
    <n v="-5.99"/>
    <x v="1501"/>
    <n v="6069.36"/>
    <s v="Complete Access"/>
    <x v="352"/>
    <x v="4"/>
    <x v="67"/>
    <d v="1900-01-16T00:00:00"/>
    <n v="38"/>
    <x v="5"/>
    <x v="3"/>
  </r>
  <r>
    <x v="690"/>
    <n v="-9.65"/>
    <x v="1502"/>
    <n v="6174.85"/>
    <s v="Complete Access"/>
    <x v="285"/>
    <x v="5"/>
    <x v="8"/>
    <d v="1900-01-15T00:00:00"/>
    <n v="38"/>
    <x v="5"/>
    <x v="3"/>
  </r>
  <r>
    <x v="690"/>
    <n v="-69"/>
    <x v="1503"/>
    <n v="6105.85"/>
    <s v="Complete Access"/>
    <x v="207"/>
    <x v="7"/>
    <x v="11"/>
    <d v="1900-01-15T00:00:00"/>
    <n v="38"/>
    <x v="5"/>
    <x v="3"/>
  </r>
  <r>
    <x v="690"/>
    <n v="-13.5"/>
    <x v="1504"/>
    <n v="6092.35"/>
    <s v="Complete Access"/>
    <x v="277"/>
    <x v="8"/>
    <x v="29"/>
    <d v="1900-01-15T00:00:00"/>
    <n v="38"/>
    <x v="5"/>
    <x v="3"/>
  </r>
  <r>
    <x v="690"/>
    <n v="-17"/>
    <x v="1385"/>
    <n v="6075.35"/>
    <s v="Complete Access"/>
    <x v="0"/>
    <x v="0"/>
    <x v="0"/>
    <d v="1900-01-15T00:00:00"/>
    <n v="38"/>
    <x v="5"/>
    <x v="3"/>
  </r>
  <r>
    <x v="691"/>
    <n v="-500"/>
    <x v="656"/>
    <n v="6208.15"/>
    <s v="Complete Access"/>
    <x v="13"/>
    <x v="0"/>
    <x v="0"/>
    <d v="1900-01-14T00:00:00"/>
    <n v="38"/>
    <x v="5"/>
    <x v="3"/>
  </r>
  <r>
    <x v="691"/>
    <n v="-9.65"/>
    <x v="1505"/>
    <n v="6198.5"/>
    <s v="Complete Access"/>
    <x v="285"/>
    <x v="5"/>
    <x v="8"/>
    <d v="1900-01-14T00:00:00"/>
    <n v="38"/>
    <x v="5"/>
    <x v="3"/>
  </r>
  <r>
    <x v="691"/>
    <n v="-14"/>
    <x v="1506"/>
    <n v="6184.5"/>
    <s v="Complete Access"/>
    <x v="242"/>
    <x v="1"/>
    <x v="5"/>
    <d v="1900-01-14T00:00:00"/>
    <n v="38"/>
    <x v="5"/>
    <x v="3"/>
  </r>
  <r>
    <x v="691"/>
    <n v="2379.48"/>
    <x v="352"/>
    <n v="6708.15"/>
    <s v="Complete Access"/>
    <x v="14"/>
    <x v="6"/>
    <x v="9"/>
    <d v="1900-01-14T00:00:00"/>
    <n v="38"/>
    <x v="5"/>
    <x v="3"/>
  </r>
  <r>
    <x v="692"/>
    <n v="-58.17"/>
    <x v="1507"/>
    <n v="4328.67"/>
    <s v="Complete Access"/>
    <x v="1"/>
    <x v="1"/>
    <x v="1"/>
    <d v="1900-01-13T00:00:00"/>
    <n v="38"/>
    <x v="5"/>
    <x v="3"/>
  </r>
  <r>
    <x v="693"/>
    <n v="-26.09"/>
    <x v="1508"/>
    <n v="4432.34"/>
    <s v="Complete Access"/>
    <x v="8"/>
    <x v="1"/>
    <x v="5"/>
    <d v="1900-01-12T00:00:00"/>
    <n v="38"/>
    <x v="5"/>
    <x v="3"/>
  </r>
  <r>
    <x v="693"/>
    <n v="-29.05"/>
    <x v="1509"/>
    <n v="4403.29"/>
    <s v="Complete Access"/>
    <x v="1"/>
    <x v="1"/>
    <x v="1"/>
    <d v="1900-01-12T00:00:00"/>
    <n v="38"/>
    <x v="5"/>
    <x v="3"/>
  </r>
  <r>
    <x v="693"/>
    <n v="-16.45"/>
    <x v="1510"/>
    <n v="4386.84"/>
    <s v="Complete Access"/>
    <x v="367"/>
    <x v="4"/>
    <x v="7"/>
    <d v="1900-01-12T00:00:00"/>
    <n v="38"/>
    <x v="5"/>
    <x v="3"/>
  </r>
  <r>
    <x v="694"/>
    <n v="-18.170000000000002"/>
    <x v="1130"/>
    <n v="4796.43"/>
    <s v="Complete Access"/>
    <x v="351"/>
    <x v="1"/>
    <x v="5"/>
    <d v="1900-01-09T00:00:00"/>
    <n v="37"/>
    <x v="5"/>
    <x v="3"/>
  </r>
  <r>
    <x v="694"/>
    <n v="-303"/>
    <x v="112"/>
    <n v="4493.43"/>
    <s v="Complete Access"/>
    <x v="50"/>
    <x v="4"/>
    <x v="25"/>
    <d v="1900-01-09T00:00:00"/>
    <n v="37"/>
    <x v="5"/>
    <x v="3"/>
  </r>
  <r>
    <x v="694"/>
    <n v="-35"/>
    <x v="1511"/>
    <n v="4458.43"/>
    <s v="Complete Access"/>
    <x v="21"/>
    <x v="10"/>
    <x v="13"/>
    <d v="1900-01-09T00:00:00"/>
    <n v="37"/>
    <x v="5"/>
    <x v="3"/>
  </r>
  <r>
    <x v="695"/>
    <n v="-9.65"/>
    <x v="1512"/>
    <n v="4814.6000000000004"/>
    <s v="Complete Access"/>
    <x v="285"/>
    <x v="5"/>
    <x v="8"/>
    <d v="1900-01-07T00:00:00"/>
    <n v="37"/>
    <x v="5"/>
    <x v="3"/>
  </r>
  <r>
    <x v="696"/>
    <n v="-9.65"/>
    <x v="1513"/>
    <n v="5683.52"/>
    <s v="Complete Access"/>
    <x v="285"/>
    <x v="5"/>
    <x v="8"/>
    <d v="1900-01-06T00:00:00"/>
    <n v="37"/>
    <x v="5"/>
    <x v="3"/>
  </r>
  <r>
    <x v="696"/>
    <n v="-13.2"/>
    <x v="1514"/>
    <n v="4858.58"/>
    <s v="Complete Access"/>
    <x v="16"/>
    <x v="1"/>
    <x v="5"/>
    <d v="1900-01-06T00:00:00"/>
    <n v="37"/>
    <x v="5"/>
    <x v="3"/>
  </r>
  <r>
    <x v="696"/>
    <n v="-31.82"/>
    <x v="1515"/>
    <n v="4880.78"/>
    <s v="Complete Access"/>
    <x v="237"/>
    <x v="15"/>
    <x v="34"/>
    <d v="1900-01-06T00:00:00"/>
    <n v="37"/>
    <x v="5"/>
    <x v="3"/>
  </r>
  <r>
    <x v="696"/>
    <n v="-34.33"/>
    <x v="1516"/>
    <n v="4824.25"/>
    <s v="Complete Access"/>
    <x v="1"/>
    <x v="1"/>
    <x v="1"/>
    <d v="1900-01-06T00:00:00"/>
    <n v="37"/>
    <x v="5"/>
    <x v="3"/>
  </r>
  <r>
    <x v="696"/>
    <n v="-770.92"/>
    <x v="1517"/>
    <n v="4912.6000000000004"/>
    <s v="Complete Access"/>
    <x v="408"/>
    <x v="14"/>
    <x v="66"/>
    <d v="1900-01-06T00:00:00"/>
    <n v="37"/>
    <x v="5"/>
    <x v="3"/>
  </r>
  <r>
    <x v="696"/>
    <n v="-9"/>
    <x v="1518"/>
    <n v="4871.78"/>
    <s v="Complete Access"/>
    <x v="409"/>
    <x v="8"/>
    <x v="29"/>
    <d v="1900-01-06T00:00:00"/>
    <n v="37"/>
    <x v="5"/>
    <x v="3"/>
  </r>
  <r>
    <x v="697"/>
    <n v="-3649"/>
    <x v="1519"/>
    <n v="5715.79"/>
    <s v="Complete Access"/>
    <x v="50"/>
    <x v="4"/>
    <x v="25"/>
    <d v="1900-01-05T00:00:00"/>
    <n v="37"/>
    <x v="5"/>
    <x v="3"/>
  </r>
  <r>
    <x v="697"/>
    <n v="-22.62"/>
    <x v="436"/>
    <n v="5693.17"/>
    <s v="Complete Access"/>
    <x v="186"/>
    <x v="1"/>
    <x v="5"/>
    <d v="1900-01-05T00:00:00"/>
    <n v="37"/>
    <x v="5"/>
    <x v="3"/>
  </r>
  <r>
    <x v="698"/>
    <n v="-41.7"/>
    <x v="1520"/>
    <n v="9364.7900000000009"/>
    <s v="Complete Access"/>
    <x v="410"/>
    <x v="8"/>
    <x v="29"/>
    <d v="1900-01-04T00:00:00"/>
    <n v="37"/>
    <x v="5"/>
    <x v="3"/>
  </r>
  <r>
    <x v="699"/>
    <n v="-9.65"/>
    <x v="1521"/>
    <n v="9484.91"/>
    <s v="Complete Access"/>
    <x v="285"/>
    <x v="5"/>
    <x v="8"/>
    <d v="1900-01-01T00:00:00"/>
    <n v="36"/>
    <x v="5"/>
    <x v="3"/>
  </r>
  <r>
    <x v="699"/>
    <n v="-14.72"/>
    <x v="1522"/>
    <n v="9470.19"/>
    <s v="Complete Access"/>
    <x v="16"/>
    <x v="1"/>
    <x v="5"/>
    <d v="1900-01-01T00:00:00"/>
    <n v="36"/>
    <x v="5"/>
    <x v="3"/>
  </r>
  <r>
    <x v="699"/>
    <n v="-63.7"/>
    <x v="1523"/>
    <n v="9406.49"/>
    <s v="Complete Access"/>
    <x v="1"/>
    <x v="1"/>
    <x v="1"/>
    <d v="1900-01-01T00:00:00"/>
    <n v="36"/>
    <x v="5"/>
    <x v="3"/>
  </r>
  <r>
    <x v="700"/>
    <n v="-500"/>
    <x v="656"/>
    <n v="9749.64"/>
    <s v="Complete Access"/>
    <x v="13"/>
    <x v="0"/>
    <x v="0"/>
    <d v="1899-12-31T00:00:00"/>
    <n v="36"/>
    <x v="5"/>
    <x v="3"/>
  </r>
  <r>
    <x v="700"/>
    <n v="-9.65"/>
    <x v="1524"/>
    <n v="9739.99"/>
    <s v="Complete Access"/>
    <x v="285"/>
    <x v="5"/>
    <x v="8"/>
    <d v="1899-12-31T00:00:00"/>
    <n v="36"/>
    <x v="5"/>
    <x v="3"/>
  </r>
  <r>
    <x v="700"/>
    <n v="-14"/>
    <x v="1525"/>
    <n v="9675.11"/>
    <s v="Complete Access"/>
    <x v="242"/>
    <x v="1"/>
    <x v="5"/>
    <d v="1899-12-31T00:00:00"/>
    <n v="36"/>
    <x v="5"/>
    <x v="3"/>
  </r>
  <r>
    <x v="700"/>
    <n v="2325.65"/>
    <x v="1526"/>
    <n v="10249.64"/>
    <s v="Complete Access"/>
    <x v="14"/>
    <x v="6"/>
    <x v="9"/>
    <d v="1899-12-31T00:00:00"/>
    <n v="36"/>
    <x v="5"/>
    <x v="3"/>
  </r>
  <r>
    <x v="700"/>
    <n v="-180.55"/>
    <x v="1527"/>
    <n v="9494.56"/>
    <s v="Complete Access"/>
    <x v="76"/>
    <x v="2"/>
    <x v="2"/>
    <d v="1899-12-31T00:00:00"/>
    <n v="36"/>
    <x v="5"/>
    <x v="3"/>
  </r>
  <r>
    <x v="700"/>
    <n v="-50.88"/>
    <x v="1528"/>
    <n v="9689.11"/>
    <s v="Complete Access"/>
    <x v="1"/>
    <x v="1"/>
    <x v="1"/>
    <d v="1899-12-31T00:00:00"/>
    <n v="36"/>
    <x v="5"/>
    <x v="3"/>
  </r>
  <r>
    <x v="701"/>
    <n v="-9.65"/>
    <x v="1529"/>
    <n v="8131.99"/>
    <s v="Complete Access"/>
    <x v="285"/>
    <x v="5"/>
    <x v="8"/>
    <d v="1900-01-30T00:00:00"/>
    <n v="36"/>
    <x v="6"/>
    <x v="3"/>
  </r>
  <r>
    <x v="701"/>
    <n v="-208"/>
    <x v="1530"/>
    <n v="7923.99"/>
    <s v="Complete Access"/>
    <x v="411"/>
    <x v="3"/>
    <x v="60"/>
    <d v="1900-01-30T00:00:00"/>
    <n v="36"/>
    <x v="6"/>
    <x v="3"/>
  </r>
  <r>
    <x v="702"/>
    <n v="-40.799999999999997"/>
    <x v="1531"/>
    <n v="8171.33"/>
    <s v="Complete Access"/>
    <x v="412"/>
    <x v="16"/>
    <x v="35"/>
    <d v="1900-01-29T00:00:00"/>
    <n v="36"/>
    <x v="6"/>
    <x v="3"/>
  </r>
  <r>
    <x v="702"/>
    <n v="-29.69"/>
    <x v="1532"/>
    <n v="8141.64"/>
    <s v="Complete Access"/>
    <x v="104"/>
    <x v="1"/>
    <x v="5"/>
    <d v="1900-01-29T00:00:00"/>
    <n v="36"/>
    <x v="6"/>
    <x v="3"/>
  </r>
  <r>
    <x v="703"/>
    <n v="-22.62"/>
    <x v="436"/>
    <n v="8212.1299999999992"/>
    <s v="Complete Access"/>
    <x v="186"/>
    <x v="1"/>
    <x v="5"/>
    <d v="1900-01-28T00:00:00"/>
    <n v="36"/>
    <x v="6"/>
    <x v="3"/>
  </r>
  <r>
    <x v="704"/>
    <n v="-150"/>
    <x v="1533"/>
    <n v="8252.08"/>
    <s v="Complete Access"/>
    <x v="130"/>
    <x v="0"/>
    <x v="0"/>
    <d v="1900-01-27T00:00:00"/>
    <n v="36"/>
    <x v="6"/>
    <x v="3"/>
  </r>
  <r>
    <x v="704"/>
    <n v="-17.329999999999998"/>
    <x v="1534"/>
    <n v="8234.75"/>
    <s v="Complete Access"/>
    <x v="413"/>
    <x v="1"/>
    <x v="5"/>
    <d v="1900-01-27T00:00:00"/>
    <n v="36"/>
    <x v="6"/>
    <x v="3"/>
  </r>
  <r>
    <x v="704"/>
    <n v="-5.5"/>
    <x v="1535"/>
    <n v="8402.08"/>
    <s v="Complete Access"/>
    <x v="414"/>
    <x v="1"/>
    <x v="1"/>
    <d v="1900-01-27T00:00:00"/>
    <n v="36"/>
    <x v="6"/>
    <x v="3"/>
  </r>
  <r>
    <x v="704"/>
    <n v="-2.5"/>
    <x v="1535"/>
    <n v="8407.58"/>
    <s v="Complete Access"/>
    <x v="414"/>
    <x v="1"/>
    <x v="1"/>
    <d v="1900-01-27T00:00:00"/>
    <n v="36"/>
    <x v="6"/>
    <x v="3"/>
  </r>
  <r>
    <x v="705"/>
    <n v="-55.53"/>
    <x v="1536"/>
    <n v="8427.08"/>
    <s v="Complete Access"/>
    <x v="415"/>
    <x v="12"/>
    <x v="21"/>
    <d v="1900-01-25T00:00:00"/>
    <n v="35"/>
    <x v="6"/>
    <x v="3"/>
  </r>
  <r>
    <x v="705"/>
    <n v="-17"/>
    <x v="1157"/>
    <n v="8410.08"/>
    <s v="Complete Access"/>
    <x v="0"/>
    <x v="0"/>
    <x v="0"/>
    <d v="1900-01-25T00:00:00"/>
    <n v="35"/>
    <x v="6"/>
    <x v="3"/>
  </r>
  <r>
    <x v="706"/>
    <n v="-6.22"/>
    <x v="1537"/>
    <n v="8532.51"/>
    <s v="Complete Access"/>
    <x v="188"/>
    <x v="1"/>
    <x v="1"/>
    <d v="1900-01-24T00:00:00"/>
    <n v="35"/>
    <x v="6"/>
    <x v="3"/>
  </r>
  <r>
    <x v="706"/>
    <n v="-7.5"/>
    <x v="1537"/>
    <n v="8538.73"/>
    <s v="Complete Access"/>
    <x v="188"/>
    <x v="1"/>
    <x v="1"/>
    <d v="1900-01-24T00:00:00"/>
    <n v="35"/>
    <x v="6"/>
    <x v="3"/>
  </r>
  <r>
    <x v="706"/>
    <n v="-10.9"/>
    <x v="1538"/>
    <n v="8521.61"/>
    <s v="Complete Access"/>
    <x v="61"/>
    <x v="1"/>
    <x v="1"/>
    <d v="1900-01-24T00:00:00"/>
    <n v="35"/>
    <x v="6"/>
    <x v="3"/>
  </r>
  <r>
    <x v="706"/>
    <n v="-9.65"/>
    <x v="1539"/>
    <n v="8588.8799999999992"/>
    <s v="Complete Access"/>
    <x v="285"/>
    <x v="5"/>
    <x v="8"/>
    <d v="1900-01-24T00:00:00"/>
    <n v="35"/>
    <x v="6"/>
    <x v="3"/>
  </r>
  <r>
    <x v="706"/>
    <n v="-42.65"/>
    <x v="1540"/>
    <n v="8546.23"/>
    <s v="Complete Access"/>
    <x v="20"/>
    <x v="9"/>
    <x v="12"/>
    <d v="1900-01-24T00:00:00"/>
    <n v="35"/>
    <x v="6"/>
    <x v="3"/>
  </r>
  <r>
    <x v="706"/>
    <n v="-39"/>
    <x v="96"/>
    <n v="8482.61"/>
    <s v="Complete Access"/>
    <x v="47"/>
    <x v="1"/>
    <x v="5"/>
    <d v="1900-01-24T00:00:00"/>
    <n v="35"/>
    <x v="6"/>
    <x v="3"/>
  </r>
  <r>
    <x v="707"/>
    <n v="-10"/>
    <x v="1541"/>
    <n v="8650.32"/>
    <s v="Complete Access"/>
    <x v="416"/>
    <x v="3"/>
    <x v="60"/>
    <d v="1900-01-23T00:00:00"/>
    <n v="35"/>
    <x v="6"/>
    <x v="3"/>
  </r>
  <r>
    <x v="707"/>
    <n v="-11.44"/>
    <x v="1542"/>
    <n v="8671.77"/>
    <s v="Complete Access"/>
    <x v="285"/>
    <x v="5"/>
    <x v="8"/>
    <d v="1900-01-23T00:00:00"/>
    <n v="35"/>
    <x v="6"/>
    <x v="3"/>
  </r>
  <r>
    <x v="707"/>
    <n v="-13"/>
    <x v="1543"/>
    <n v="8610.93"/>
    <s v="Complete Access"/>
    <x v="242"/>
    <x v="1"/>
    <x v="5"/>
    <d v="1900-01-23T00:00:00"/>
    <n v="35"/>
    <x v="6"/>
    <x v="3"/>
  </r>
  <r>
    <x v="707"/>
    <n v="-12.4"/>
    <x v="96"/>
    <n v="8598.5300000000007"/>
    <s v="Complete Access"/>
    <x v="47"/>
    <x v="1"/>
    <x v="5"/>
    <d v="1900-01-23T00:00:00"/>
    <n v="35"/>
    <x v="6"/>
    <x v="3"/>
  </r>
  <r>
    <x v="707"/>
    <n v="-11.45"/>
    <x v="1544"/>
    <n v="8660.32"/>
    <s v="Complete Access"/>
    <x v="47"/>
    <x v="1"/>
    <x v="5"/>
    <d v="1900-01-23T00:00:00"/>
    <n v="35"/>
    <x v="6"/>
    <x v="3"/>
  </r>
  <r>
    <x v="707"/>
    <n v="-26.39"/>
    <x v="1545"/>
    <n v="8623.93"/>
    <s v="Complete Access"/>
    <x v="1"/>
    <x v="1"/>
    <x v="1"/>
    <d v="1900-01-23T00:00:00"/>
    <n v="35"/>
    <x v="6"/>
    <x v="3"/>
  </r>
  <r>
    <x v="708"/>
    <n v="-199"/>
    <x v="1546"/>
    <n v="8694.7099999999991"/>
    <s v="Complete Access"/>
    <x v="416"/>
    <x v="3"/>
    <x v="60"/>
    <d v="1900-01-22T00:00:00"/>
    <n v="35"/>
    <x v="6"/>
    <x v="3"/>
  </r>
  <r>
    <x v="708"/>
    <n v="-11.5"/>
    <x v="1547"/>
    <n v="8683.2099999999991"/>
    <s v="Complete Access"/>
    <x v="417"/>
    <x v="1"/>
    <x v="1"/>
    <d v="1900-01-22T00:00:00"/>
    <n v="35"/>
    <x v="6"/>
    <x v="3"/>
  </r>
  <r>
    <x v="709"/>
    <n v="-21.5"/>
    <x v="96"/>
    <n v="8889.01"/>
    <s v="Complete Access"/>
    <x v="47"/>
    <x v="1"/>
    <x v="5"/>
    <d v="1900-01-20T00:00:00"/>
    <n v="35"/>
    <x v="6"/>
    <x v="3"/>
  </r>
  <r>
    <x v="709"/>
    <n v="4.7"/>
    <x v="1548"/>
    <n v="8893.7099999999991"/>
    <s v="Complete Access"/>
    <x v="36"/>
    <x v="0"/>
    <x v="0"/>
    <d v="1900-01-20T00:00:00"/>
    <n v="35"/>
    <x v="6"/>
    <x v="3"/>
  </r>
  <r>
    <x v="710"/>
    <n v="-250"/>
    <x v="1549"/>
    <n v="8876.7099999999991"/>
    <s v="Complete Access"/>
    <x v="418"/>
    <x v="18"/>
    <x v="69"/>
    <d v="1900-01-19T00:00:00"/>
    <n v="34"/>
    <x v="6"/>
    <x v="3"/>
  </r>
  <r>
    <x v="710"/>
    <n v="-16.2"/>
    <x v="96"/>
    <n v="8910.51"/>
    <s v="Complete Access"/>
    <x v="47"/>
    <x v="1"/>
    <x v="5"/>
    <d v="1900-01-19T00:00:00"/>
    <n v="34"/>
    <x v="6"/>
    <x v="3"/>
  </r>
  <r>
    <x v="710"/>
    <n v="50"/>
    <x v="1550"/>
    <n v="8926.7099999999991"/>
    <s v="Complete Access"/>
    <x v="36"/>
    <x v="0"/>
    <x v="0"/>
    <d v="1900-01-19T00:00:00"/>
    <n v="34"/>
    <x v="6"/>
    <x v="3"/>
  </r>
  <r>
    <x v="711"/>
    <n v="-9.65"/>
    <x v="1551"/>
    <n v="9623.7199999999993"/>
    <s v="Complete Access"/>
    <x v="285"/>
    <x v="5"/>
    <x v="8"/>
    <d v="1900-01-18T00:00:00"/>
    <n v="34"/>
    <x v="6"/>
    <x v="3"/>
  </r>
  <r>
    <x v="711"/>
    <n v="-98.15"/>
    <x v="1552"/>
    <n v="9131.7099999999991"/>
    <s v="Complete Access"/>
    <x v="419"/>
    <x v="1"/>
    <x v="5"/>
    <d v="1900-01-18T00:00:00"/>
    <n v="34"/>
    <x v="6"/>
    <x v="3"/>
  </r>
  <r>
    <x v="711"/>
    <n v="-380.66"/>
    <x v="1553"/>
    <n v="9243.06"/>
    <s v="Complete Access"/>
    <x v="95"/>
    <x v="14"/>
    <x v="38"/>
    <d v="1900-01-18T00:00:00"/>
    <n v="34"/>
    <x v="6"/>
    <x v="3"/>
  </r>
  <r>
    <x v="711"/>
    <n v="-13.2"/>
    <x v="1554"/>
    <n v="9229.86"/>
    <s v="Complete Access"/>
    <x v="16"/>
    <x v="1"/>
    <x v="5"/>
    <d v="1900-01-18T00:00:00"/>
    <n v="34"/>
    <x v="6"/>
    <x v="3"/>
  </r>
  <r>
    <x v="711"/>
    <n v="-5"/>
    <x v="1555"/>
    <n v="9126.7099999999991"/>
    <s v="Complete Access"/>
    <x v="4"/>
    <x v="1"/>
    <x v="1"/>
    <d v="1900-01-18T00:00:00"/>
    <n v="34"/>
    <x v="6"/>
    <x v="3"/>
  </r>
  <r>
    <x v="712"/>
    <n v="-500"/>
    <x v="656"/>
    <n v="10458.14"/>
    <s v="Complete Access"/>
    <x v="13"/>
    <x v="0"/>
    <x v="0"/>
    <d v="1900-01-17T00:00:00"/>
    <n v="34"/>
    <x v="6"/>
    <x v="3"/>
  </r>
  <r>
    <x v="712"/>
    <n v="-9.65"/>
    <x v="1556"/>
    <n v="10448.49"/>
    <s v="Complete Access"/>
    <x v="285"/>
    <x v="5"/>
    <x v="8"/>
    <d v="1900-01-17T00:00:00"/>
    <n v="34"/>
    <x v="6"/>
    <x v="3"/>
  </r>
  <r>
    <x v="712"/>
    <n v="-69"/>
    <x v="1557"/>
    <n v="10379.49"/>
    <s v="Complete Access"/>
    <x v="207"/>
    <x v="7"/>
    <x v="11"/>
    <d v="1900-01-17T00:00:00"/>
    <n v="34"/>
    <x v="6"/>
    <x v="3"/>
  </r>
  <r>
    <x v="712"/>
    <n v="-3.3"/>
    <x v="1558"/>
    <n v="9633.3700000000008"/>
    <s v="Complete Access"/>
    <x v="220"/>
    <x v="1"/>
    <x v="5"/>
    <d v="1900-01-17T00:00:00"/>
    <n v="34"/>
    <x v="6"/>
    <x v="3"/>
  </r>
  <r>
    <x v="712"/>
    <n v="-5.99"/>
    <x v="1559"/>
    <n v="10373.5"/>
    <s v="Complete Access"/>
    <x v="352"/>
    <x v="4"/>
    <x v="67"/>
    <d v="1900-01-17T00:00:00"/>
    <n v="34"/>
    <x v="6"/>
    <x v="3"/>
  </r>
  <r>
    <x v="712"/>
    <n v="2325.64"/>
    <x v="1560"/>
    <n v="10958.14"/>
    <s v="Complete Access"/>
    <x v="14"/>
    <x v="6"/>
    <x v="9"/>
    <d v="1900-01-17T00:00:00"/>
    <n v="34"/>
    <x v="6"/>
    <x v="3"/>
  </r>
  <r>
    <x v="712"/>
    <n v="-13.2"/>
    <x v="1561"/>
    <n v="10360.299999999999"/>
    <s v="Complete Access"/>
    <x v="16"/>
    <x v="1"/>
    <x v="5"/>
    <d v="1900-01-17T00:00:00"/>
    <n v="34"/>
    <x v="6"/>
    <x v="3"/>
  </r>
  <r>
    <x v="712"/>
    <n v="-723.63"/>
    <x v="1562"/>
    <n v="9636.67"/>
    <s v="Complete Access"/>
    <x v="420"/>
    <x v="9"/>
    <x v="57"/>
    <d v="1900-01-17T00:00:00"/>
    <n v="34"/>
    <x v="6"/>
    <x v="3"/>
  </r>
  <r>
    <x v="713"/>
    <n v="-705.76"/>
    <x v="1563"/>
    <n v="8592.5"/>
    <s v="Complete Access"/>
    <x v="295"/>
    <x v="14"/>
    <x v="66"/>
    <d v="1900-01-16T00:00:00"/>
    <n v="34"/>
    <x v="6"/>
    <x v="3"/>
  </r>
  <r>
    <x v="713"/>
    <n v="-124.31"/>
    <x v="1563"/>
    <n v="9413.7000000000007"/>
    <s v="Complete Access"/>
    <x v="295"/>
    <x v="14"/>
    <x v="66"/>
    <d v="1900-01-16T00:00:00"/>
    <n v="34"/>
    <x v="6"/>
    <x v="3"/>
  </r>
  <r>
    <x v="713"/>
    <n v="40"/>
    <x v="1564"/>
    <n v="8632.5"/>
    <s v="Complete Access"/>
    <x v="36"/>
    <x v="0"/>
    <x v="0"/>
    <d v="1900-01-16T00:00:00"/>
    <n v="34"/>
    <x v="6"/>
    <x v="3"/>
  </r>
  <r>
    <x v="713"/>
    <n v="-115.44"/>
    <x v="1565"/>
    <n v="9298.26"/>
    <s v="Complete Access"/>
    <x v="1"/>
    <x v="1"/>
    <x v="1"/>
    <d v="1900-01-16T00:00:00"/>
    <n v="34"/>
    <x v="6"/>
    <x v="3"/>
  </r>
  <r>
    <x v="714"/>
    <n v="-5"/>
    <x v="1345"/>
    <n v="9458.01"/>
    <s v="Complete Access"/>
    <x v="383"/>
    <x v="1"/>
    <x v="5"/>
    <d v="1900-01-15T00:00:00"/>
    <n v="34"/>
    <x v="6"/>
    <x v="3"/>
  </r>
  <r>
    <x v="714"/>
    <n v="-26.09"/>
    <x v="1566"/>
    <n v="9464.5"/>
    <s v="Complete Access"/>
    <x v="8"/>
    <x v="1"/>
    <x v="5"/>
    <d v="1900-01-15T00:00:00"/>
    <n v="34"/>
    <x v="6"/>
    <x v="3"/>
  </r>
  <r>
    <x v="714"/>
    <n v="50"/>
    <x v="1567"/>
    <n v="9508.01"/>
    <s v="Complete Access"/>
    <x v="36"/>
    <x v="0"/>
    <x v="0"/>
    <d v="1900-01-15T00:00:00"/>
    <n v="34"/>
    <x v="6"/>
    <x v="3"/>
  </r>
  <r>
    <x v="714"/>
    <n v="20"/>
    <x v="1568"/>
    <n v="9463.01"/>
    <s v="Complete Access"/>
    <x v="36"/>
    <x v="0"/>
    <x v="0"/>
    <d v="1900-01-15T00:00:00"/>
    <n v="34"/>
    <x v="6"/>
    <x v="3"/>
  </r>
  <r>
    <x v="714"/>
    <n v="-21.49"/>
    <x v="1569"/>
    <n v="9443.01"/>
    <s v="Complete Access"/>
    <x v="104"/>
    <x v="1"/>
    <x v="5"/>
    <d v="1900-01-15T00:00:00"/>
    <n v="34"/>
    <x v="6"/>
    <x v="3"/>
  </r>
  <r>
    <x v="714"/>
    <n v="30"/>
    <x v="1570"/>
    <n v="9538.01"/>
    <s v="Complete Access"/>
    <x v="67"/>
    <x v="0"/>
    <x v="0"/>
    <d v="1900-01-15T00:00:00"/>
    <n v="34"/>
    <x v="6"/>
    <x v="3"/>
  </r>
  <r>
    <x v="715"/>
    <n v="40"/>
    <x v="1571"/>
    <n v="9490.59"/>
    <s v="Complete Access"/>
    <x v="36"/>
    <x v="0"/>
    <x v="0"/>
    <d v="1900-01-14T00:00:00"/>
    <n v="34"/>
    <x v="6"/>
    <x v="3"/>
  </r>
  <r>
    <x v="715"/>
    <n v="20"/>
    <x v="1572"/>
    <n v="9450.59"/>
    <s v="Complete Access"/>
    <x v="36"/>
    <x v="0"/>
    <x v="0"/>
    <d v="1900-01-14T00:00:00"/>
    <n v="34"/>
    <x v="6"/>
    <x v="3"/>
  </r>
  <r>
    <x v="716"/>
    <n v="-15.05"/>
    <x v="96"/>
    <n v="9430.59"/>
    <s v="Complete Access"/>
    <x v="47"/>
    <x v="1"/>
    <x v="5"/>
    <d v="1900-01-13T00:00:00"/>
    <n v="34"/>
    <x v="6"/>
    <x v="3"/>
  </r>
  <r>
    <x v="717"/>
    <n v="1300"/>
    <x v="1573"/>
    <n v="9463.64"/>
    <s v="Complete Access"/>
    <x v="36"/>
    <x v="0"/>
    <x v="0"/>
    <d v="1900-01-12T00:00:00"/>
    <n v="33"/>
    <x v="6"/>
    <x v="3"/>
  </r>
  <r>
    <x v="717"/>
    <n v="-18"/>
    <x v="1574"/>
    <n v="9445.64"/>
    <s v="Complete Access"/>
    <x v="0"/>
    <x v="0"/>
    <x v="0"/>
    <d v="1900-01-12T00:00:00"/>
    <n v="33"/>
    <x v="6"/>
    <x v="3"/>
  </r>
  <r>
    <x v="718"/>
    <n v="-41.92"/>
    <x v="96"/>
    <n v="8150.64"/>
    <s v="Complete Access"/>
    <x v="47"/>
    <x v="1"/>
    <x v="5"/>
    <d v="1900-01-11T00:00:00"/>
    <n v="33"/>
    <x v="6"/>
    <x v="3"/>
  </r>
  <r>
    <x v="718"/>
    <n v="13"/>
    <x v="1119"/>
    <n v="8163.64"/>
    <s v="Complete Access"/>
    <x v="36"/>
    <x v="0"/>
    <x v="0"/>
    <d v="1900-01-11T00:00:00"/>
    <n v="33"/>
    <x v="6"/>
    <x v="3"/>
  </r>
  <r>
    <x v="718"/>
    <n v="-42.48"/>
    <x v="1575"/>
    <n v="8209.01"/>
    <s v="Complete Access"/>
    <x v="1"/>
    <x v="1"/>
    <x v="1"/>
    <d v="1900-01-11T00:00:00"/>
    <n v="33"/>
    <x v="6"/>
    <x v="3"/>
  </r>
  <r>
    <x v="718"/>
    <n v="-16.45"/>
    <x v="1576"/>
    <n v="8192.56"/>
    <s v="Complete Access"/>
    <x v="367"/>
    <x v="4"/>
    <x v="7"/>
    <d v="1900-01-11T00:00:00"/>
    <n v="33"/>
    <x v="6"/>
    <x v="3"/>
  </r>
  <r>
    <x v="719"/>
    <n v="-9.5"/>
    <x v="1577"/>
    <n v="8291.5499999999993"/>
    <s v="Complete Access"/>
    <x v="188"/>
    <x v="1"/>
    <x v="1"/>
    <d v="1900-01-10T00:00:00"/>
    <n v="33"/>
    <x v="6"/>
    <x v="3"/>
  </r>
  <r>
    <x v="719"/>
    <n v="-9.65"/>
    <x v="1578"/>
    <n v="8318.91"/>
    <s v="Complete Access"/>
    <x v="285"/>
    <x v="5"/>
    <x v="8"/>
    <d v="1900-01-10T00:00:00"/>
    <n v="33"/>
    <x v="6"/>
    <x v="3"/>
  </r>
  <r>
    <x v="719"/>
    <n v="-13.8"/>
    <x v="1579"/>
    <n v="8305.11"/>
    <s v="Complete Access"/>
    <x v="421"/>
    <x v="20"/>
    <x v="63"/>
    <d v="1900-01-10T00:00:00"/>
    <n v="33"/>
    <x v="6"/>
    <x v="3"/>
  </r>
  <r>
    <x v="719"/>
    <n v="-4.0599999999999996"/>
    <x v="1580"/>
    <n v="8301.0499999999993"/>
    <s v="Complete Access"/>
    <x v="16"/>
    <x v="1"/>
    <x v="5"/>
    <d v="1900-01-10T00:00:00"/>
    <n v="33"/>
    <x v="6"/>
    <x v="3"/>
  </r>
  <r>
    <x v="719"/>
    <n v="-40.06"/>
    <x v="1581"/>
    <n v="8251.49"/>
    <s v="Complete Access"/>
    <x v="34"/>
    <x v="9"/>
    <x v="12"/>
    <d v="1900-01-10T00:00:00"/>
    <n v="33"/>
    <x v="6"/>
    <x v="3"/>
  </r>
  <r>
    <x v="720"/>
    <n v="-9.65"/>
    <x v="1582"/>
    <n v="8345.68"/>
    <s v="Complete Access"/>
    <x v="285"/>
    <x v="5"/>
    <x v="8"/>
    <d v="1900-01-09T00:00:00"/>
    <n v="33"/>
    <x v="6"/>
    <x v="3"/>
  </r>
  <r>
    <x v="720"/>
    <n v="-17.12"/>
    <x v="1583"/>
    <n v="8328.56"/>
    <s v="Complete Access"/>
    <x v="1"/>
    <x v="1"/>
    <x v="1"/>
    <d v="1900-01-09T00:00:00"/>
    <n v="33"/>
    <x v="6"/>
    <x v="3"/>
  </r>
  <r>
    <x v="721"/>
    <n v="-56.39"/>
    <x v="1584"/>
    <n v="9239.4500000000007"/>
    <s v="Complete Access"/>
    <x v="8"/>
    <x v="1"/>
    <x v="5"/>
    <d v="1900-01-08T00:00:00"/>
    <n v="33"/>
    <x v="6"/>
    <x v="3"/>
  </r>
  <r>
    <x v="721"/>
    <n v="-29.18"/>
    <x v="1585"/>
    <n v="9210.27"/>
    <s v="Complete Access"/>
    <x v="8"/>
    <x v="1"/>
    <x v="5"/>
    <d v="1900-01-08T00:00:00"/>
    <n v="33"/>
    <x v="6"/>
    <x v="3"/>
  </r>
  <r>
    <x v="721"/>
    <n v="-3.2"/>
    <x v="1586"/>
    <n v="9295.84"/>
    <s v="Complete Access"/>
    <x v="285"/>
    <x v="5"/>
    <x v="8"/>
    <d v="1900-01-08T00:00:00"/>
    <n v="33"/>
    <x v="6"/>
    <x v="3"/>
  </r>
  <r>
    <x v="721"/>
    <n v="-854.94"/>
    <x v="1587"/>
    <n v="8355.33"/>
    <s v="Complete Access"/>
    <x v="422"/>
    <x v="9"/>
    <x v="36"/>
    <d v="1900-01-08T00:00:00"/>
    <n v="33"/>
    <x v="6"/>
    <x v="3"/>
  </r>
  <r>
    <x v="722"/>
    <n v="-13.09"/>
    <x v="1588"/>
    <n v="9299.0400000000009"/>
    <s v="Complete Access"/>
    <x v="423"/>
    <x v="1"/>
    <x v="5"/>
    <d v="1900-01-07T00:00:00"/>
    <n v="33"/>
    <x v="6"/>
    <x v="3"/>
  </r>
  <r>
    <x v="723"/>
    <n v="-350"/>
    <x v="1589"/>
    <n v="9459.1299999999992"/>
    <s v="Complete Access"/>
    <x v="0"/>
    <x v="0"/>
    <x v="0"/>
    <d v="1900-01-06T00:00:00"/>
    <n v="33"/>
    <x v="6"/>
    <x v="3"/>
  </r>
  <r>
    <x v="723"/>
    <n v="-147"/>
    <x v="1590"/>
    <n v="9312.1299999999992"/>
    <s v="Complete Access"/>
    <x v="0"/>
    <x v="0"/>
    <x v="0"/>
    <d v="1900-01-06T00:00:00"/>
    <n v="33"/>
    <x v="6"/>
    <x v="3"/>
  </r>
  <r>
    <x v="724"/>
    <n v="-3.2"/>
    <x v="1591"/>
    <n v="9835.52"/>
    <s v="Complete Access"/>
    <x v="285"/>
    <x v="5"/>
    <x v="8"/>
    <d v="1900-01-05T00:00:00"/>
    <n v="32"/>
    <x v="6"/>
    <x v="3"/>
  </r>
  <r>
    <x v="724"/>
    <n v="-26.39"/>
    <x v="1592"/>
    <n v="9809.1299999999992"/>
    <s v="Complete Access"/>
    <x v="185"/>
    <x v="8"/>
    <x v="22"/>
    <d v="1900-01-05T00:00:00"/>
    <n v="32"/>
    <x v="6"/>
    <x v="3"/>
  </r>
  <r>
    <x v="725"/>
    <n v="-362.91"/>
    <x v="1593"/>
    <n v="9898.82"/>
    <s v="Complete Access"/>
    <x v="295"/>
    <x v="14"/>
    <x v="66"/>
    <d v="1900-01-04T00:00:00"/>
    <n v="32"/>
    <x v="6"/>
    <x v="3"/>
  </r>
  <r>
    <x v="725"/>
    <n v="-17.190000000000001"/>
    <x v="1594"/>
    <n v="9838.7199999999993"/>
    <s v="Complete Access"/>
    <x v="104"/>
    <x v="1"/>
    <x v="5"/>
    <d v="1900-01-04T00:00:00"/>
    <n v="32"/>
    <x v="6"/>
    <x v="3"/>
  </r>
  <r>
    <x v="725"/>
    <n v="-42.91"/>
    <x v="1595"/>
    <n v="9855.91"/>
    <s v="Complete Access"/>
    <x v="1"/>
    <x v="1"/>
    <x v="1"/>
    <d v="1900-01-04T00:00:00"/>
    <n v="32"/>
    <x v="6"/>
    <x v="3"/>
  </r>
  <r>
    <x v="726"/>
    <n v="-500"/>
    <x v="656"/>
    <n v="10261.73"/>
    <s v="Complete Access"/>
    <x v="13"/>
    <x v="0"/>
    <x v="0"/>
    <d v="1900-01-03T00:00:00"/>
    <n v="32"/>
    <x v="6"/>
    <x v="3"/>
  </r>
  <r>
    <x v="726"/>
    <n v="2325.65"/>
    <x v="1596"/>
    <n v="10761.73"/>
    <s v="Complete Access"/>
    <x v="14"/>
    <x v="6"/>
    <x v="9"/>
    <d v="1900-01-03T00:00:00"/>
    <n v="32"/>
    <x v="6"/>
    <x v="3"/>
  </r>
  <r>
    <x v="727"/>
    <n v="-7.86"/>
    <x v="1597"/>
    <n v="8528.86"/>
    <s v="Complete Access"/>
    <x v="285"/>
    <x v="5"/>
    <x v="8"/>
    <d v="1900-01-02T00:00:00"/>
    <n v="32"/>
    <x v="6"/>
    <x v="3"/>
  </r>
  <r>
    <x v="727"/>
    <n v="-12.18"/>
    <x v="1598"/>
    <n v="8516.68"/>
    <s v="Complete Access"/>
    <x v="237"/>
    <x v="15"/>
    <x v="34"/>
    <d v="1900-01-02T00:00:00"/>
    <n v="32"/>
    <x v="6"/>
    <x v="3"/>
  </r>
  <r>
    <x v="727"/>
    <n v="-80.599999999999994"/>
    <x v="1599"/>
    <n v="8436.08"/>
    <s v="Complete Access"/>
    <x v="1"/>
    <x v="1"/>
    <x v="1"/>
    <d v="1900-01-02T00:00:00"/>
    <n v="32"/>
    <x v="6"/>
    <x v="3"/>
  </r>
  <r>
    <x v="728"/>
    <n v="-14.42"/>
    <x v="1600"/>
    <n v="8724.2199999999993"/>
    <s v="Complete Access"/>
    <x v="8"/>
    <x v="1"/>
    <x v="5"/>
    <d v="1900-01-01T00:00:00"/>
    <n v="32"/>
    <x v="6"/>
    <x v="3"/>
  </r>
  <r>
    <x v="728"/>
    <n v="-55"/>
    <x v="1601"/>
    <n v="8536.7199999999993"/>
    <s v="Complete Access"/>
    <x v="424"/>
    <x v="8"/>
    <x v="22"/>
    <d v="1900-01-01T00:00:00"/>
    <n v="32"/>
    <x v="6"/>
    <x v="3"/>
  </r>
  <r>
    <x v="728"/>
    <n v="-22.4"/>
    <x v="1602"/>
    <n v="8591.7199999999993"/>
    <s v="Complete Access"/>
    <x v="89"/>
    <x v="8"/>
    <x v="29"/>
    <d v="1900-01-01T00:00:00"/>
    <n v="32"/>
    <x v="6"/>
    <x v="3"/>
  </r>
  <r>
    <x v="728"/>
    <n v="-21.4"/>
    <x v="1602"/>
    <n v="8614.1200000000008"/>
    <s v="Complete Access"/>
    <x v="89"/>
    <x v="8"/>
    <x v="29"/>
    <d v="1900-01-01T00:00:00"/>
    <n v="32"/>
    <x v="6"/>
    <x v="3"/>
  </r>
  <r>
    <x v="728"/>
    <n v="-10.7"/>
    <x v="1602"/>
    <n v="8635.52"/>
    <s v="Complete Access"/>
    <x v="89"/>
    <x v="8"/>
    <x v="29"/>
    <d v="1900-01-01T00:00:00"/>
    <n v="32"/>
    <x v="6"/>
    <x v="3"/>
  </r>
  <r>
    <x v="728"/>
    <n v="-11"/>
    <x v="1603"/>
    <n v="8646.2199999999993"/>
    <s v="Complete Access"/>
    <x v="425"/>
    <x v="8"/>
    <x v="29"/>
    <d v="1900-01-01T00:00:00"/>
    <n v="32"/>
    <x v="6"/>
    <x v="3"/>
  </r>
  <r>
    <x v="728"/>
    <n v="-23"/>
    <x v="1603"/>
    <n v="8657.2199999999993"/>
    <s v="Complete Access"/>
    <x v="425"/>
    <x v="8"/>
    <x v="29"/>
    <d v="1900-01-01T00:00:00"/>
    <n v="32"/>
    <x v="6"/>
    <x v="3"/>
  </r>
  <r>
    <x v="728"/>
    <n v="-22"/>
    <x v="1603"/>
    <n v="8680.2199999999993"/>
    <s v="Complete Access"/>
    <x v="425"/>
    <x v="8"/>
    <x v="29"/>
    <d v="1900-01-01T00:00:00"/>
    <n v="32"/>
    <x v="6"/>
    <x v="3"/>
  </r>
  <r>
    <x v="728"/>
    <n v="-22"/>
    <x v="1603"/>
    <n v="8702.2199999999993"/>
    <s v="Complete Access"/>
    <x v="425"/>
    <x v="8"/>
    <x v="29"/>
    <d v="1900-01-01T00:00:00"/>
    <n v="32"/>
    <x v="6"/>
    <x v="3"/>
  </r>
  <r>
    <x v="729"/>
    <n v="-3.3"/>
    <x v="659"/>
    <n v="8919.19"/>
    <s v="Complete Access"/>
    <x v="220"/>
    <x v="1"/>
    <x v="5"/>
    <d v="1899-12-31T00:00:00"/>
    <n v="32"/>
    <x v="6"/>
    <x v="3"/>
  </r>
  <r>
    <x v="729"/>
    <n v="-180.55"/>
    <x v="1604"/>
    <n v="8738.64"/>
    <s v="Complete Access"/>
    <x v="76"/>
    <x v="2"/>
    <x v="2"/>
    <d v="1899-12-31T00:00:00"/>
    <n v="32"/>
    <x v="6"/>
    <x v="3"/>
  </r>
  <r>
    <x v="730"/>
    <n v="-50"/>
    <x v="1605"/>
    <n v="8885.2900000000009"/>
    <s v="Complete Access"/>
    <x v="130"/>
    <x v="0"/>
    <x v="0"/>
    <d v="1900-01-30T00:00:00"/>
    <n v="32"/>
    <x v="7"/>
    <x v="3"/>
  </r>
  <r>
    <x v="730"/>
    <n v="-100"/>
    <x v="1605"/>
    <n v="8938.09"/>
    <s v="Complete Access"/>
    <x v="130"/>
    <x v="0"/>
    <x v="0"/>
    <d v="1900-01-30T00:00:00"/>
    <n v="32"/>
    <x v="7"/>
    <x v="3"/>
  </r>
  <r>
    <x v="730"/>
    <n v="-2.8"/>
    <x v="72"/>
    <n v="8882.49"/>
    <s v="Complete Access"/>
    <x v="37"/>
    <x v="0"/>
    <x v="0"/>
    <d v="1900-01-30T00:00:00"/>
    <n v="32"/>
    <x v="7"/>
    <x v="3"/>
  </r>
  <r>
    <x v="730"/>
    <n v="-2.8"/>
    <x v="72"/>
    <n v="8935.2900000000009"/>
    <s v="Complete Access"/>
    <x v="37"/>
    <x v="0"/>
    <x v="0"/>
    <d v="1900-01-30T00:00:00"/>
    <n v="32"/>
    <x v="7"/>
    <x v="3"/>
  </r>
  <r>
    <x v="730"/>
    <n v="40"/>
    <x v="1606"/>
    <n v="8922.49"/>
    <s v="Complete Access"/>
    <x v="36"/>
    <x v="0"/>
    <x v="0"/>
    <d v="1900-01-30T00:00:00"/>
    <n v="32"/>
    <x v="7"/>
    <x v="3"/>
  </r>
  <r>
    <x v="731"/>
    <n v="-4.45"/>
    <x v="96"/>
    <n v="9038.09"/>
    <s v="Complete Access"/>
    <x v="47"/>
    <x v="1"/>
    <x v="5"/>
    <d v="1900-01-29T00:00:00"/>
    <n v="31"/>
    <x v="7"/>
    <x v="3"/>
  </r>
  <r>
    <x v="732"/>
    <n v="-14.01"/>
    <x v="1607"/>
    <n v="9075.34"/>
    <s v="Complete Access"/>
    <x v="27"/>
    <x v="1"/>
    <x v="5"/>
    <d v="1900-01-28T00:00:00"/>
    <n v="31"/>
    <x v="7"/>
    <x v="3"/>
  </r>
  <r>
    <x v="732"/>
    <n v="-9.65"/>
    <x v="1608"/>
    <n v="9089.35"/>
    <s v="Complete Access"/>
    <x v="285"/>
    <x v="5"/>
    <x v="8"/>
    <d v="1900-01-28T00:00:00"/>
    <n v="31"/>
    <x v="7"/>
    <x v="3"/>
  </r>
  <r>
    <x v="732"/>
    <n v="-8.8000000000000007"/>
    <x v="1609"/>
    <n v="9066.5400000000009"/>
    <s v="Complete Access"/>
    <x v="277"/>
    <x v="8"/>
    <x v="29"/>
    <d v="1900-01-28T00:00:00"/>
    <n v="31"/>
    <x v="7"/>
    <x v="3"/>
  </r>
  <r>
    <x v="732"/>
    <n v="-24"/>
    <x v="1574"/>
    <n v="9042.5400000000009"/>
    <s v="Complete Access"/>
    <x v="0"/>
    <x v="0"/>
    <x v="0"/>
    <d v="1900-01-28T00:00:00"/>
    <n v="31"/>
    <x v="7"/>
    <x v="3"/>
  </r>
  <r>
    <x v="733"/>
    <n v="-5.85"/>
    <x v="1610"/>
    <n v="9099"/>
    <s v="Complete Access"/>
    <x v="61"/>
    <x v="1"/>
    <x v="1"/>
    <d v="1900-01-27T00:00:00"/>
    <n v="31"/>
    <x v="7"/>
    <x v="3"/>
  </r>
  <r>
    <x v="733"/>
    <n v="-9.65"/>
    <x v="1611"/>
    <n v="9104.85"/>
    <s v="Complete Access"/>
    <x v="285"/>
    <x v="5"/>
    <x v="8"/>
    <d v="1900-01-27T00:00:00"/>
    <n v="31"/>
    <x v="7"/>
    <x v="3"/>
  </r>
  <r>
    <x v="734"/>
    <n v="-9.65"/>
    <x v="1612"/>
    <n v="9170.68"/>
    <s v="Complete Access"/>
    <x v="285"/>
    <x v="5"/>
    <x v="8"/>
    <d v="1900-01-26T00:00:00"/>
    <n v="31"/>
    <x v="7"/>
    <x v="3"/>
  </r>
  <r>
    <x v="734"/>
    <n v="-24.4"/>
    <x v="1613"/>
    <n v="9146.2800000000007"/>
    <s v="Complete Access"/>
    <x v="426"/>
    <x v="1"/>
    <x v="5"/>
    <d v="1900-01-26T00:00:00"/>
    <n v="31"/>
    <x v="7"/>
    <x v="3"/>
  </r>
  <r>
    <x v="734"/>
    <n v="-12.99"/>
    <x v="1614"/>
    <n v="9114.5"/>
    <s v="Complete Access"/>
    <x v="427"/>
    <x v="20"/>
    <x v="63"/>
    <d v="1900-01-26T00:00:00"/>
    <n v="31"/>
    <x v="7"/>
    <x v="3"/>
  </r>
  <r>
    <x v="734"/>
    <n v="-9.99"/>
    <x v="1615"/>
    <n v="9127.49"/>
    <s v="Complete Access"/>
    <x v="428"/>
    <x v="11"/>
    <x v="14"/>
    <d v="1900-01-26T00:00:00"/>
    <n v="31"/>
    <x v="7"/>
    <x v="3"/>
  </r>
  <r>
    <x v="734"/>
    <n v="-8.8000000000000007"/>
    <x v="1616"/>
    <n v="9137.48"/>
    <s v="Complete Access"/>
    <x v="277"/>
    <x v="8"/>
    <x v="29"/>
    <d v="1900-01-26T00:00:00"/>
    <n v="31"/>
    <x v="7"/>
    <x v="3"/>
  </r>
  <r>
    <x v="735"/>
    <n v="-5.3"/>
    <x v="1617"/>
    <n v="9202.33"/>
    <s v="Complete Access"/>
    <x v="421"/>
    <x v="20"/>
    <x v="63"/>
    <d v="1900-01-25T00:00:00"/>
    <n v="31"/>
    <x v="7"/>
    <x v="3"/>
  </r>
  <r>
    <x v="735"/>
    <n v="-45.22"/>
    <x v="1618"/>
    <n v="9262.4699999999993"/>
    <s v="Complete Access"/>
    <x v="429"/>
    <x v="1"/>
    <x v="5"/>
    <d v="1900-01-25T00:00:00"/>
    <n v="31"/>
    <x v="7"/>
    <x v="3"/>
  </r>
  <r>
    <x v="735"/>
    <n v="-4"/>
    <x v="1619"/>
    <n v="9258.4699999999993"/>
    <s v="Complete Access"/>
    <x v="430"/>
    <x v="14"/>
    <x v="32"/>
    <d v="1900-01-25T00:00:00"/>
    <n v="31"/>
    <x v="7"/>
    <x v="3"/>
  </r>
  <r>
    <x v="735"/>
    <n v="-22"/>
    <x v="1620"/>
    <n v="9180.33"/>
    <s v="Complete Access"/>
    <x v="431"/>
    <x v="1"/>
    <x v="5"/>
    <d v="1900-01-25T00:00:00"/>
    <n v="31"/>
    <x v="7"/>
    <x v="3"/>
  </r>
  <r>
    <x v="735"/>
    <n v="-22.56"/>
    <x v="1621"/>
    <n v="9307.69"/>
    <s v="Complete Access"/>
    <x v="104"/>
    <x v="1"/>
    <x v="5"/>
    <d v="1900-01-25T00:00:00"/>
    <n v="31"/>
    <x v="7"/>
    <x v="3"/>
  </r>
  <r>
    <x v="735"/>
    <n v="-21.49"/>
    <x v="1622"/>
    <n v="9207.6299999999992"/>
    <s v="Complete Access"/>
    <x v="104"/>
    <x v="1"/>
    <x v="5"/>
    <d v="1900-01-25T00:00:00"/>
    <n v="31"/>
    <x v="7"/>
    <x v="3"/>
  </r>
  <r>
    <x v="735"/>
    <n v="-21.46"/>
    <x v="1623"/>
    <n v="9229.1200000000008"/>
    <s v="Complete Access"/>
    <x v="1"/>
    <x v="1"/>
    <x v="1"/>
    <d v="1900-01-25T00:00:00"/>
    <n v="31"/>
    <x v="7"/>
    <x v="3"/>
  </r>
  <r>
    <x v="735"/>
    <n v="-7.89"/>
    <x v="1624"/>
    <n v="9250.58"/>
    <s v="Complete Access"/>
    <x v="44"/>
    <x v="4"/>
    <x v="27"/>
    <d v="1900-01-25T00:00:00"/>
    <n v="31"/>
    <x v="7"/>
    <x v="3"/>
  </r>
  <r>
    <x v="736"/>
    <n v="-5"/>
    <x v="1345"/>
    <n v="9330.25"/>
    <s v="Complete Access"/>
    <x v="383"/>
    <x v="1"/>
    <x v="5"/>
    <d v="1900-01-24T00:00:00"/>
    <n v="31"/>
    <x v="7"/>
    <x v="3"/>
  </r>
  <r>
    <x v="736"/>
    <n v="-15.12"/>
    <x v="1588"/>
    <n v="9335.25"/>
    <s v="Complete Access"/>
    <x v="423"/>
    <x v="1"/>
    <x v="5"/>
    <d v="1900-01-24T00:00:00"/>
    <n v="31"/>
    <x v="7"/>
    <x v="3"/>
  </r>
  <r>
    <x v="737"/>
    <n v="-500"/>
    <x v="656"/>
    <n v="9389.25"/>
    <s v="Complete Access"/>
    <x v="13"/>
    <x v="0"/>
    <x v="0"/>
    <d v="1900-01-20T00:00:00"/>
    <n v="30"/>
    <x v="7"/>
    <x v="3"/>
  </r>
  <r>
    <x v="737"/>
    <n v="-38.880000000000003"/>
    <x v="1625"/>
    <n v="9350.3700000000008"/>
    <s v="Complete Access"/>
    <x v="8"/>
    <x v="1"/>
    <x v="5"/>
    <d v="1900-01-20T00:00:00"/>
    <n v="30"/>
    <x v="7"/>
    <x v="3"/>
  </r>
  <r>
    <x v="737"/>
    <n v="2307.44"/>
    <x v="1626"/>
    <n v="9889.25"/>
    <s v="Complete Access"/>
    <x v="14"/>
    <x v="6"/>
    <x v="9"/>
    <d v="1900-01-20T00:00:00"/>
    <n v="30"/>
    <x v="7"/>
    <x v="3"/>
  </r>
  <r>
    <x v="738"/>
    <n v="-59.9"/>
    <x v="1627"/>
    <n v="7581.81"/>
    <s v="Complete Access"/>
    <x v="432"/>
    <x v="1"/>
    <x v="5"/>
    <d v="1900-01-19T00:00:00"/>
    <n v="30"/>
    <x v="7"/>
    <x v="3"/>
  </r>
  <r>
    <x v="739"/>
    <n v="-69"/>
    <x v="1628"/>
    <n v="7641.71"/>
    <s v="Complete Access"/>
    <x v="207"/>
    <x v="7"/>
    <x v="11"/>
    <d v="1900-01-18T00:00:00"/>
    <n v="30"/>
    <x v="7"/>
    <x v="3"/>
  </r>
  <r>
    <x v="739"/>
    <n v="-5.99"/>
    <x v="1629"/>
    <n v="7710.71"/>
    <s v="Complete Access"/>
    <x v="352"/>
    <x v="4"/>
    <x v="67"/>
    <d v="1900-01-18T00:00:00"/>
    <n v="30"/>
    <x v="7"/>
    <x v="3"/>
  </r>
  <r>
    <x v="740"/>
    <n v="-226.67"/>
    <x v="1630"/>
    <n v="7716.7"/>
    <s v="Complete Access"/>
    <x v="433"/>
    <x v="7"/>
    <x v="53"/>
    <d v="1900-01-17T00:00:00"/>
    <n v="30"/>
    <x v="7"/>
    <x v="3"/>
  </r>
  <r>
    <x v="741"/>
    <n v="27"/>
    <x v="1631"/>
    <n v="7943.37"/>
    <s v="Complete Access"/>
    <x v="36"/>
    <x v="0"/>
    <x v="0"/>
    <d v="1900-01-16T00:00:00"/>
    <n v="30"/>
    <x v="7"/>
    <x v="3"/>
  </r>
  <r>
    <x v="741"/>
    <n v="-14"/>
    <x v="1632"/>
    <n v="7916.37"/>
    <s v="Complete Access"/>
    <x v="0"/>
    <x v="0"/>
    <x v="0"/>
    <d v="1900-01-16T00:00:00"/>
    <n v="30"/>
    <x v="7"/>
    <x v="3"/>
  </r>
  <r>
    <x v="742"/>
    <n v="-5.5"/>
    <x v="1633"/>
    <n v="7930.37"/>
    <s v="Complete Access"/>
    <x v="434"/>
    <x v="8"/>
    <x v="29"/>
    <d v="1900-01-15T00:00:00"/>
    <n v="29"/>
    <x v="7"/>
    <x v="3"/>
  </r>
  <r>
    <x v="743"/>
    <n v="-27.18"/>
    <x v="1634"/>
    <n v="7935.87"/>
    <s v="Complete Access"/>
    <x v="8"/>
    <x v="1"/>
    <x v="5"/>
    <d v="1900-01-12T00:00:00"/>
    <n v="29"/>
    <x v="7"/>
    <x v="3"/>
  </r>
  <r>
    <x v="744"/>
    <n v="-80.94"/>
    <x v="1635"/>
    <n v="7963.05"/>
    <s v="Complete Access"/>
    <x v="222"/>
    <x v="11"/>
    <x v="14"/>
    <d v="1900-01-11T00:00:00"/>
    <n v="29"/>
    <x v="7"/>
    <x v="3"/>
  </r>
  <r>
    <x v="744"/>
    <n v="-16.45"/>
    <x v="1636"/>
    <n v="8043.99"/>
    <s v="Complete Access"/>
    <x v="367"/>
    <x v="4"/>
    <x v="7"/>
    <d v="1900-01-11T00:00:00"/>
    <n v="29"/>
    <x v="7"/>
    <x v="3"/>
  </r>
  <r>
    <x v="745"/>
    <n v="-8.5"/>
    <x v="1637"/>
    <n v="8060.44"/>
    <s v="Complete Access"/>
    <x v="34"/>
    <x v="9"/>
    <x v="12"/>
    <d v="1900-01-08T00:00:00"/>
    <n v="28"/>
    <x v="7"/>
    <x v="3"/>
  </r>
  <r>
    <x v="746"/>
    <n v="-52.21"/>
    <x v="405"/>
    <n v="8068.94"/>
    <s v="Complete Access"/>
    <x v="177"/>
    <x v="1"/>
    <x v="1"/>
    <d v="1900-01-07T00:00:00"/>
    <n v="28"/>
    <x v="7"/>
    <x v="3"/>
  </r>
  <r>
    <x v="747"/>
    <n v="-500"/>
    <x v="656"/>
    <n v="8239.7800000000007"/>
    <s v="Complete Access"/>
    <x v="13"/>
    <x v="0"/>
    <x v="0"/>
    <d v="1900-01-06T00:00:00"/>
    <n v="28"/>
    <x v="7"/>
    <x v="3"/>
  </r>
  <r>
    <x v="747"/>
    <n v="2259.67"/>
    <x v="1638"/>
    <n v="8739.7800000000007"/>
    <s v="Complete Access"/>
    <x v="14"/>
    <x v="6"/>
    <x v="9"/>
    <d v="1900-01-06T00:00:00"/>
    <n v="28"/>
    <x v="7"/>
    <x v="3"/>
  </r>
  <r>
    <x v="747"/>
    <n v="-39.82"/>
    <x v="969"/>
    <n v="8121.15"/>
    <s v="Complete Access"/>
    <x v="177"/>
    <x v="1"/>
    <x v="1"/>
    <d v="1900-01-06T00:00:00"/>
    <n v="28"/>
    <x v="7"/>
    <x v="3"/>
  </r>
  <r>
    <x v="747"/>
    <n v="-78.81"/>
    <x v="1639"/>
    <n v="8160.97"/>
    <s v="Complete Access"/>
    <x v="1"/>
    <x v="1"/>
    <x v="1"/>
    <d v="1900-01-06T00:00:00"/>
    <n v="28"/>
    <x v="7"/>
    <x v="3"/>
  </r>
  <r>
    <x v="748"/>
    <n v="-21"/>
    <x v="1640"/>
    <n v="6488.4"/>
    <s v="Complete Access"/>
    <x v="435"/>
    <x v="1"/>
    <x v="23"/>
    <d v="1900-01-04T00:00:00"/>
    <n v="28"/>
    <x v="7"/>
    <x v="3"/>
  </r>
  <r>
    <x v="748"/>
    <n v="-0.99"/>
    <x v="1641"/>
    <n v="6480.11"/>
    <s v="Complete Access"/>
    <x v="4"/>
    <x v="1"/>
    <x v="1"/>
    <d v="1900-01-04T00:00:00"/>
    <n v="28"/>
    <x v="7"/>
    <x v="3"/>
  </r>
  <r>
    <x v="748"/>
    <n v="-7.3"/>
    <x v="1641"/>
    <n v="6481.1"/>
    <s v="Complete Access"/>
    <x v="4"/>
    <x v="1"/>
    <x v="1"/>
    <d v="1900-01-04T00:00:00"/>
    <n v="28"/>
    <x v="7"/>
    <x v="3"/>
  </r>
  <r>
    <x v="749"/>
    <n v="-16.8"/>
    <x v="1642"/>
    <n v="6523.4"/>
    <s v="Complete Access"/>
    <x v="47"/>
    <x v="1"/>
    <x v="5"/>
    <d v="1900-01-02T00:00:00"/>
    <n v="28"/>
    <x v="7"/>
    <x v="3"/>
  </r>
  <r>
    <x v="749"/>
    <n v="-14"/>
    <x v="1157"/>
    <n v="6509.4"/>
    <s v="Complete Access"/>
    <x v="0"/>
    <x v="0"/>
    <x v="0"/>
    <d v="1900-01-02T00:00:00"/>
    <n v="28"/>
    <x v="7"/>
    <x v="3"/>
  </r>
  <r>
    <x v="750"/>
    <n v="-22"/>
    <x v="1643"/>
    <n v="6540.2"/>
    <s v="Complete Access"/>
    <x v="436"/>
    <x v="20"/>
    <x v="63"/>
    <d v="1900-01-01T00:00:00"/>
    <n v="27"/>
    <x v="7"/>
    <x v="3"/>
  </r>
  <r>
    <x v="751"/>
    <n v="-180.55"/>
    <x v="1644"/>
    <n v="6562.2"/>
    <s v="Complete Access"/>
    <x v="76"/>
    <x v="2"/>
    <x v="2"/>
    <d v="1899-12-31T00:00:00"/>
    <n v="27"/>
    <x v="7"/>
    <x v="3"/>
  </r>
  <r>
    <x v="752"/>
    <n v="-8.15"/>
    <x v="1645"/>
    <n v="6876.64"/>
    <s v="Complete Access"/>
    <x v="285"/>
    <x v="5"/>
    <x v="8"/>
    <d v="1900-01-27T00:00:00"/>
    <n v="27"/>
    <x v="8"/>
    <x v="3"/>
  </r>
  <r>
    <x v="752"/>
    <n v="-31.99"/>
    <x v="1646"/>
    <n v="6742.75"/>
    <s v="Complete Access"/>
    <x v="343"/>
    <x v="1"/>
    <x v="5"/>
    <d v="1900-01-27T00:00:00"/>
    <n v="27"/>
    <x v="8"/>
    <x v="3"/>
  </r>
  <r>
    <x v="752"/>
    <n v="-7.5"/>
    <x v="1647"/>
    <n v="6796.99"/>
    <s v="Complete Access"/>
    <x v="35"/>
    <x v="1"/>
    <x v="23"/>
    <d v="1900-01-27T00:00:00"/>
    <n v="27"/>
    <x v="8"/>
    <x v="3"/>
  </r>
  <r>
    <x v="752"/>
    <n v="-22.25"/>
    <x v="1648"/>
    <n v="6774.74"/>
    <s v="Complete Access"/>
    <x v="437"/>
    <x v="1"/>
    <x v="5"/>
    <d v="1900-01-27T00:00:00"/>
    <n v="27"/>
    <x v="8"/>
    <x v="3"/>
  </r>
  <r>
    <x v="752"/>
    <n v="-72.150000000000006"/>
    <x v="1649"/>
    <n v="6804.49"/>
    <s v="Complete Access"/>
    <x v="1"/>
    <x v="1"/>
    <x v="1"/>
    <d v="1900-01-27T00:00:00"/>
    <n v="27"/>
    <x v="8"/>
    <x v="3"/>
  </r>
  <r>
    <x v="753"/>
    <n v="-62.5"/>
    <x v="1390"/>
    <n v="6884.79"/>
    <s v="Complete Access"/>
    <x v="390"/>
    <x v="1"/>
    <x v="5"/>
    <d v="1900-01-26T00:00:00"/>
    <n v="27"/>
    <x v="8"/>
    <x v="3"/>
  </r>
  <r>
    <x v="754"/>
    <n v="-6"/>
    <x v="1650"/>
    <n v="6947.29"/>
    <s v="Complete Access"/>
    <x v="220"/>
    <x v="1"/>
    <x v="5"/>
    <d v="1900-01-24T00:00:00"/>
    <n v="26"/>
    <x v="8"/>
    <x v="3"/>
  </r>
  <r>
    <x v="755"/>
    <n v="50"/>
    <x v="1651"/>
    <n v="6953.29"/>
    <s v="Complete Access"/>
    <x v="36"/>
    <x v="0"/>
    <x v="0"/>
    <d v="1900-01-23T00:00:00"/>
    <n v="26"/>
    <x v="8"/>
    <x v="3"/>
  </r>
  <r>
    <x v="756"/>
    <n v="-500"/>
    <x v="656"/>
    <n v="7261.95"/>
    <s v="Complete Access"/>
    <x v="13"/>
    <x v="0"/>
    <x v="0"/>
    <d v="1900-01-22T00:00:00"/>
    <n v="26"/>
    <x v="8"/>
    <x v="3"/>
  </r>
  <r>
    <x v="756"/>
    <n v="70"/>
    <x v="1652"/>
    <n v="7331.95"/>
    <s v="Complete Access"/>
    <x v="36"/>
    <x v="0"/>
    <x v="0"/>
    <d v="1900-01-22T00:00:00"/>
    <n v="26"/>
    <x v="8"/>
    <x v="3"/>
  </r>
  <r>
    <x v="756"/>
    <n v="2325.65"/>
    <x v="1653"/>
    <n v="7761.95"/>
    <s v="Complete Access"/>
    <x v="14"/>
    <x v="6"/>
    <x v="9"/>
    <d v="1900-01-22T00:00:00"/>
    <n v="26"/>
    <x v="8"/>
    <x v="3"/>
  </r>
  <r>
    <x v="756"/>
    <n v="-428.66"/>
    <x v="989"/>
    <n v="6903.29"/>
    <s v="Complete Access"/>
    <x v="332"/>
    <x v="1"/>
    <x v="5"/>
    <d v="1900-01-22T00:00:00"/>
    <n v="26"/>
    <x v="8"/>
    <x v="3"/>
  </r>
  <r>
    <x v="757"/>
    <n v="-53.88"/>
    <x v="1654"/>
    <n v="5474.17"/>
    <s v="Complete Access"/>
    <x v="20"/>
    <x v="9"/>
    <x v="12"/>
    <d v="1900-01-21T00:00:00"/>
    <n v="26"/>
    <x v="8"/>
    <x v="3"/>
  </r>
  <r>
    <x v="757"/>
    <n v="-37.869999999999997"/>
    <x v="1655"/>
    <n v="5436.3"/>
    <s v="Complete Access"/>
    <x v="1"/>
    <x v="1"/>
    <x v="1"/>
    <d v="1900-01-21T00:00:00"/>
    <n v="26"/>
    <x v="8"/>
    <x v="3"/>
  </r>
  <r>
    <x v="758"/>
    <n v="-5.99"/>
    <x v="1656"/>
    <n v="5181.25"/>
    <s v="Complete Access"/>
    <x v="352"/>
    <x v="4"/>
    <x v="67"/>
    <d v="1900-01-20T00:00:00"/>
    <n v="26"/>
    <x v="8"/>
    <x v="3"/>
  </r>
  <r>
    <x v="758"/>
    <n v="365.8"/>
    <x v="1657"/>
    <n v="5528.05"/>
    <s v="Complete Access"/>
    <x v="67"/>
    <x v="0"/>
    <x v="0"/>
    <d v="1900-01-20T00:00:00"/>
    <n v="26"/>
    <x v="8"/>
    <x v="3"/>
  </r>
  <r>
    <x v="758"/>
    <n v="-19"/>
    <x v="1658"/>
    <n v="5162.25"/>
    <s v="Complete Access"/>
    <x v="1"/>
    <x v="1"/>
    <x v="1"/>
    <d v="1900-01-20T00:00:00"/>
    <n v="26"/>
    <x v="8"/>
    <x v="3"/>
  </r>
  <r>
    <x v="759"/>
    <n v="-176"/>
    <x v="1659"/>
    <n v="5187.24"/>
    <s v="Complete Access"/>
    <x v="438"/>
    <x v="12"/>
    <x v="21"/>
    <d v="1900-01-19T00:00:00"/>
    <n v="26"/>
    <x v="8"/>
    <x v="3"/>
  </r>
  <r>
    <x v="759"/>
    <n v="1520"/>
    <x v="1660"/>
    <n v="5363.24"/>
    <s v="Complete Access"/>
    <x v="67"/>
    <x v="0"/>
    <x v="0"/>
    <d v="1900-01-19T00:00:00"/>
    <n v="26"/>
    <x v="8"/>
    <x v="3"/>
  </r>
  <r>
    <x v="760"/>
    <n v="-6.44"/>
    <x v="1661"/>
    <n v="3992.72"/>
    <s v="Complete Access"/>
    <x v="285"/>
    <x v="5"/>
    <x v="8"/>
    <d v="1900-01-17T00:00:00"/>
    <n v="25"/>
    <x v="8"/>
    <x v="3"/>
  </r>
  <r>
    <x v="760"/>
    <n v="-11.65"/>
    <x v="1662"/>
    <n v="3843.24"/>
    <s v="Complete Access"/>
    <x v="439"/>
    <x v="15"/>
    <x v="34"/>
    <d v="1900-01-17T00:00:00"/>
    <n v="25"/>
    <x v="8"/>
    <x v="3"/>
  </r>
  <r>
    <x v="760"/>
    <n v="-110.74"/>
    <x v="1663"/>
    <n v="3881.98"/>
    <s v="Complete Access"/>
    <x v="1"/>
    <x v="1"/>
    <x v="1"/>
    <d v="1900-01-17T00:00:00"/>
    <n v="25"/>
    <x v="8"/>
    <x v="3"/>
  </r>
  <r>
    <x v="760"/>
    <n v="-27.09"/>
    <x v="1664"/>
    <n v="3854.89"/>
    <s v="Complete Access"/>
    <x v="34"/>
    <x v="9"/>
    <x v="12"/>
    <d v="1900-01-17T00:00:00"/>
    <n v="25"/>
    <x v="8"/>
    <x v="3"/>
  </r>
  <r>
    <x v="761"/>
    <n v="-87.4"/>
    <x v="1665"/>
    <n v="3999.16"/>
    <s v="Complete Access"/>
    <x v="440"/>
    <x v="8"/>
    <x v="22"/>
    <d v="1900-01-16T00:00:00"/>
    <n v="25"/>
    <x v="8"/>
    <x v="3"/>
  </r>
  <r>
    <x v="761"/>
    <n v="-69"/>
    <x v="1666"/>
    <n v="4086.56"/>
    <s v="Complete Access"/>
    <x v="207"/>
    <x v="7"/>
    <x v="11"/>
    <d v="1900-01-16T00:00:00"/>
    <n v="25"/>
    <x v="8"/>
    <x v="3"/>
  </r>
  <r>
    <x v="762"/>
    <n v="-22.79"/>
    <x v="1667"/>
    <n v="4272.5600000000004"/>
    <s v="Complete Access"/>
    <x v="8"/>
    <x v="1"/>
    <x v="5"/>
    <d v="1900-01-15T00:00:00"/>
    <n v="25"/>
    <x v="8"/>
    <x v="3"/>
  </r>
  <r>
    <x v="762"/>
    <n v="-15"/>
    <x v="1668"/>
    <n v="4228.5600000000004"/>
    <s v="Complete Access"/>
    <x v="441"/>
    <x v="1"/>
    <x v="5"/>
    <d v="1900-01-15T00:00:00"/>
    <n v="25"/>
    <x v="8"/>
    <x v="3"/>
  </r>
  <r>
    <x v="762"/>
    <n v="-12"/>
    <x v="1669"/>
    <n v="4260.5600000000004"/>
    <s v="Complete Access"/>
    <x v="442"/>
    <x v="8"/>
    <x v="29"/>
    <d v="1900-01-15T00:00:00"/>
    <n v="25"/>
    <x v="8"/>
    <x v="3"/>
  </r>
  <r>
    <x v="762"/>
    <n v="-17"/>
    <x v="1670"/>
    <n v="4243.5600000000004"/>
    <s v="Complete Access"/>
    <x v="443"/>
    <x v="1"/>
    <x v="5"/>
    <d v="1900-01-15T00:00:00"/>
    <n v="25"/>
    <x v="8"/>
    <x v="3"/>
  </r>
  <r>
    <x v="762"/>
    <n v="-18"/>
    <x v="1671"/>
    <n v="4210.5600000000004"/>
    <s v="Complete Access"/>
    <x v="444"/>
    <x v="1"/>
    <x v="5"/>
    <d v="1900-01-15T00:00:00"/>
    <n v="25"/>
    <x v="8"/>
    <x v="3"/>
  </r>
  <r>
    <x v="762"/>
    <n v="-55"/>
    <x v="1672"/>
    <n v="4155.5600000000004"/>
    <s v="Complete Access"/>
    <x v="433"/>
    <x v="7"/>
    <x v="53"/>
    <d v="1900-01-15T00:00:00"/>
    <n v="25"/>
    <x v="8"/>
    <x v="3"/>
  </r>
  <r>
    <x v="763"/>
    <n v="10"/>
    <x v="1673"/>
    <n v="4295.3500000000004"/>
    <s v="Complete Access"/>
    <x v="36"/>
    <x v="0"/>
    <x v="0"/>
    <d v="1900-01-14T00:00:00"/>
    <n v="25"/>
    <x v="8"/>
    <x v="3"/>
  </r>
  <r>
    <x v="763"/>
    <n v="-24"/>
    <x v="1674"/>
    <n v="4285.3500000000004"/>
    <s v="Complete Access"/>
    <x v="445"/>
    <x v="20"/>
    <x v="63"/>
    <d v="1900-01-14T00:00:00"/>
    <n v="25"/>
    <x v="8"/>
    <x v="3"/>
  </r>
  <r>
    <x v="764"/>
    <n v="-5.3"/>
    <x v="1675"/>
    <n v="4418.93"/>
    <s v="Complete Access"/>
    <x v="285"/>
    <x v="5"/>
    <x v="8"/>
    <d v="1900-01-13T00:00:00"/>
    <n v="25"/>
    <x v="8"/>
    <x v="3"/>
  </r>
  <r>
    <x v="764"/>
    <n v="-68"/>
    <x v="1676"/>
    <n v="4350.93"/>
    <s v="Complete Access"/>
    <x v="35"/>
    <x v="1"/>
    <x v="23"/>
    <d v="1900-01-13T00:00:00"/>
    <n v="25"/>
    <x v="8"/>
    <x v="3"/>
  </r>
  <r>
    <x v="764"/>
    <n v="-2.63"/>
    <x v="1677"/>
    <n v="4325.8"/>
    <s v="Complete Access"/>
    <x v="44"/>
    <x v="4"/>
    <x v="27"/>
    <d v="1900-01-13T00:00:00"/>
    <n v="25"/>
    <x v="8"/>
    <x v="3"/>
  </r>
  <r>
    <x v="764"/>
    <n v="-16.45"/>
    <x v="1678"/>
    <n v="4309.3500000000004"/>
    <s v="Complete Access"/>
    <x v="367"/>
    <x v="4"/>
    <x v="7"/>
    <d v="1900-01-13T00:00:00"/>
    <n v="25"/>
    <x v="8"/>
    <x v="3"/>
  </r>
  <r>
    <x v="764"/>
    <n v="-22.5"/>
    <x v="1679"/>
    <n v="4328.43"/>
    <s v="Complete Access"/>
    <x v="446"/>
    <x v="1"/>
    <x v="5"/>
    <d v="1900-01-13T00:00:00"/>
    <n v="25"/>
    <x v="8"/>
    <x v="3"/>
  </r>
  <r>
    <x v="765"/>
    <n v="-10"/>
    <x v="1157"/>
    <n v="4424.2299999999996"/>
    <s v="Complete Access"/>
    <x v="0"/>
    <x v="0"/>
    <x v="0"/>
    <d v="1900-01-12T00:00:00"/>
    <n v="25"/>
    <x v="8"/>
    <x v="3"/>
  </r>
  <r>
    <x v="766"/>
    <n v="40"/>
    <x v="1680"/>
    <n v="4434.2299999999996"/>
    <s v="Complete Access"/>
    <x v="36"/>
    <x v="0"/>
    <x v="0"/>
    <d v="1900-01-11T00:00:00"/>
    <n v="25"/>
    <x v="8"/>
    <x v="3"/>
  </r>
  <r>
    <x v="767"/>
    <n v="-3.99"/>
    <x v="966"/>
    <n v="4434.2299999999996"/>
    <s v="Complete Access"/>
    <x v="215"/>
    <x v="1"/>
    <x v="1"/>
    <d v="1900-01-10T00:00:00"/>
    <n v="24"/>
    <x v="8"/>
    <x v="3"/>
  </r>
  <r>
    <x v="767"/>
    <n v="-38.54"/>
    <x v="969"/>
    <n v="4438.22"/>
    <s v="Complete Access"/>
    <x v="177"/>
    <x v="1"/>
    <x v="1"/>
    <d v="1900-01-10T00:00:00"/>
    <n v="24"/>
    <x v="8"/>
    <x v="3"/>
  </r>
  <r>
    <x v="767"/>
    <n v="-40"/>
    <x v="1681"/>
    <n v="4394.2299999999996"/>
    <s v="Complete Access"/>
    <x v="0"/>
    <x v="0"/>
    <x v="0"/>
    <d v="1900-01-10T00:00:00"/>
    <n v="24"/>
    <x v="8"/>
    <x v="3"/>
  </r>
  <r>
    <x v="768"/>
    <n v="-9.24"/>
    <x v="1682"/>
    <n v="4758.8500000000004"/>
    <s v="Complete Access"/>
    <x v="285"/>
    <x v="5"/>
    <x v="8"/>
    <d v="1900-01-09T00:00:00"/>
    <n v="24"/>
    <x v="8"/>
    <x v="3"/>
  </r>
  <r>
    <x v="768"/>
    <n v="-2.4"/>
    <x v="1683"/>
    <n v="4480.76"/>
    <s v="Complete Access"/>
    <x v="447"/>
    <x v="3"/>
    <x v="26"/>
    <d v="1900-01-09T00:00:00"/>
    <n v="24"/>
    <x v="8"/>
    <x v="3"/>
  </r>
  <r>
    <x v="768"/>
    <n v="-275.69"/>
    <x v="1684"/>
    <n v="4483.16"/>
    <s v="Complete Access"/>
    <x v="295"/>
    <x v="14"/>
    <x v="66"/>
    <d v="1900-01-09T00:00:00"/>
    <n v="24"/>
    <x v="8"/>
    <x v="3"/>
  </r>
  <r>
    <x v="768"/>
    <n v="-4"/>
    <x v="1685"/>
    <n v="4476.76"/>
    <s v="Complete Access"/>
    <x v="277"/>
    <x v="8"/>
    <x v="29"/>
    <d v="1900-01-09T00:00:00"/>
    <n v="24"/>
    <x v="8"/>
    <x v="3"/>
  </r>
  <r>
    <x v="769"/>
    <n v="-500"/>
    <x v="656"/>
    <n v="4597.8599999999997"/>
    <s v="Complete Access"/>
    <x v="13"/>
    <x v="0"/>
    <x v="0"/>
    <d v="1900-01-08T00:00:00"/>
    <n v="24"/>
    <x v="8"/>
    <x v="3"/>
  </r>
  <r>
    <x v="769"/>
    <n v="-7.58"/>
    <x v="1686"/>
    <n v="4590.28"/>
    <s v="Complete Access"/>
    <x v="285"/>
    <x v="5"/>
    <x v="8"/>
    <d v="1900-01-08T00:00:00"/>
    <n v="24"/>
    <x v="8"/>
    <x v="3"/>
  </r>
  <r>
    <x v="769"/>
    <n v="2325.65"/>
    <x v="1424"/>
    <n v="5097.8599999999997"/>
    <s v="Complete Access"/>
    <x v="14"/>
    <x v="6"/>
    <x v="9"/>
    <d v="1900-01-08T00:00:00"/>
    <n v="24"/>
    <x v="8"/>
    <x v="3"/>
  </r>
  <r>
    <x v="769"/>
    <n v="189.81"/>
    <x v="1687"/>
    <n v="4768.09"/>
    <s v="Complete Access"/>
    <x v="67"/>
    <x v="0"/>
    <x v="0"/>
    <d v="1900-01-08T00:00:00"/>
    <n v="24"/>
    <x v="8"/>
    <x v="3"/>
  </r>
  <r>
    <x v="769"/>
    <n v="-12"/>
    <x v="1688"/>
    <n v="4578.28"/>
    <s v="Complete Access"/>
    <x v="1"/>
    <x v="1"/>
    <x v="1"/>
    <d v="1900-01-08T00:00:00"/>
    <n v="24"/>
    <x v="8"/>
    <x v="3"/>
  </r>
  <r>
    <x v="770"/>
    <n v="-9.24"/>
    <x v="1689"/>
    <n v="2905.21"/>
    <s v="Complete Access"/>
    <x v="285"/>
    <x v="5"/>
    <x v="8"/>
    <d v="1900-01-07T00:00:00"/>
    <n v="24"/>
    <x v="8"/>
    <x v="3"/>
  </r>
  <r>
    <x v="770"/>
    <n v="-11.9"/>
    <x v="1690"/>
    <n v="2880.11"/>
    <s v="Complete Access"/>
    <x v="448"/>
    <x v="1"/>
    <x v="5"/>
    <d v="1900-01-07T00:00:00"/>
    <n v="24"/>
    <x v="8"/>
    <x v="3"/>
  </r>
  <r>
    <x v="770"/>
    <n v="-107.9"/>
    <x v="1688"/>
    <n v="2772.21"/>
    <s v="Complete Access"/>
    <x v="1"/>
    <x v="1"/>
    <x v="1"/>
    <d v="1900-01-07T00:00:00"/>
    <n v="24"/>
    <x v="8"/>
    <x v="3"/>
  </r>
  <r>
    <x v="770"/>
    <n v="-13.2"/>
    <x v="1691"/>
    <n v="2892.01"/>
    <s v="Complete Access"/>
    <x v="417"/>
    <x v="1"/>
    <x v="1"/>
    <d v="1900-01-07T00:00:00"/>
    <n v="24"/>
    <x v="8"/>
    <x v="3"/>
  </r>
  <r>
    <x v="771"/>
    <n v="-26.09"/>
    <x v="1692"/>
    <n v="3409.24"/>
    <s v="Complete Access"/>
    <x v="8"/>
    <x v="1"/>
    <x v="5"/>
    <d v="1900-01-06T00:00:00"/>
    <n v="24"/>
    <x v="8"/>
    <x v="3"/>
  </r>
  <r>
    <x v="771"/>
    <n v="-470.17"/>
    <x v="1693"/>
    <n v="2914.45"/>
    <s v="Complete Access"/>
    <x v="295"/>
    <x v="14"/>
    <x v="66"/>
    <d v="1900-01-06T00:00:00"/>
    <n v="24"/>
    <x v="8"/>
    <x v="3"/>
  </r>
  <r>
    <x v="771"/>
    <n v="-18.62"/>
    <x v="1694"/>
    <n v="3390.62"/>
    <s v="Complete Access"/>
    <x v="426"/>
    <x v="1"/>
    <x v="5"/>
    <d v="1900-01-06T00:00:00"/>
    <n v="24"/>
    <x v="8"/>
    <x v="3"/>
  </r>
  <r>
    <x v="771"/>
    <n v="-6"/>
    <x v="1695"/>
    <n v="3384.62"/>
    <s v="Complete Access"/>
    <x v="449"/>
    <x v="8"/>
    <x v="70"/>
    <d v="1900-01-06T00:00:00"/>
    <n v="24"/>
    <x v="8"/>
    <x v="3"/>
  </r>
  <r>
    <x v="772"/>
    <n v="-5"/>
    <x v="1345"/>
    <n v="3435.33"/>
    <s v="Complete Access"/>
    <x v="383"/>
    <x v="1"/>
    <x v="5"/>
    <d v="1900-01-05T00:00:00"/>
    <n v="24"/>
    <x v="8"/>
    <x v="3"/>
  </r>
  <r>
    <x v="773"/>
    <n v="-24.1"/>
    <x v="96"/>
    <n v="3440.33"/>
    <s v="Complete Access"/>
    <x v="47"/>
    <x v="1"/>
    <x v="5"/>
    <d v="1900-01-04T00:00:00"/>
    <n v="24"/>
    <x v="8"/>
    <x v="3"/>
  </r>
  <r>
    <x v="774"/>
    <n v="-24.5"/>
    <x v="1696"/>
    <n v="3464.43"/>
    <s v="Complete Access"/>
    <x v="61"/>
    <x v="1"/>
    <x v="1"/>
    <d v="1900-01-03T00:00:00"/>
    <n v="23"/>
    <x v="8"/>
    <x v="3"/>
  </r>
  <r>
    <x v="774"/>
    <n v="-13.65"/>
    <x v="1697"/>
    <n v="3488.93"/>
    <s v="Complete Access"/>
    <x v="333"/>
    <x v="1"/>
    <x v="5"/>
    <d v="1900-01-03T00:00:00"/>
    <n v="23"/>
    <x v="8"/>
    <x v="3"/>
  </r>
  <r>
    <x v="775"/>
    <n v="-9.24"/>
    <x v="1698"/>
    <n v="3556.68"/>
    <s v="Complete Access"/>
    <x v="285"/>
    <x v="5"/>
    <x v="8"/>
    <d v="1900-01-02T00:00:00"/>
    <n v="23"/>
    <x v="8"/>
    <x v="3"/>
  </r>
  <r>
    <x v="775"/>
    <n v="-54.1"/>
    <x v="1699"/>
    <n v="3502.58"/>
    <s v="Complete Access"/>
    <x v="417"/>
    <x v="1"/>
    <x v="1"/>
    <d v="1900-01-02T00:00:00"/>
    <n v="23"/>
    <x v="8"/>
    <x v="3"/>
  </r>
  <r>
    <x v="776"/>
    <n v="-25.52"/>
    <x v="1700"/>
    <n v="2839.51"/>
    <s v="Complete Access"/>
    <x v="61"/>
    <x v="1"/>
    <x v="1"/>
    <d v="1900-01-01T00:00:00"/>
    <n v="23"/>
    <x v="8"/>
    <x v="3"/>
  </r>
  <r>
    <x v="776"/>
    <n v="-60.99"/>
    <x v="1701"/>
    <n v="2900.03"/>
    <s v="Complete Access"/>
    <x v="210"/>
    <x v="3"/>
    <x v="15"/>
    <d v="1900-01-01T00:00:00"/>
    <n v="23"/>
    <x v="8"/>
    <x v="3"/>
  </r>
  <r>
    <x v="776"/>
    <n v="-33.590000000000003"/>
    <x v="1306"/>
    <n v="3565.92"/>
    <s v="Complete Access"/>
    <x v="381"/>
    <x v="1"/>
    <x v="1"/>
    <d v="1900-01-01T00:00:00"/>
    <n v="23"/>
    <x v="8"/>
    <x v="3"/>
  </r>
  <r>
    <x v="776"/>
    <n v="-35"/>
    <x v="1702"/>
    <n v="2865.03"/>
    <s v="Complete Access"/>
    <x v="29"/>
    <x v="4"/>
    <x v="19"/>
    <d v="1900-01-01T00:00:00"/>
    <n v="23"/>
    <x v="8"/>
    <x v="3"/>
  </r>
  <r>
    <x v="776"/>
    <n v="-14.07"/>
    <x v="1703"/>
    <n v="2961.02"/>
    <s v="Complete Access"/>
    <x v="450"/>
    <x v="9"/>
    <x v="32"/>
    <d v="1900-01-01T00:00:00"/>
    <n v="23"/>
    <x v="8"/>
    <x v="3"/>
  </r>
  <r>
    <x v="776"/>
    <n v="-7.04"/>
    <x v="1703"/>
    <n v="2975.09"/>
    <s v="Complete Access"/>
    <x v="450"/>
    <x v="9"/>
    <x v="32"/>
    <d v="1900-01-01T00:00:00"/>
    <n v="23"/>
    <x v="8"/>
    <x v="3"/>
  </r>
  <r>
    <x v="776"/>
    <n v="760"/>
    <x v="1704"/>
    <n v="3599.51"/>
    <s v="Complete Access"/>
    <x v="67"/>
    <x v="0"/>
    <x v="0"/>
    <d v="1900-01-01T00:00:00"/>
    <n v="23"/>
    <x v="8"/>
    <x v="3"/>
  </r>
  <r>
    <x v="777"/>
    <n v="-11.42"/>
    <x v="1705"/>
    <n v="3148.34"/>
    <s v="Complete Access"/>
    <x v="61"/>
    <x v="1"/>
    <x v="1"/>
    <d v="1899-12-31T00:00:00"/>
    <n v="23"/>
    <x v="8"/>
    <x v="3"/>
  </r>
  <r>
    <x v="777"/>
    <n v="-32.19"/>
    <x v="1706"/>
    <n v="3163.76"/>
    <s v="Complete Access"/>
    <x v="8"/>
    <x v="1"/>
    <x v="5"/>
    <d v="1899-12-31T00:00:00"/>
    <n v="23"/>
    <x v="8"/>
    <x v="3"/>
  </r>
  <r>
    <x v="777"/>
    <n v="75"/>
    <x v="1707"/>
    <n v="3162.68"/>
    <s v="Complete Access"/>
    <x v="36"/>
    <x v="0"/>
    <x v="0"/>
    <d v="1899-12-31T00:00:00"/>
    <n v="23"/>
    <x v="8"/>
    <x v="3"/>
  </r>
  <r>
    <x v="777"/>
    <n v="-60.66"/>
    <x v="989"/>
    <n v="3087.68"/>
    <s v="Complete Access"/>
    <x v="332"/>
    <x v="1"/>
    <x v="5"/>
    <d v="1899-12-31T00:00:00"/>
    <n v="23"/>
    <x v="8"/>
    <x v="3"/>
  </r>
  <r>
    <x v="777"/>
    <n v="-4"/>
    <x v="1708"/>
    <n v="3159.76"/>
    <s v="Complete Access"/>
    <x v="269"/>
    <x v="1"/>
    <x v="1"/>
    <d v="1899-12-31T00:00:00"/>
    <n v="23"/>
    <x v="8"/>
    <x v="3"/>
  </r>
  <r>
    <x v="777"/>
    <n v="-180.55"/>
    <x v="1709"/>
    <n v="2982.13"/>
    <s v="Complete Access"/>
    <x v="76"/>
    <x v="2"/>
    <x v="2"/>
    <d v="1899-12-31T00:00:00"/>
    <n v="23"/>
    <x v="8"/>
    <x v="3"/>
  </r>
  <r>
    <x v="778"/>
    <n v="-61.79"/>
    <x v="1710"/>
    <n v="3246.32"/>
    <s v="Complete Access"/>
    <x v="8"/>
    <x v="1"/>
    <x v="5"/>
    <d v="1900-01-30T00:00:00"/>
    <n v="23"/>
    <x v="9"/>
    <x v="3"/>
  </r>
  <r>
    <x v="778"/>
    <n v="-7.99"/>
    <x v="1711"/>
    <n v="3238.33"/>
    <s v="Complete Access"/>
    <x v="15"/>
    <x v="4"/>
    <x v="10"/>
    <d v="1900-01-30T00:00:00"/>
    <n v="23"/>
    <x v="9"/>
    <x v="3"/>
  </r>
  <r>
    <x v="778"/>
    <n v="-10"/>
    <x v="1712"/>
    <n v="3218.35"/>
    <s v="Complete Access"/>
    <x v="1"/>
    <x v="1"/>
    <x v="1"/>
    <d v="1900-01-30T00:00:00"/>
    <n v="23"/>
    <x v="9"/>
    <x v="3"/>
  </r>
  <r>
    <x v="778"/>
    <n v="-22.4"/>
    <x v="436"/>
    <n v="3195.95"/>
    <s v="Complete Access"/>
    <x v="186"/>
    <x v="1"/>
    <x v="5"/>
    <d v="1900-01-30T00:00:00"/>
    <n v="23"/>
    <x v="9"/>
    <x v="3"/>
  </r>
  <r>
    <x v="778"/>
    <n v="-9.98"/>
    <x v="1713"/>
    <n v="3228.35"/>
    <s v="Complete Access"/>
    <x v="221"/>
    <x v="1"/>
    <x v="5"/>
    <d v="1900-01-30T00:00:00"/>
    <n v="23"/>
    <x v="9"/>
    <x v="3"/>
  </r>
  <r>
    <x v="779"/>
    <n v="-500"/>
    <x v="1714"/>
    <n v="3308.11"/>
    <s v="Complete Access"/>
    <x v="451"/>
    <x v="19"/>
    <x v="61"/>
    <d v="1900-01-29T00:00:00"/>
    <n v="23"/>
    <x v="9"/>
    <x v="3"/>
  </r>
  <r>
    <x v="779"/>
    <n v="-12.04"/>
    <x v="1715"/>
    <n v="3808.11"/>
    <s v="Complete Access"/>
    <x v="4"/>
    <x v="1"/>
    <x v="1"/>
    <d v="1900-01-29T00:00:00"/>
    <n v="23"/>
    <x v="9"/>
    <x v="3"/>
  </r>
  <r>
    <x v="780"/>
    <n v="-7.05"/>
    <x v="1716"/>
    <n v="3885.15"/>
    <s v="Complete Access"/>
    <x v="61"/>
    <x v="1"/>
    <x v="1"/>
    <d v="1900-01-27T00:00:00"/>
    <n v="22"/>
    <x v="9"/>
    <x v="3"/>
  </r>
  <r>
    <x v="780"/>
    <n v="-47.32"/>
    <x v="1717"/>
    <n v="3918.63"/>
    <s v="Complete Access"/>
    <x v="20"/>
    <x v="9"/>
    <x v="12"/>
    <d v="1900-01-27T00:00:00"/>
    <n v="22"/>
    <x v="9"/>
    <x v="3"/>
  </r>
  <r>
    <x v="780"/>
    <n v="-22.23"/>
    <x v="1718"/>
    <n v="3896.4"/>
    <s v="Complete Access"/>
    <x v="304"/>
    <x v="1"/>
    <x v="5"/>
    <d v="1900-01-27T00:00:00"/>
    <n v="22"/>
    <x v="9"/>
    <x v="3"/>
  </r>
  <r>
    <x v="780"/>
    <n v="-4.2"/>
    <x v="1719"/>
    <n v="3892.2"/>
    <s v="Complete Access"/>
    <x v="34"/>
    <x v="9"/>
    <x v="12"/>
    <d v="1900-01-27T00:00:00"/>
    <n v="22"/>
    <x v="9"/>
    <x v="3"/>
  </r>
  <r>
    <x v="780"/>
    <n v="-65"/>
    <x v="1720"/>
    <n v="3820.15"/>
    <s v="Complete Access"/>
    <x v="0"/>
    <x v="0"/>
    <x v="0"/>
    <d v="1900-01-27T00:00:00"/>
    <n v="22"/>
    <x v="9"/>
    <x v="3"/>
  </r>
  <r>
    <x v="781"/>
    <n v="-15"/>
    <x v="1721"/>
    <n v="4003.55"/>
    <s v="Complete Access"/>
    <x v="61"/>
    <x v="1"/>
    <x v="1"/>
    <d v="1900-01-26T00:00:00"/>
    <n v="22"/>
    <x v="9"/>
    <x v="3"/>
  </r>
  <r>
    <x v="781"/>
    <n v="-9.24"/>
    <x v="1722"/>
    <n v="4018.55"/>
    <s v="Complete Access"/>
    <x v="285"/>
    <x v="5"/>
    <x v="8"/>
    <d v="1900-01-26T00:00:00"/>
    <n v="22"/>
    <x v="9"/>
    <x v="3"/>
  </r>
  <r>
    <x v="781"/>
    <n v="-9.3000000000000007"/>
    <x v="1723"/>
    <n v="3994.25"/>
    <s v="Complete Access"/>
    <x v="452"/>
    <x v="1"/>
    <x v="5"/>
    <d v="1900-01-26T00:00:00"/>
    <n v="22"/>
    <x v="9"/>
    <x v="3"/>
  </r>
  <r>
    <x v="781"/>
    <n v="-28.3"/>
    <x v="1724"/>
    <n v="3965.95"/>
    <s v="Complete Access"/>
    <x v="453"/>
    <x v="8"/>
    <x v="22"/>
    <d v="1900-01-26T00:00:00"/>
    <n v="22"/>
    <x v="9"/>
    <x v="3"/>
  </r>
  <r>
    <x v="782"/>
    <n v="-760"/>
    <x v="656"/>
    <n v="4044.18"/>
    <s v="Complete Access"/>
    <x v="13"/>
    <x v="0"/>
    <x v="0"/>
    <d v="1900-01-25T00:00:00"/>
    <n v="22"/>
    <x v="9"/>
    <x v="3"/>
  </r>
  <r>
    <x v="782"/>
    <n v="-7.15"/>
    <x v="1725"/>
    <n v="4027.79"/>
    <s v="Complete Access"/>
    <x v="61"/>
    <x v="1"/>
    <x v="1"/>
    <d v="1900-01-25T00:00:00"/>
    <n v="22"/>
    <x v="9"/>
    <x v="3"/>
  </r>
  <r>
    <x v="782"/>
    <n v="-9.24"/>
    <x v="1726"/>
    <n v="4034.94"/>
    <s v="Complete Access"/>
    <x v="285"/>
    <x v="5"/>
    <x v="8"/>
    <d v="1900-01-25T00:00:00"/>
    <n v="22"/>
    <x v="9"/>
    <x v="3"/>
  </r>
  <r>
    <x v="782"/>
    <n v="2325.66"/>
    <x v="1727"/>
    <n v="4804.18"/>
    <s v="Complete Access"/>
    <x v="14"/>
    <x v="6"/>
    <x v="9"/>
    <d v="1900-01-25T00:00:00"/>
    <n v="22"/>
    <x v="9"/>
    <x v="3"/>
  </r>
  <r>
    <x v="783"/>
    <n v="-16.3"/>
    <x v="1728"/>
    <n v="2528.62"/>
    <s v="Complete Access"/>
    <x v="61"/>
    <x v="1"/>
    <x v="1"/>
    <d v="1900-01-24T00:00:00"/>
    <n v="22"/>
    <x v="9"/>
    <x v="3"/>
  </r>
  <r>
    <x v="783"/>
    <n v="-8.1"/>
    <x v="1729"/>
    <n v="2713.43"/>
    <s v="Complete Access"/>
    <x v="285"/>
    <x v="5"/>
    <x v="8"/>
    <d v="1900-01-24T00:00:00"/>
    <n v="22"/>
    <x v="9"/>
    <x v="3"/>
  </r>
  <r>
    <x v="783"/>
    <n v="-119.6"/>
    <x v="1730"/>
    <n v="2544.92"/>
    <s v="Complete Access"/>
    <x v="454"/>
    <x v="3"/>
    <x v="60"/>
    <d v="1900-01-24T00:00:00"/>
    <n v="22"/>
    <x v="9"/>
    <x v="3"/>
  </r>
  <r>
    <x v="783"/>
    <n v="-25.7"/>
    <x v="96"/>
    <n v="2478.52"/>
    <s v="Complete Access"/>
    <x v="47"/>
    <x v="1"/>
    <x v="5"/>
    <d v="1900-01-24T00:00:00"/>
    <n v="22"/>
    <x v="9"/>
    <x v="3"/>
  </r>
  <r>
    <x v="783"/>
    <n v="-6.8"/>
    <x v="1731"/>
    <n v="2706.63"/>
    <s v="Complete Access"/>
    <x v="98"/>
    <x v="9"/>
    <x v="32"/>
    <d v="1900-01-24T00:00:00"/>
    <n v="22"/>
    <x v="9"/>
    <x v="3"/>
  </r>
  <r>
    <x v="783"/>
    <n v="-24.4"/>
    <x v="436"/>
    <n v="2504.2199999999998"/>
    <s v="Complete Access"/>
    <x v="186"/>
    <x v="1"/>
    <x v="5"/>
    <d v="1900-01-24T00:00:00"/>
    <n v="22"/>
    <x v="9"/>
    <x v="3"/>
  </r>
  <r>
    <x v="783"/>
    <n v="-42.11"/>
    <x v="1732"/>
    <n v="2664.52"/>
    <s v="Complete Access"/>
    <x v="91"/>
    <x v="9"/>
    <x v="12"/>
    <d v="1900-01-24T00:00:00"/>
    <n v="22"/>
    <x v="9"/>
    <x v="3"/>
  </r>
  <r>
    <x v="784"/>
    <n v="-5"/>
    <x v="1345"/>
    <n v="2721.53"/>
    <s v="Complete Access"/>
    <x v="383"/>
    <x v="1"/>
    <x v="5"/>
    <d v="1900-01-23T00:00:00"/>
    <n v="22"/>
    <x v="9"/>
    <x v="3"/>
  </r>
  <r>
    <x v="784"/>
    <n v="-4.8"/>
    <x v="1345"/>
    <n v="2726.53"/>
    <s v="Complete Access"/>
    <x v="383"/>
    <x v="1"/>
    <x v="5"/>
    <d v="1900-01-23T00:00:00"/>
    <n v="22"/>
    <x v="9"/>
    <x v="3"/>
  </r>
  <r>
    <x v="784"/>
    <n v="-40.19"/>
    <x v="1733"/>
    <n v="2937.28"/>
    <s v="Complete Access"/>
    <x v="8"/>
    <x v="1"/>
    <x v="5"/>
    <d v="1900-01-23T00:00:00"/>
    <n v="22"/>
    <x v="9"/>
    <x v="3"/>
  </r>
  <r>
    <x v="784"/>
    <n v="-60.79"/>
    <x v="1734"/>
    <n v="2731.33"/>
    <s v="Complete Access"/>
    <x v="8"/>
    <x v="1"/>
    <x v="5"/>
    <d v="1900-01-23T00:00:00"/>
    <n v="22"/>
    <x v="9"/>
    <x v="3"/>
  </r>
  <r>
    <x v="784"/>
    <n v="-8.65"/>
    <x v="1735"/>
    <n v="2792.12"/>
    <s v="Complete Access"/>
    <x v="455"/>
    <x v="8"/>
    <x v="29"/>
    <d v="1900-01-23T00:00:00"/>
    <n v="22"/>
    <x v="9"/>
    <x v="3"/>
  </r>
  <r>
    <x v="784"/>
    <n v="-113.5"/>
    <x v="1736"/>
    <n v="2800.77"/>
    <s v="Complete Access"/>
    <x v="456"/>
    <x v="1"/>
    <x v="5"/>
    <d v="1900-01-23T00:00:00"/>
    <n v="22"/>
    <x v="9"/>
    <x v="3"/>
  </r>
  <r>
    <x v="784"/>
    <n v="-3.5"/>
    <x v="1737"/>
    <n v="2933.78"/>
    <s v="Complete Access"/>
    <x v="269"/>
    <x v="1"/>
    <x v="1"/>
    <d v="1900-01-23T00:00:00"/>
    <n v="22"/>
    <x v="9"/>
    <x v="3"/>
  </r>
  <r>
    <x v="784"/>
    <n v="-19.510000000000002"/>
    <x v="1738"/>
    <n v="2914.27"/>
    <s v="Complete Access"/>
    <x v="1"/>
    <x v="1"/>
    <x v="1"/>
    <d v="1900-01-23T00:00:00"/>
    <n v="22"/>
    <x v="9"/>
    <x v="3"/>
  </r>
  <r>
    <x v="785"/>
    <n v="-5"/>
    <x v="1617"/>
    <n v="3001.37"/>
    <s v="Complete Access"/>
    <x v="421"/>
    <x v="20"/>
    <x v="63"/>
    <d v="1900-01-22T00:00:00"/>
    <n v="22"/>
    <x v="9"/>
    <x v="3"/>
  </r>
  <r>
    <x v="785"/>
    <n v="-23.9"/>
    <x v="1739"/>
    <n v="2977.47"/>
    <s v="Complete Access"/>
    <x v="457"/>
    <x v="1"/>
    <x v="5"/>
    <d v="1900-01-22T00:00:00"/>
    <n v="22"/>
    <x v="9"/>
    <x v="3"/>
  </r>
  <r>
    <x v="786"/>
    <n v="30"/>
    <x v="1740"/>
    <n v="3006.37"/>
    <s v="Complete Access"/>
    <x v="36"/>
    <x v="0"/>
    <x v="0"/>
    <d v="1900-01-20T00:00:00"/>
    <n v="21"/>
    <x v="9"/>
    <x v="3"/>
  </r>
  <r>
    <x v="786"/>
    <n v="-17.71"/>
    <x v="1741"/>
    <n v="2976.37"/>
    <s v="Complete Access"/>
    <x v="1"/>
    <x v="1"/>
    <x v="1"/>
    <d v="1900-01-20T00:00:00"/>
    <n v="21"/>
    <x v="9"/>
    <x v="3"/>
  </r>
  <r>
    <x v="786"/>
    <n v="-21.63"/>
    <x v="1742"/>
    <n v="2994.08"/>
    <s v="Complete Access"/>
    <x v="34"/>
    <x v="9"/>
    <x v="12"/>
    <d v="1900-01-20T00:00:00"/>
    <n v="21"/>
    <x v="9"/>
    <x v="3"/>
  </r>
  <r>
    <x v="787"/>
    <n v="-5.99"/>
    <x v="1743"/>
    <n v="3027.86"/>
    <s v="Complete Access"/>
    <x v="352"/>
    <x v="4"/>
    <x v="67"/>
    <d v="1900-01-19T00:00:00"/>
    <n v="21"/>
    <x v="9"/>
    <x v="3"/>
  </r>
  <r>
    <x v="787"/>
    <n v="-12.15"/>
    <x v="96"/>
    <n v="3015.71"/>
    <s v="Complete Access"/>
    <x v="47"/>
    <x v="1"/>
    <x v="5"/>
    <d v="1900-01-19T00:00:00"/>
    <n v="21"/>
    <x v="9"/>
    <x v="3"/>
  </r>
  <r>
    <x v="788"/>
    <n v="100"/>
    <x v="1744"/>
    <n v="3033.85"/>
    <s v="Complete Access"/>
    <x v="36"/>
    <x v="0"/>
    <x v="0"/>
    <d v="1900-01-18T00:00:00"/>
    <n v="21"/>
    <x v="9"/>
    <x v="3"/>
  </r>
  <r>
    <x v="788"/>
    <n v="-69"/>
    <x v="1745"/>
    <n v="2947.98"/>
    <s v="Complete Access"/>
    <x v="207"/>
    <x v="7"/>
    <x v="11"/>
    <d v="1900-01-18T00:00:00"/>
    <n v="21"/>
    <x v="9"/>
    <x v="3"/>
  </r>
  <r>
    <x v="788"/>
    <n v="-14.13"/>
    <x v="1130"/>
    <n v="2933.85"/>
    <s v="Complete Access"/>
    <x v="351"/>
    <x v="1"/>
    <x v="5"/>
    <d v="1900-01-18T00:00:00"/>
    <n v="21"/>
    <x v="9"/>
    <x v="3"/>
  </r>
  <r>
    <x v="789"/>
    <n v="-218"/>
    <x v="1746"/>
    <n v="3016.98"/>
    <s v="Complete Access"/>
    <x v="0"/>
    <x v="0"/>
    <x v="0"/>
    <d v="1900-01-17T00:00:00"/>
    <n v="21"/>
    <x v="9"/>
    <x v="3"/>
  </r>
  <r>
    <x v="789"/>
    <n v="-23.89"/>
    <x v="1747"/>
    <n v="3248.98"/>
    <s v="Complete Access"/>
    <x v="8"/>
    <x v="1"/>
    <x v="5"/>
    <d v="1900-01-17T00:00:00"/>
    <n v="21"/>
    <x v="9"/>
    <x v="3"/>
  </r>
  <r>
    <x v="789"/>
    <n v="-9.24"/>
    <x v="1748"/>
    <n v="3300.28"/>
    <s v="Complete Access"/>
    <x v="285"/>
    <x v="5"/>
    <x v="8"/>
    <d v="1900-01-17T00:00:00"/>
    <n v="21"/>
    <x v="9"/>
    <x v="3"/>
  </r>
  <r>
    <x v="789"/>
    <n v="-14"/>
    <x v="1130"/>
    <n v="3234.98"/>
    <s v="Complete Access"/>
    <x v="351"/>
    <x v="1"/>
    <x v="5"/>
    <d v="1900-01-17T00:00:00"/>
    <n v="21"/>
    <x v="9"/>
    <x v="3"/>
  </r>
  <r>
    <x v="789"/>
    <n v="-27.41"/>
    <x v="1749"/>
    <n v="3272.87"/>
    <s v="Complete Access"/>
    <x v="458"/>
    <x v="20"/>
    <x v="63"/>
    <d v="1900-01-17T00:00:00"/>
    <n v="21"/>
    <x v="9"/>
    <x v="3"/>
  </r>
  <r>
    <x v="790"/>
    <n v="-26.87"/>
    <x v="1750"/>
    <n v="3532.51"/>
    <s v="Complete Access"/>
    <x v="8"/>
    <x v="1"/>
    <x v="5"/>
    <d v="1900-01-16T00:00:00"/>
    <n v="21"/>
    <x v="9"/>
    <x v="3"/>
  </r>
  <r>
    <x v="790"/>
    <n v="-30.82"/>
    <x v="1751"/>
    <n v="3559.38"/>
    <s v="Complete Access"/>
    <x v="8"/>
    <x v="1"/>
    <x v="5"/>
    <d v="1900-01-16T00:00:00"/>
    <n v="21"/>
    <x v="9"/>
    <x v="3"/>
  </r>
  <r>
    <x v="790"/>
    <n v="-21.45"/>
    <x v="1751"/>
    <n v="3590.2"/>
    <s v="Complete Access"/>
    <x v="8"/>
    <x v="1"/>
    <x v="5"/>
    <d v="1900-01-16T00:00:00"/>
    <n v="21"/>
    <x v="9"/>
    <x v="3"/>
  </r>
  <r>
    <x v="790"/>
    <n v="-54.99"/>
    <x v="1752"/>
    <n v="3477.52"/>
    <s v="Complete Access"/>
    <x v="459"/>
    <x v="1"/>
    <x v="23"/>
    <d v="1900-01-16T00:00:00"/>
    <n v="21"/>
    <x v="9"/>
    <x v="3"/>
  </r>
  <r>
    <x v="790"/>
    <n v="-18.899999999999999"/>
    <x v="96"/>
    <n v="3364.52"/>
    <s v="Complete Access"/>
    <x v="47"/>
    <x v="1"/>
    <x v="5"/>
    <d v="1900-01-16T00:00:00"/>
    <n v="21"/>
    <x v="9"/>
    <x v="3"/>
  </r>
  <r>
    <x v="790"/>
    <n v="-43.45"/>
    <x v="1753"/>
    <n v="3383.42"/>
    <s v="Complete Access"/>
    <x v="460"/>
    <x v="8"/>
    <x v="29"/>
    <d v="1900-01-16T00:00:00"/>
    <n v="21"/>
    <x v="9"/>
    <x v="3"/>
  </r>
  <r>
    <x v="790"/>
    <n v="-50.65"/>
    <x v="1753"/>
    <n v="3426.87"/>
    <s v="Complete Access"/>
    <x v="460"/>
    <x v="8"/>
    <x v="29"/>
    <d v="1900-01-16T00:00:00"/>
    <n v="21"/>
    <x v="9"/>
    <x v="3"/>
  </r>
  <r>
    <x v="790"/>
    <n v="-55"/>
    <x v="1754"/>
    <n v="3309.52"/>
    <s v="Complete Access"/>
    <x v="433"/>
    <x v="7"/>
    <x v="53"/>
    <d v="1900-01-16T00:00:00"/>
    <n v="21"/>
    <x v="9"/>
    <x v="3"/>
  </r>
  <r>
    <x v="791"/>
    <n v="-5.3"/>
    <x v="1617"/>
    <n v="3611.65"/>
    <s v="Complete Access"/>
    <x v="421"/>
    <x v="20"/>
    <x v="63"/>
    <d v="1900-01-15T00:00:00"/>
    <n v="21"/>
    <x v="9"/>
    <x v="3"/>
  </r>
  <r>
    <x v="792"/>
    <n v="-50"/>
    <x v="1755"/>
    <n v="3621.95"/>
    <s v="Complete Access"/>
    <x v="130"/>
    <x v="0"/>
    <x v="0"/>
    <d v="1900-01-14T00:00:00"/>
    <n v="21"/>
    <x v="9"/>
    <x v="3"/>
  </r>
  <r>
    <x v="792"/>
    <n v="-5"/>
    <x v="72"/>
    <n v="3616.95"/>
    <s v="Complete Access"/>
    <x v="37"/>
    <x v="0"/>
    <x v="0"/>
    <d v="1900-01-14T00:00:00"/>
    <n v="21"/>
    <x v="9"/>
    <x v="3"/>
  </r>
  <r>
    <x v="793"/>
    <n v="-150"/>
    <x v="1756"/>
    <n v="3676.95"/>
    <s v="Complete Access"/>
    <x v="130"/>
    <x v="0"/>
    <x v="0"/>
    <d v="1900-01-13T00:00:00"/>
    <n v="20"/>
    <x v="9"/>
    <x v="3"/>
  </r>
  <r>
    <x v="793"/>
    <n v="-5"/>
    <x v="1757"/>
    <n v="3671.95"/>
    <s v="Complete Access"/>
    <x v="37"/>
    <x v="0"/>
    <x v="0"/>
    <d v="1900-01-13T00:00:00"/>
    <n v="20"/>
    <x v="9"/>
    <x v="3"/>
  </r>
  <r>
    <x v="793"/>
    <n v="-13.9"/>
    <x v="1758"/>
    <n v="3853.2"/>
    <s v="Complete Access"/>
    <x v="47"/>
    <x v="1"/>
    <x v="5"/>
    <d v="1900-01-13T00:00:00"/>
    <n v="20"/>
    <x v="9"/>
    <x v="3"/>
  </r>
  <r>
    <x v="793"/>
    <n v="-26.25"/>
    <x v="1759"/>
    <n v="3826.95"/>
    <s v="Complete Access"/>
    <x v="461"/>
    <x v="15"/>
    <x v="34"/>
    <d v="1900-01-13T00:00:00"/>
    <n v="20"/>
    <x v="9"/>
    <x v="3"/>
  </r>
  <r>
    <x v="794"/>
    <n v="40"/>
    <x v="1760"/>
    <n v="3867.1"/>
    <s v="Complete Access"/>
    <x v="36"/>
    <x v="0"/>
    <x v="0"/>
    <d v="1900-01-12T00:00:00"/>
    <n v="20"/>
    <x v="9"/>
    <x v="3"/>
  </r>
  <r>
    <x v="795"/>
    <n v="-760"/>
    <x v="656"/>
    <n v="3837.17"/>
    <s v="Complete Access"/>
    <x v="13"/>
    <x v="0"/>
    <x v="0"/>
    <d v="1900-01-11T00:00:00"/>
    <n v="20"/>
    <x v="9"/>
    <x v="3"/>
  </r>
  <r>
    <x v="795"/>
    <n v="2468.7199999999998"/>
    <x v="1761"/>
    <n v="4597.17"/>
    <s v="Complete Access"/>
    <x v="14"/>
    <x v="6"/>
    <x v="9"/>
    <d v="1900-01-11T00:00:00"/>
    <n v="20"/>
    <x v="9"/>
    <x v="3"/>
  </r>
  <r>
    <x v="795"/>
    <n v="-2.0699999999999998"/>
    <x v="1762"/>
    <n v="3827.1"/>
    <s v="Complete Access"/>
    <x v="1"/>
    <x v="1"/>
    <x v="1"/>
    <d v="1900-01-11T00:00:00"/>
    <n v="20"/>
    <x v="9"/>
    <x v="3"/>
  </r>
  <r>
    <x v="795"/>
    <n v="-8"/>
    <x v="1763"/>
    <n v="3829.17"/>
    <s v="Complete Access"/>
    <x v="367"/>
    <x v="4"/>
    <x v="7"/>
    <d v="1900-01-11T00:00:00"/>
    <n v="20"/>
    <x v="9"/>
    <x v="3"/>
  </r>
  <r>
    <x v="796"/>
    <n v="-7.45"/>
    <x v="1764"/>
    <n v="2128.4499999999998"/>
    <s v="Complete Access"/>
    <x v="285"/>
    <x v="5"/>
    <x v="8"/>
    <d v="1900-01-10T00:00:00"/>
    <n v="20"/>
    <x v="9"/>
    <x v="3"/>
  </r>
  <r>
    <x v="797"/>
    <n v="-110"/>
    <x v="1765"/>
    <n v="2135.9"/>
    <s v="Complete Access"/>
    <x v="0"/>
    <x v="0"/>
    <x v="0"/>
    <d v="1900-01-09T00:00:00"/>
    <n v="20"/>
    <x v="9"/>
    <x v="3"/>
  </r>
  <r>
    <x v="797"/>
    <n v="-17.27"/>
    <x v="1766"/>
    <n v="2267.0100000000002"/>
    <s v="Complete Access"/>
    <x v="462"/>
    <x v="1"/>
    <x v="5"/>
    <d v="1900-01-09T00:00:00"/>
    <n v="20"/>
    <x v="9"/>
    <x v="3"/>
  </r>
  <r>
    <x v="797"/>
    <n v="-21.11"/>
    <x v="1641"/>
    <n v="2245.9"/>
    <s v="Complete Access"/>
    <x v="4"/>
    <x v="1"/>
    <x v="1"/>
    <d v="1900-01-09T00:00:00"/>
    <n v="20"/>
    <x v="9"/>
    <x v="3"/>
  </r>
  <r>
    <x v="798"/>
    <n v="9.5"/>
    <x v="1767"/>
    <n v="2284.2800000000002"/>
    <s v="Complete Access"/>
    <x v="36"/>
    <x v="0"/>
    <x v="0"/>
    <d v="1900-01-08T00:00:00"/>
    <n v="20"/>
    <x v="9"/>
    <x v="3"/>
  </r>
  <r>
    <x v="798"/>
    <n v="-10"/>
    <x v="1617"/>
    <n v="2274.7800000000002"/>
    <s v="Complete Access"/>
    <x v="421"/>
    <x v="20"/>
    <x v="63"/>
    <d v="1900-01-08T00:00:00"/>
    <n v="20"/>
    <x v="9"/>
    <x v="3"/>
  </r>
  <r>
    <x v="799"/>
    <n v="-50"/>
    <x v="1768"/>
    <n v="2284.7800000000002"/>
    <s v="Complete Access"/>
    <x v="463"/>
    <x v="10"/>
    <x v="13"/>
    <d v="1900-01-07T00:00:00"/>
    <n v="20"/>
    <x v="9"/>
    <x v="3"/>
  </r>
  <r>
    <x v="800"/>
    <n v="-4.46"/>
    <x v="1769"/>
    <n v="2334.7800000000002"/>
    <s v="Complete Access"/>
    <x v="177"/>
    <x v="1"/>
    <x v="1"/>
    <d v="1900-01-06T00:00:00"/>
    <n v="19"/>
    <x v="9"/>
    <x v="3"/>
  </r>
  <r>
    <x v="801"/>
    <n v="-103.79"/>
    <x v="1770"/>
    <n v="2351.7399999999998"/>
    <s v="Complete Access"/>
    <x v="1"/>
    <x v="1"/>
    <x v="1"/>
    <d v="1900-01-05T00:00:00"/>
    <n v="19"/>
    <x v="9"/>
    <x v="3"/>
  </r>
  <r>
    <x v="801"/>
    <n v="-12.5"/>
    <x v="1771"/>
    <n v="2339.2399999999998"/>
    <s v="Complete Access"/>
    <x v="0"/>
    <x v="0"/>
    <x v="0"/>
    <d v="1900-01-05T00:00:00"/>
    <n v="19"/>
    <x v="9"/>
    <x v="3"/>
  </r>
  <r>
    <x v="802"/>
    <n v="-18.79"/>
    <x v="1772"/>
    <n v="2455.5300000000002"/>
    <s v="Complete Access"/>
    <x v="34"/>
    <x v="9"/>
    <x v="12"/>
    <d v="1900-01-04T00:00:00"/>
    <n v="19"/>
    <x v="9"/>
    <x v="3"/>
  </r>
  <r>
    <x v="803"/>
    <n v="-90"/>
    <x v="1773"/>
    <n v="2474.3200000000002"/>
    <s v="Complete Access"/>
    <x v="438"/>
    <x v="12"/>
    <x v="21"/>
    <d v="1900-01-03T00:00:00"/>
    <n v="19"/>
    <x v="9"/>
    <x v="3"/>
  </r>
  <r>
    <x v="804"/>
    <n v="15"/>
    <x v="1774"/>
    <n v="2564.3200000000002"/>
    <s v="Complete Access"/>
    <x v="160"/>
    <x v="17"/>
    <x v="43"/>
    <d v="1900-01-02T00:00:00"/>
    <n v="19"/>
    <x v="9"/>
    <x v="3"/>
  </r>
  <r>
    <x v="805"/>
    <n v="-22.15"/>
    <x v="96"/>
    <n v="2729.87"/>
    <s v="Complete Access"/>
    <x v="47"/>
    <x v="1"/>
    <x v="5"/>
    <d v="1900-01-01T00:00:00"/>
    <n v="19"/>
    <x v="9"/>
    <x v="3"/>
  </r>
  <r>
    <x v="805"/>
    <n v="-180.55"/>
    <x v="1775"/>
    <n v="2549.3200000000002"/>
    <s v="Complete Access"/>
    <x v="76"/>
    <x v="2"/>
    <x v="2"/>
    <d v="1900-01-01T00:00:00"/>
    <n v="19"/>
    <x v="9"/>
    <x v="3"/>
  </r>
  <r>
    <x v="806"/>
    <n v="-70.209999999999994"/>
    <x v="1776"/>
    <n v="2752.02"/>
    <s v="Complete Access"/>
    <x v="61"/>
    <x v="1"/>
    <x v="1"/>
    <d v="1900-01-28T00:00:00"/>
    <n v="18"/>
    <x v="10"/>
    <x v="3"/>
  </r>
  <r>
    <x v="806"/>
    <n v="-7.5"/>
    <x v="1777"/>
    <n v="2822.23"/>
    <s v="Complete Access"/>
    <x v="464"/>
    <x v="11"/>
    <x v="14"/>
    <d v="1900-01-28T00:00:00"/>
    <n v="18"/>
    <x v="10"/>
    <x v="3"/>
  </r>
  <r>
    <x v="807"/>
    <n v="-760"/>
    <x v="656"/>
    <n v="2849.73"/>
    <s v="Complete Access"/>
    <x v="13"/>
    <x v="0"/>
    <x v="0"/>
    <d v="1900-01-27T00:00:00"/>
    <n v="18"/>
    <x v="10"/>
    <x v="3"/>
  </r>
  <r>
    <x v="807"/>
    <n v="2248.56"/>
    <x v="503"/>
    <n v="3609.73"/>
    <s v="Complete Access"/>
    <x v="14"/>
    <x v="6"/>
    <x v="9"/>
    <d v="1900-01-27T00:00:00"/>
    <n v="18"/>
    <x v="10"/>
    <x v="3"/>
  </r>
  <r>
    <x v="807"/>
    <n v="-20"/>
    <x v="1778"/>
    <n v="2829.73"/>
    <s v="Complete Access"/>
    <x v="465"/>
    <x v="3"/>
    <x v="58"/>
    <d v="1900-01-27T00:00:00"/>
    <n v="18"/>
    <x v="10"/>
    <x v="3"/>
  </r>
  <r>
    <x v="808"/>
    <n v="-11.71"/>
    <x v="1779"/>
    <n v="1612.61"/>
    <s v="Complete Access"/>
    <x v="8"/>
    <x v="1"/>
    <x v="5"/>
    <d v="1900-01-26T00:00:00"/>
    <n v="18"/>
    <x v="10"/>
    <x v="3"/>
  </r>
  <r>
    <x v="808"/>
    <n v="-10"/>
    <x v="1779"/>
    <n v="1624.32"/>
    <s v="Complete Access"/>
    <x v="8"/>
    <x v="1"/>
    <x v="5"/>
    <d v="1900-01-26T00:00:00"/>
    <n v="18"/>
    <x v="10"/>
    <x v="3"/>
  </r>
  <r>
    <x v="808"/>
    <n v="-25.85"/>
    <x v="1780"/>
    <n v="1379.77"/>
    <s v="Complete Access"/>
    <x v="8"/>
    <x v="1"/>
    <x v="5"/>
    <d v="1900-01-26T00:00:00"/>
    <n v="18"/>
    <x v="10"/>
    <x v="3"/>
  </r>
  <r>
    <x v="808"/>
    <n v="-39.090000000000003"/>
    <x v="1780"/>
    <n v="1573.52"/>
    <s v="Complete Access"/>
    <x v="8"/>
    <x v="1"/>
    <x v="5"/>
    <d v="1900-01-26T00:00:00"/>
    <n v="18"/>
    <x v="10"/>
    <x v="3"/>
  </r>
  <r>
    <x v="808"/>
    <n v="-11.05"/>
    <x v="1781"/>
    <n v="1361.17"/>
    <s v="Complete Access"/>
    <x v="466"/>
    <x v="1"/>
    <x v="1"/>
    <d v="1900-01-26T00:00:00"/>
    <n v="18"/>
    <x v="10"/>
    <x v="3"/>
  </r>
  <r>
    <x v="808"/>
    <n v="-33.65"/>
    <x v="1782"/>
    <n v="1713.69"/>
    <s v="Complete Access"/>
    <x v="467"/>
    <x v="1"/>
    <x v="5"/>
    <d v="1900-01-26T00:00:00"/>
    <n v="18"/>
    <x v="10"/>
    <x v="3"/>
  </r>
  <r>
    <x v="808"/>
    <n v="-35"/>
    <x v="1783"/>
    <n v="1678.69"/>
    <s v="Complete Access"/>
    <x v="192"/>
    <x v="4"/>
    <x v="20"/>
    <d v="1900-01-26T00:00:00"/>
    <n v="18"/>
    <x v="10"/>
    <x v="3"/>
  </r>
  <r>
    <x v="808"/>
    <n v="-7.55"/>
    <x v="1784"/>
    <n v="1372.22"/>
    <s v="Complete Access"/>
    <x v="468"/>
    <x v="20"/>
    <x v="63"/>
    <d v="1900-01-26T00:00:00"/>
    <n v="18"/>
    <x v="10"/>
    <x v="3"/>
  </r>
  <r>
    <x v="808"/>
    <n v="-44.37"/>
    <x v="1785"/>
    <n v="1634.32"/>
    <s v="Complete Access"/>
    <x v="104"/>
    <x v="1"/>
    <x v="5"/>
    <d v="1900-01-26T00:00:00"/>
    <n v="18"/>
    <x v="10"/>
    <x v="3"/>
  </r>
  <r>
    <x v="808"/>
    <n v="-26.9"/>
    <x v="1786"/>
    <n v="1405.62"/>
    <s v="Complete Access"/>
    <x v="304"/>
    <x v="1"/>
    <x v="5"/>
    <d v="1900-01-26T00:00:00"/>
    <n v="18"/>
    <x v="10"/>
    <x v="3"/>
  </r>
  <r>
    <x v="808"/>
    <n v="-33"/>
    <x v="1787"/>
    <n v="1432.52"/>
    <s v="Complete Access"/>
    <x v="425"/>
    <x v="8"/>
    <x v="29"/>
    <d v="1900-01-26T00:00:00"/>
    <n v="18"/>
    <x v="10"/>
    <x v="3"/>
  </r>
  <r>
    <x v="808"/>
    <n v="-24"/>
    <x v="1787"/>
    <n v="1465.52"/>
    <s v="Complete Access"/>
    <x v="425"/>
    <x v="8"/>
    <x v="29"/>
    <d v="1900-01-26T00:00:00"/>
    <n v="18"/>
    <x v="10"/>
    <x v="3"/>
  </r>
  <r>
    <x v="808"/>
    <n v="-34"/>
    <x v="1787"/>
    <n v="1489.52"/>
    <s v="Complete Access"/>
    <x v="425"/>
    <x v="8"/>
    <x v="29"/>
    <d v="1900-01-26T00:00:00"/>
    <n v="18"/>
    <x v="10"/>
    <x v="3"/>
  </r>
  <r>
    <x v="808"/>
    <n v="-28"/>
    <x v="1787"/>
    <n v="1523.52"/>
    <s v="Complete Access"/>
    <x v="425"/>
    <x v="8"/>
    <x v="29"/>
    <d v="1900-01-26T00:00:00"/>
    <n v="18"/>
    <x v="10"/>
    <x v="3"/>
  </r>
  <r>
    <x v="808"/>
    <n v="-22"/>
    <x v="1787"/>
    <n v="1551.52"/>
    <s v="Complete Access"/>
    <x v="425"/>
    <x v="8"/>
    <x v="29"/>
    <d v="1900-01-26T00:00:00"/>
    <n v="18"/>
    <x v="10"/>
    <x v="3"/>
  </r>
  <r>
    <x v="809"/>
    <n v="-72.17"/>
    <x v="1788"/>
    <n v="1747.34"/>
    <s v="Complete Access"/>
    <x v="469"/>
    <x v="1"/>
    <x v="5"/>
    <d v="1900-01-24T00:00:00"/>
    <n v="18"/>
    <x v="10"/>
    <x v="3"/>
  </r>
  <r>
    <x v="810"/>
    <n v="-13.65"/>
    <x v="1789"/>
    <n v="1825.41"/>
    <s v="Complete Access"/>
    <x v="333"/>
    <x v="1"/>
    <x v="5"/>
    <d v="1900-01-22T00:00:00"/>
    <n v="17"/>
    <x v="10"/>
    <x v="3"/>
  </r>
  <r>
    <x v="810"/>
    <n v="-5.9"/>
    <x v="1790"/>
    <n v="1819.51"/>
    <s v="Complete Access"/>
    <x v="243"/>
    <x v="1"/>
    <x v="23"/>
    <d v="1900-01-22T00:00:00"/>
    <n v="17"/>
    <x v="10"/>
    <x v="3"/>
  </r>
  <r>
    <x v="811"/>
    <n v="-72.45"/>
    <x v="1791"/>
    <n v="1839.06"/>
    <s v="Complete Access"/>
    <x v="470"/>
    <x v="8"/>
    <x v="40"/>
    <d v="1900-01-21T00:00:00"/>
    <n v="17"/>
    <x v="10"/>
    <x v="3"/>
  </r>
  <r>
    <x v="811"/>
    <n v="-69"/>
    <x v="1792"/>
    <n v="1911.51"/>
    <s v="Complete Access"/>
    <x v="207"/>
    <x v="7"/>
    <x v="11"/>
    <d v="1900-01-21T00:00:00"/>
    <n v="17"/>
    <x v="10"/>
    <x v="3"/>
  </r>
  <r>
    <x v="811"/>
    <n v="-12.7"/>
    <x v="1793"/>
    <n v="2090.87"/>
    <s v="Complete Access"/>
    <x v="471"/>
    <x v="15"/>
    <x v="34"/>
    <d v="1900-01-21T00:00:00"/>
    <n v="17"/>
    <x v="10"/>
    <x v="3"/>
  </r>
  <r>
    <x v="811"/>
    <n v="-57.12"/>
    <x v="1794"/>
    <n v="1980.51"/>
    <s v="Complete Access"/>
    <x v="471"/>
    <x v="15"/>
    <x v="34"/>
    <d v="1900-01-21T00:00:00"/>
    <n v="17"/>
    <x v="10"/>
    <x v="3"/>
  </r>
  <r>
    <x v="811"/>
    <n v="-53.24"/>
    <x v="1794"/>
    <n v="2037.63"/>
    <s v="Complete Access"/>
    <x v="471"/>
    <x v="15"/>
    <x v="34"/>
    <d v="1900-01-21T00:00:00"/>
    <n v="17"/>
    <x v="10"/>
    <x v="3"/>
  </r>
  <r>
    <x v="812"/>
    <n v="-86.59"/>
    <x v="1795"/>
    <n v="2129.15"/>
    <s v="Complete Access"/>
    <x v="256"/>
    <x v="4"/>
    <x v="47"/>
    <d v="1900-01-20T00:00:00"/>
    <n v="17"/>
    <x v="10"/>
    <x v="3"/>
  </r>
  <r>
    <x v="812"/>
    <n v="-3.3"/>
    <x v="1796"/>
    <n v="2215.7399999999998"/>
    <s v="Complete Access"/>
    <x v="220"/>
    <x v="1"/>
    <x v="5"/>
    <d v="1900-01-20T00:00:00"/>
    <n v="17"/>
    <x v="10"/>
    <x v="3"/>
  </r>
  <r>
    <x v="812"/>
    <n v="-13"/>
    <x v="96"/>
    <n v="2103.5700000000002"/>
    <s v="Complete Access"/>
    <x v="47"/>
    <x v="1"/>
    <x v="5"/>
    <d v="1900-01-20T00:00:00"/>
    <n v="17"/>
    <x v="10"/>
    <x v="3"/>
  </r>
  <r>
    <x v="812"/>
    <n v="-2.6"/>
    <x v="1797"/>
    <n v="2126.5500000000002"/>
    <s v="Complete Access"/>
    <x v="10"/>
    <x v="0"/>
    <x v="0"/>
    <d v="1900-01-20T00:00:00"/>
    <n v="17"/>
    <x v="10"/>
    <x v="3"/>
  </r>
  <r>
    <x v="812"/>
    <n v="-9.98"/>
    <x v="966"/>
    <n v="2116.5700000000002"/>
    <s v="Complete Access"/>
    <x v="215"/>
    <x v="1"/>
    <x v="1"/>
    <d v="1900-01-20T00:00:00"/>
    <n v="17"/>
    <x v="10"/>
    <x v="3"/>
  </r>
  <r>
    <x v="813"/>
    <n v="-10"/>
    <x v="1798"/>
    <n v="2615.9"/>
    <s v="Complete Access"/>
    <x v="472"/>
    <x v="8"/>
    <x v="40"/>
    <d v="1900-01-19T00:00:00"/>
    <n v="17"/>
    <x v="10"/>
    <x v="3"/>
  </r>
  <r>
    <x v="813"/>
    <n v="-38.159999999999997"/>
    <x v="1799"/>
    <n v="2625.9"/>
    <s v="Complete Access"/>
    <x v="8"/>
    <x v="1"/>
    <x v="5"/>
    <d v="1900-01-19T00:00:00"/>
    <n v="17"/>
    <x v="10"/>
    <x v="3"/>
  </r>
  <r>
    <x v="813"/>
    <n v="-56.6"/>
    <x v="1800"/>
    <n v="2774.95"/>
    <s v="Complete Access"/>
    <x v="473"/>
    <x v="1"/>
    <x v="5"/>
    <d v="1900-01-19T00:00:00"/>
    <n v="17"/>
    <x v="10"/>
    <x v="3"/>
  </r>
  <r>
    <x v="813"/>
    <n v="-13.09"/>
    <x v="1588"/>
    <n v="2219.04"/>
    <s v="Complete Access"/>
    <x v="423"/>
    <x v="1"/>
    <x v="5"/>
    <d v="1900-01-19T00:00:00"/>
    <n v="17"/>
    <x v="10"/>
    <x v="3"/>
  </r>
  <r>
    <x v="813"/>
    <n v="-17.899999999999999"/>
    <x v="1801"/>
    <n v="2831.55"/>
    <s v="Complete Access"/>
    <x v="474"/>
    <x v="1"/>
    <x v="5"/>
    <d v="1900-01-19T00:00:00"/>
    <n v="17"/>
    <x v="10"/>
    <x v="3"/>
  </r>
  <r>
    <x v="813"/>
    <n v="-227.7"/>
    <x v="1802"/>
    <n v="2388.1999999999998"/>
    <s v="Complete Access"/>
    <x v="475"/>
    <x v="8"/>
    <x v="40"/>
    <d v="1900-01-19T00:00:00"/>
    <n v="17"/>
    <x v="10"/>
    <x v="3"/>
  </r>
  <r>
    <x v="813"/>
    <n v="-5.99"/>
    <x v="1803"/>
    <n v="2852.95"/>
    <s v="Complete Access"/>
    <x v="476"/>
    <x v="4"/>
    <x v="7"/>
    <d v="1900-01-19T00:00:00"/>
    <n v="17"/>
    <x v="10"/>
    <x v="3"/>
  </r>
  <r>
    <x v="813"/>
    <n v="-110.89"/>
    <x v="1804"/>
    <n v="2664.06"/>
    <s v="Complete Access"/>
    <x v="477"/>
    <x v="8"/>
    <x v="29"/>
    <d v="1900-01-19T00:00:00"/>
    <n v="17"/>
    <x v="10"/>
    <x v="3"/>
  </r>
  <r>
    <x v="813"/>
    <n v="-37.07"/>
    <x v="1805"/>
    <n v="2232.13"/>
    <s v="Complete Access"/>
    <x v="1"/>
    <x v="1"/>
    <x v="1"/>
    <d v="1900-01-19T00:00:00"/>
    <n v="17"/>
    <x v="10"/>
    <x v="3"/>
  </r>
  <r>
    <x v="813"/>
    <n v="-3.5"/>
    <x v="1806"/>
    <n v="2849.45"/>
    <s v="Complete Access"/>
    <x v="91"/>
    <x v="9"/>
    <x v="12"/>
    <d v="1900-01-19T00:00:00"/>
    <n v="17"/>
    <x v="10"/>
    <x v="3"/>
  </r>
  <r>
    <x v="813"/>
    <n v="-119"/>
    <x v="1807"/>
    <n v="2269.1999999999998"/>
    <s v="Complete Access"/>
    <x v="77"/>
    <x v="4"/>
    <x v="27"/>
    <d v="1900-01-19T00:00:00"/>
    <n v="17"/>
    <x v="10"/>
    <x v="3"/>
  </r>
  <r>
    <x v="814"/>
    <n v="-8.1"/>
    <x v="1617"/>
    <n v="2913.94"/>
    <s v="Complete Access"/>
    <x v="421"/>
    <x v="20"/>
    <x v="63"/>
    <d v="1900-01-18T00:00:00"/>
    <n v="17"/>
    <x v="10"/>
    <x v="3"/>
  </r>
  <r>
    <x v="814"/>
    <n v="-55"/>
    <x v="1808"/>
    <n v="2858.94"/>
    <s v="Complete Access"/>
    <x v="433"/>
    <x v="7"/>
    <x v="53"/>
    <d v="1900-01-18T00:00:00"/>
    <n v="17"/>
    <x v="10"/>
    <x v="3"/>
  </r>
  <r>
    <x v="815"/>
    <n v="80"/>
    <x v="1809"/>
    <n v="2922.04"/>
    <s v="Complete Access"/>
    <x v="36"/>
    <x v="0"/>
    <x v="0"/>
    <d v="1900-01-17T00:00:00"/>
    <n v="17"/>
    <x v="10"/>
    <x v="3"/>
  </r>
  <r>
    <x v="815"/>
    <n v="-35.6"/>
    <x v="1810"/>
    <n v="2932.04"/>
    <s v="Complete Access"/>
    <x v="478"/>
    <x v="20"/>
    <x v="63"/>
    <d v="1900-01-17T00:00:00"/>
    <n v="17"/>
    <x v="10"/>
    <x v="3"/>
  </r>
  <r>
    <x v="815"/>
    <n v="-90"/>
    <x v="1811"/>
    <n v="2842.04"/>
    <s v="Complete Access"/>
    <x v="479"/>
    <x v="1"/>
    <x v="5"/>
    <d v="1900-01-17T00:00:00"/>
    <n v="17"/>
    <x v="10"/>
    <x v="3"/>
  </r>
  <r>
    <x v="815"/>
    <n v="-80"/>
    <x v="1812"/>
    <n v="2.0299999999999998"/>
    <s v="Netbank Saver"/>
    <x v="13"/>
    <x v="0"/>
    <x v="0"/>
    <d v="1900-01-17T00:00:00"/>
    <n v="17"/>
    <x v="10"/>
    <x v="3"/>
  </r>
  <r>
    <x v="816"/>
    <n v="616.4"/>
    <x v="1813"/>
    <n v="3056.54"/>
    <s v="Complete Access"/>
    <x v="36"/>
    <x v="0"/>
    <x v="0"/>
    <d v="1900-01-16T00:00:00"/>
    <n v="17"/>
    <x v="10"/>
    <x v="3"/>
  </r>
  <r>
    <x v="816"/>
    <n v="-10.35"/>
    <x v="1814"/>
    <n v="2440.14"/>
    <s v="Complete Access"/>
    <x v="480"/>
    <x v="8"/>
    <x v="29"/>
    <d v="1900-01-16T00:00:00"/>
    <n v="17"/>
    <x v="10"/>
    <x v="3"/>
  </r>
  <r>
    <x v="816"/>
    <n v="-88.9"/>
    <x v="1815"/>
    <n v="2967.64"/>
    <s v="Complete Access"/>
    <x v="481"/>
    <x v="1"/>
    <x v="5"/>
    <d v="1900-01-16T00:00:00"/>
    <n v="17"/>
    <x v="10"/>
    <x v="3"/>
  </r>
  <r>
    <x v="817"/>
    <n v="32"/>
    <x v="1816"/>
    <n v="2493.12"/>
    <s v="Complete Access"/>
    <x v="36"/>
    <x v="0"/>
    <x v="0"/>
    <d v="1900-01-15T00:00:00"/>
    <n v="16"/>
    <x v="10"/>
    <x v="3"/>
  </r>
  <r>
    <x v="817"/>
    <n v="40.5"/>
    <x v="1817"/>
    <n v="2461.12"/>
    <s v="Complete Access"/>
    <x v="36"/>
    <x v="0"/>
    <x v="0"/>
    <d v="1900-01-15T00:00:00"/>
    <n v="16"/>
    <x v="10"/>
    <x v="3"/>
  </r>
  <r>
    <x v="817"/>
    <n v="25"/>
    <x v="1818"/>
    <n v="2450.4899999999998"/>
    <s v="Complete Access"/>
    <x v="36"/>
    <x v="0"/>
    <x v="0"/>
    <d v="1900-01-15T00:00:00"/>
    <n v="16"/>
    <x v="10"/>
    <x v="3"/>
  </r>
  <r>
    <x v="817"/>
    <n v="-17.079999999999998"/>
    <x v="1819"/>
    <n v="2476.04"/>
    <s v="Complete Access"/>
    <x v="482"/>
    <x v="1"/>
    <x v="5"/>
    <d v="1900-01-15T00:00:00"/>
    <n v="16"/>
    <x v="10"/>
    <x v="3"/>
  </r>
  <r>
    <x v="817"/>
    <n v="-50.55"/>
    <x v="1820"/>
    <n v="2425.4899999999998"/>
    <s v="Complete Access"/>
    <x v="483"/>
    <x v="1"/>
    <x v="1"/>
    <d v="1900-01-15T00:00:00"/>
    <n v="16"/>
    <x v="10"/>
    <x v="3"/>
  </r>
  <r>
    <x v="818"/>
    <n v="-34.44"/>
    <x v="1810"/>
    <n v="2537.6"/>
    <s v="Complete Access"/>
    <x v="478"/>
    <x v="20"/>
    <x v="63"/>
    <d v="1900-01-14T00:00:00"/>
    <n v="16"/>
    <x v="10"/>
    <x v="3"/>
  </r>
  <r>
    <x v="818"/>
    <n v="-91"/>
    <x v="1821"/>
    <n v="2420.62"/>
    <s v="Complete Access"/>
    <x v="484"/>
    <x v="1"/>
    <x v="5"/>
    <d v="1900-01-14T00:00:00"/>
    <n v="16"/>
    <x v="10"/>
    <x v="3"/>
  </r>
  <r>
    <x v="818"/>
    <n v="-10.98"/>
    <x v="1822"/>
    <n v="2511.62"/>
    <s v="Complete Access"/>
    <x v="485"/>
    <x v="11"/>
    <x v="14"/>
    <d v="1900-01-14T00:00:00"/>
    <n v="16"/>
    <x v="10"/>
    <x v="3"/>
  </r>
  <r>
    <x v="818"/>
    <n v="-15"/>
    <x v="1823"/>
    <n v="2522.6"/>
    <s v="Complete Access"/>
    <x v="486"/>
    <x v="3"/>
    <x v="15"/>
    <d v="1900-01-14T00:00:00"/>
    <n v="16"/>
    <x v="10"/>
    <x v="3"/>
  </r>
  <r>
    <x v="818"/>
    <n v="-5.69"/>
    <x v="1824"/>
    <n v="3577.14"/>
    <s v="Complete Access"/>
    <x v="487"/>
    <x v="15"/>
    <x v="71"/>
    <d v="1900-01-14T00:00:00"/>
    <n v="16"/>
    <x v="10"/>
    <x v="3"/>
  </r>
  <r>
    <x v="818"/>
    <n v="-1005.1"/>
    <x v="1825"/>
    <n v="2572.04"/>
    <s v="Complete Access"/>
    <x v="160"/>
    <x v="17"/>
    <x v="43"/>
    <d v="1900-01-14T00:00:00"/>
    <n v="16"/>
    <x v="10"/>
    <x v="3"/>
  </r>
  <r>
    <x v="819"/>
    <n v="-760"/>
    <x v="656"/>
    <n v="3625.51"/>
    <s v="Complete Access"/>
    <x v="13"/>
    <x v="0"/>
    <x v="0"/>
    <d v="1900-01-13T00:00:00"/>
    <n v="16"/>
    <x v="10"/>
    <x v="3"/>
  </r>
  <r>
    <x v="819"/>
    <n v="2259.67"/>
    <x v="16"/>
    <n v="4385.51"/>
    <s v="Complete Access"/>
    <x v="14"/>
    <x v="6"/>
    <x v="9"/>
    <d v="1900-01-13T00:00:00"/>
    <n v="16"/>
    <x v="10"/>
    <x v="3"/>
  </r>
  <r>
    <x v="819"/>
    <n v="-42.68"/>
    <x v="1826"/>
    <n v="3582.83"/>
    <s v="Complete Access"/>
    <x v="1"/>
    <x v="1"/>
    <x v="1"/>
    <d v="1900-01-13T00:00:00"/>
    <n v="16"/>
    <x v="10"/>
    <x v="3"/>
  </r>
  <r>
    <x v="820"/>
    <n v="-8.15"/>
    <x v="1827"/>
    <n v="2163.6"/>
    <s v="Complete Access"/>
    <x v="285"/>
    <x v="5"/>
    <x v="8"/>
    <d v="1900-01-12T00:00:00"/>
    <n v="16"/>
    <x v="10"/>
    <x v="3"/>
  </r>
  <r>
    <x v="820"/>
    <n v="-37.76"/>
    <x v="1828"/>
    <n v="2125.84"/>
    <s v="Complete Access"/>
    <x v="304"/>
    <x v="1"/>
    <x v="5"/>
    <d v="1900-01-12T00:00:00"/>
    <n v="16"/>
    <x v="10"/>
    <x v="3"/>
  </r>
  <r>
    <x v="821"/>
    <n v="-34.619999999999997"/>
    <x v="1829"/>
    <n v="2171.75"/>
    <s v="Complete Access"/>
    <x v="8"/>
    <x v="1"/>
    <x v="5"/>
    <d v="1900-01-11T00:00:00"/>
    <n v="16"/>
    <x v="10"/>
    <x v="3"/>
  </r>
  <r>
    <x v="821"/>
    <n v="-8"/>
    <x v="1830"/>
    <n v="2206.37"/>
    <s v="Complete Access"/>
    <x v="367"/>
    <x v="4"/>
    <x v="7"/>
    <d v="1900-01-11T00:00:00"/>
    <n v="16"/>
    <x v="10"/>
    <x v="3"/>
  </r>
  <r>
    <x v="822"/>
    <n v="19"/>
    <x v="1831"/>
    <n v="2214.37"/>
    <s v="Complete Access"/>
    <x v="36"/>
    <x v="0"/>
    <x v="0"/>
    <d v="1900-01-10T00:00:00"/>
    <n v="16"/>
    <x v="10"/>
    <x v="3"/>
  </r>
  <r>
    <x v="823"/>
    <n v="-11"/>
    <x v="1345"/>
    <n v="2144.37"/>
    <s v="Complete Access"/>
    <x v="383"/>
    <x v="1"/>
    <x v="5"/>
    <d v="1900-01-08T00:00:00"/>
    <n v="15"/>
    <x v="10"/>
    <x v="3"/>
  </r>
  <r>
    <x v="823"/>
    <n v="-8.6999999999999993"/>
    <x v="1345"/>
    <n v="2155.37"/>
    <s v="Complete Access"/>
    <x v="383"/>
    <x v="1"/>
    <x v="5"/>
    <d v="1900-01-08T00:00:00"/>
    <n v="15"/>
    <x v="10"/>
    <x v="3"/>
  </r>
  <r>
    <x v="823"/>
    <n v="51"/>
    <x v="1832"/>
    <n v="2195.37"/>
    <s v="Complete Access"/>
    <x v="36"/>
    <x v="0"/>
    <x v="0"/>
    <d v="1900-01-08T00:00:00"/>
    <n v="15"/>
    <x v="10"/>
    <x v="3"/>
  </r>
  <r>
    <x v="823"/>
    <n v="-103.28"/>
    <x v="1833"/>
    <n v="2164.0700000000002"/>
    <s v="Complete Access"/>
    <x v="488"/>
    <x v="20"/>
    <x v="63"/>
    <d v="1900-01-08T00:00:00"/>
    <n v="15"/>
    <x v="10"/>
    <x v="3"/>
  </r>
  <r>
    <x v="824"/>
    <n v="-129"/>
    <x v="1834"/>
    <n v="2267.35"/>
    <s v="Complete Access"/>
    <x v="214"/>
    <x v="4"/>
    <x v="52"/>
    <d v="1900-01-07T00:00:00"/>
    <n v="15"/>
    <x v="10"/>
    <x v="3"/>
  </r>
  <r>
    <x v="825"/>
    <n v="-7.58"/>
    <x v="1835"/>
    <n v="2434.23"/>
    <s v="Complete Access"/>
    <x v="285"/>
    <x v="5"/>
    <x v="8"/>
    <d v="1900-01-05T00:00:00"/>
    <n v="15"/>
    <x v="10"/>
    <x v="3"/>
  </r>
  <r>
    <x v="825"/>
    <n v="-3.15"/>
    <x v="1836"/>
    <n v="2396.35"/>
    <s v="Complete Access"/>
    <x v="220"/>
    <x v="1"/>
    <x v="5"/>
    <d v="1900-01-05T00:00:00"/>
    <n v="15"/>
    <x v="10"/>
    <x v="3"/>
  </r>
  <r>
    <x v="825"/>
    <n v="-30.93"/>
    <x v="1837"/>
    <n v="2399.5"/>
    <s v="Complete Access"/>
    <x v="489"/>
    <x v="1"/>
    <x v="5"/>
    <d v="1900-01-05T00:00:00"/>
    <n v="15"/>
    <x v="10"/>
    <x v="3"/>
  </r>
  <r>
    <x v="825"/>
    <n v="-3.8"/>
    <x v="1838"/>
    <n v="2430.4299999999998"/>
    <s v="Complete Access"/>
    <x v="398"/>
    <x v="1"/>
    <x v="5"/>
    <d v="1900-01-05T00:00:00"/>
    <n v="15"/>
    <x v="10"/>
    <x v="3"/>
  </r>
  <r>
    <x v="826"/>
    <n v="-4.0999999999999996"/>
    <x v="1839"/>
    <n v="2441.81"/>
    <s v="Complete Access"/>
    <x v="490"/>
    <x v="1"/>
    <x v="5"/>
    <d v="1900-01-04T00:00:00"/>
    <n v="15"/>
    <x v="10"/>
    <x v="3"/>
  </r>
  <r>
    <x v="827"/>
    <n v="-10.5"/>
    <x v="1345"/>
    <n v="2445.91"/>
    <s v="Complete Access"/>
    <x v="383"/>
    <x v="1"/>
    <x v="5"/>
    <d v="1900-01-03T00:00:00"/>
    <n v="15"/>
    <x v="10"/>
    <x v="3"/>
  </r>
  <r>
    <x v="827"/>
    <n v="-16.649999999999999"/>
    <x v="1588"/>
    <n v="2456.41"/>
    <s v="Complete Access"/>
    <x v="423"/>
    <x v="1"/>
    <x v="5"/>
    <d v="1900-01-03T00:00:00"/>
    <n v="15"/>
    <x v="10"/>
    <x v="3"/>
  </r>
  <r>
    <x v="828"/>
    <n v="54"/>
    <x v="1840"/>
    <n v="2564.0500000000002"/>
    <s v="Complete Access"/>
    <x v="36"/>
    <x v="0"/>
    <x v="0"/>
    <d v="1900-01-02T00:00:00"/>
    <n v="15"/>
    <x v="10"/>
    <x v="3"/>
  </r>
  <r>
    <x v="828"/>
    <n v="-90.99"/>
    <x v="989"/>
    <n v="2473.06"/>
    <s v="Complete Access"/>
    <x v="332"/>
    <x v="1"/>
    <x v="5"/>
    <d v="1900-01-02T00:00:00"/>
    <n v="15"/>
    <x v="10"/>
    <x v="3"/>
  </r>
  <r>
    <x v="829"/>
    <n v="-17.899999999999999"/>
    <x v="1841"/>
    <n v="2510.0500000000002"/>
    <s v="Complete Access"/>
    <x v="491"/>
    <x v="20"/>
    <x v="63"/>
    <d v="1900-01-01T00:00:00"/>
    <n v="14"/>
    <x v="10"/>
    <x v="3"/>
  </r>
  <r>
    <x v="830"/>
    <n v="-7.58"/>
    <x v="1842"/>
    <n v="2748.85"/>
    <s v="Complete Access"/>
    <x v="285"/>
    <x v="5"/>
    <x v="8"/>
    <d v="1899-12-31T00:00:00"/>
    <n v="14"/>
    <x v="10"/>
    <x v="3"/>
  </r>
  <r>
    <x v="830"/>
    <n v="-19.2"/>
    <x v="1843"/>
    <n v="2726.5"/>
    <s v="Complete Access"/>
    <x v="492"/>
    <x v="8"/>
    <x v="29"/>
    <d v="1899-12-31T00:00:00"/>
    <n v="14"/>
    <x v="10"/>
    <x v="3"/>
  </r>
  <r>
    <x v="830"/>
    <n v="-18"/>
    <x v="1843"/>
    <n v="2708.5"/>
    <s v="Complete Access"/>
    <x v="492"/>
    <x v="8"/>
    <x v="29"/>
    <d v="1899-12-31T00:00:00"/>
    <n v="14"/>
    <x v="10"/>
    <x v="3"/>
  </r>
  <r>
    <x v="830"/>
    <n v="-3.15"/>
    <x v="1844"/>
    <n v="2745.7"/>
    <s v="Complete Access"/>
    <x v="220"/>
    <x v="1"/>
    <x v="5"/>
    <d v="1899-12-31T00:00:00"/>
    <n v="14"/>
    <x v="10"/>
    <x v="3"/>
  </r>
  <r>
    <x v="830"/>
    <n v="-180.55"/>
    <x v="1845"/>
    <n v="2527.9499999999998"/>
    <s v="Complete Access"/>
    <x v="76"/>
    <x v="2"/>
    <x v="2"/>
    <d v="1899-12-31T00:00:00"/>
    <n v="14"/>
    <x v="10"/>
    <x v="3"/>
  </r>
  <r>
    <x v="831"/>
    <n v="-760"/>
    <x v="656"/>
    <n v="2881.88"/>
    <s v="Complete Access"/>
    <x v="13"/>
    <x v="0"/>
    <x v="0"/>
    <d v="1900-01-30T00:00:00"/>
    <n v="14"/>
    <x v="11"/>
    <x v="3"/>
  </r>
  <r>
    <x v="831"/>
    <n v="-9.24"/>
    <x v="1846"/>
    <n v="2872.64"/>
    <s v="Complete Access"/>
    <x v="285"/>
    <x v="5"/>
    <x v="8"/>
    <d v="1900-01-30T00:00:00"/>
    <n v="14"/>
    <x v="11"/>
    <x v="3"/>
  </r>
  <r>
    <x v="831"/>
    <n v="2912.63"/>
    <x v="1847"/>
    <n v="3641.88"/>
    <s v="Complete Access"/>
    <x v="14"/>
    <x v="6"/>
    <x v="9"/>
    <d v="1900-01-30T00:00:00"/>
    <n v="14"/>
    <x v="11"/>
    <x v="3"/>
  </r>
  <r>
    <x v="831"/>
    <n v="-116.21"/>
    <x v="1848"/>
    <n v="2756.43"/>
    <s v="Complete Access"/>
    <x v="1"/>
    <x v="1"/>
    <x v="1"/>
    <d v="1900-01-30T00:00:00"/>
    <n v="14"/>
    <x v="11"/>
    <x v="3"/>
  </r>
  <r>
    <x v="832"/>
    <n v="-9.24"/>
    <x v="1849"/>
    <n v="792.2"/>
    <s v="Complete Access"/>
    <x v="285"/>
    <x v="5"/>
    <x v="8"/>
    <d v="1900-01-29T00:00:00"/>
    <n v="14"/>
    <x v="11"/>
    <x v="3"/>
  </r>
  <r>
    <x v="832"/>
    <n v="-62.95"/>
    <x v="1850"/>
    <n v="729.25"/>
    <s v="Complete Access"/>
    <x v="493"/>
    <x v="20"/>
    <x v="63"/>
    <d v="1900-01-29T00:00:00"/>
    <n v="14"/>
    <x v="11"/>
    <x v="3"/>
  </r>
  <r>
    <x v="833"/>
    <n v="-734.11"/>
    <x v="1851"/>
    <n v="876.75"/>
    <s v="Complete Access"/>
    <x v="256"/>
    <x v="4"/>
    <x v="47"/>
    <d v="1900-01-28T00:00:00"/>
    <n v="14"/>
    <x v="11"/>
    <x v="3"/>
  </r>
  <r>
    <x v="833"/>
    <n v="-41.29"/>
    <x v="1852"/>
    <n v="813.44"/>
    <s v="Complete Access"/>
    <x v="8"/>
    <x v="1"/>
    <x v="5"/>
    <d v="1900-01-28T00:00:00"/>
    <n v="14"/>
    <x v="11"/>
    <x v="3"/>
  </r>
  <r>
    <x v="833"/>
    <n v="9"/>
    <x v="1767"/>
    <n v="822.44"/>
    <s v="Complete Access"/>
    <x v="36"/>
    <x v="0"/>
    <x v="0"/>
    <d v="1900-01-28T00:00:00"/>
    <n v="14"/>
    <x v="11"/>
    <x v="3"/>
  </r>
  <r>
    <x v="833"/>
    <n v="-21"/>
    <x v="1617"/>
    <n v="801.44"/>
    <s v="Complete Access"/>
    <x v="421"/>
    <x v="20"/>
    <x v="63"/>
    <d v="1900-01-28T00:00:00"/>
    <n v="14"/>
    <x v="11"/>
    <x v="3"/>
  </r>
  <r>
    <x v="833"/>
    <n v="-16"/>
    <x v="1853"/>
    <n v="1651.22"/>
    <s v="Complete Access"/>
    <x v="269"/>
    <x v="1"/>
    <x v="1"/>
    <d v="1900-01-28T00:00:00"/>
    <n v="14"/>
    <x v="11"/>
    <x v="3"/>
  </r>
  <r>
    <x v="833"/>
    <n v="-27.8"/>
    <x v="1853"/>
    <n v="1667.22"/>
    <s v="Complete Access"/>
    <x v="269"/>
    <x v="1"/>
    <x v="1"/>
    <d v="1900-01-28T00:00:00"/>
    <n v="14"/>
    <x v="11"/>
    <x v="3"/>
  </r>
  <r>
    <x v="833"/>
    <n v="-1074.97"/>
    <x v="1854"/>
    <n v="1695.02"/>
    <s v="Complete Access"/>
    <x v="494"/>
    <x v="15"/>
    <x v="56"/>
    <d v="1900-01-28T00:00:00"/>
    <n v="14"/>
    <x v="11"/>
    <x v="3"/>
  </r>
  <r>
    <x v="833"/>
    <n v="-22.02"/>
    <x v="1855"/>
    <n v="854.73"/>
    <s v="Complete Access"/>
    <x v="10"/>
    <x v="0"/>
    <x v="0"/>
    <d v="1900-01-28T00:00:00"/>
    <n v="14"/>
    <x v="11"/>
    <x v="3"/>
  </r>
  <r>
    <x v="833"/>
    <n v="-40.36"/>
    <x v="1856"/>
    <n v="1610.86"/>
    <s v="Complete Access"/>
    <x v="34"/>
    <x v="9"/>
    <x v="12"/>
    <d v="1900-01-28T00:00:00"/>
    <n v="14"/>
    <x v="11"/>
    <x v="3"/>
  </r>
  <r>
    <x v="834"/>
    <n v="9"/>
    <x v="1857"/>
    <n v="2788.59"/>
    <s v="Complete Access"/>
    <x v="36"/>
    <x v="0"/>
    <x v="0"/>
    <d v="1900-01-27T00:00:00"/>
    <n v="14"/>
    <x v="11"/>
    <x v="3"/>
  </r>
  <r>
    <x v="834"/>
    <n v="-17.600000000000001"/>
    <x v="1617"/>
    <n v="2770.99"/>
    <s v="Complete Access"/>
    <x v="421"/>
    <x v="20"/>
    <x v="63"/>
    <d v="1900-01-27T00:00:00"/>
    <n v="14"/>
    <x v="11"/>
    <x v="3"/>
  </r>
  <r>
    <x v="834"/>
    <n v="-1"/>
    <x v="1617"/>
    <n v="2769.99"/>
    <s v="Complete Access"/>
    <x v="421"/>
    <x v="20"/>
    <x v="63"/>
    <d v="1900-01-27T00:00:00"/>
    <n v="14"/>
    <x v="11"/>
    <x v="3"/>
  </r>
  <r>
    <x v="835"/>
    <n v="-652.39"/>
    <x v="1858"/>
    <n v="2779.59"/>
    <s v="Complete Access"/>
    <x v="0"/>
    <x v="0"/>
    <x v="0"/>
    <d v="1900-01-26T00:00:00"/>
    <n v="14"/>
    <x v="11"/>
    <x v="3"/>
  </r>
  <r>
    <x v="836"/>
    <n v="22"/>
    <x v="1859"/>
    <n v="2311.89"/>
    <s v="Complete Access"/>
    <x v="36"/>
    <x v="0"/>
    <x v="0"/>
    <d v="1900-01-25T00:00:00"/>
    <n v="13"/>
    <x v="11"/>
    <x v="3"/>
  </r>
  <r>
    <x v="836"/>
    <n v="1189.8499999999999"/>
    <x v="1860"/>
    <n v="3431.98"/>
    <s v="Complete Access"/>
    <x v="36"/>
    <x v="0"/>
    <x v="0"/>
    <d v="1900-01-25T00:00:00"/>
    <n v="13"/>
    <x v="11"/>
    <x v="3"/>
  </r>
  <r>
    <x v="836"/>
    <n v="-69.760000000000005"/>
    <x v="989"/>
    <n v="2242.13"/>
    <s v="Complete Access"/>
    <x v="332"/>
    <x v="1"/>
    <x v="5"/>
    <d v="1900-01-25T00:00:00"/>
    <n v="13"/>
    <x v="11"/>
    <x v="3"/>
  </r>
  <r>
    <x v="836"/>
    <n v="-45"/>
    <x v="1861"/>
    <n v="2289.89"/>
    <s v="Complete Access"/>
    <x v="495"/>
    <x v="1"/>
    <x v="5"/>
    <d v="1900-01-25T00:00:00"/>
    <n v="13"/>
    <x v="11"/>
    <x v="3"/>
  </r>
  <r>
    <x v="836"/>
    <n v="-310"/>
    <x v="1862"/>
    <n v="2372.87"/>
    <s v="Complete Access"/>
    <x v="496"/>
    <x v="3"/>
    <x v="15"/>
    <d v="1900-01-25T00:00:00"/>
    <n v="13"/>
    <x v="11"/>
    <x v="3"/>
  </r>
  <r>
    <x v="836"/>
    <n v="-37.979999999999997"/>
    <x v="1863"/>
    <n v="2334.89"/>
    <s v="Complete Access"/>
    <x v="497"/>
    <x v="3"/>
    <x v="15"/>
    <d v="1900-01-25T00:00:00"/>
    <n v="13"/>
    <x v="11"/>
    <x v="3"/>
  </r>
  <r>
    <x v="837"/>
    <n v="-9.24"/>
    <x v="1864"/>
    <n v="2752.88"/>
    <s v="Complete Access"/>
    <x v="285"/>
    <x v="5"/>
    <x v="8"/>
    <d v="1900-01-24T00:00:00"/>
    <n v="13"/>
    <x v="11"/>
    <x v="3"/>
  </r>
  <r>
    <x v="837"/>
    <n v="-70.010000000000005"/>
    <x v="1865"/>
    <n v="2682.87"/>
    <s v="Complete Access"/>
    <x v="438"/>
    <x v="12"/>
    <x v="21"/>
    <d v="1900-01-24T00:00:00"/>
    <n v="13"/>
    <x v="11"/>
    <x v="3"/>
  </r>
  <r>
    <x v="838"/>
    <n v="-9.24"/>
    <x v="1866"/>
    <n v="2762.12"/>
    <s v="Complete Access"/>
    <x v="285"/>
    <x v="5"/>
    <x v="8"/>
    <d v="1900-01-23T00:00:00"/>
    <n v="13"/>
    <x v="11"/>
    <x v="3"/>
  </r>
  <r>
    <x v="839"/>
    <n v="-9.24"/>
    <x v="1867"/>
    <n v="2874.9"/>
    <s v="Complete Access"/>
    <x v="285"/>
    <x v="5"/>
    <x v="8"/>
    <d v="1900-01-22T00:00:00"/>
    <n v="13"/>
    <x v="11"/>
    <x v="3"/>
  </r>
  <r>
    <x v="839"/>
    <n v="-17.600000000000001"/>
    <x v="1617"/>
    <n v="2857.3"/>
    <s v="Complete Access"/>
    <x v="421"/>
    <x v="20"/>
    <x v="63"/>
    <d v="1900-01-22T00:00:00"/>
    <n v="13"/>
    <x v="11"/>
    <x v="3"/>
  </r>
  <r>
    <x v="839"/>
    <n v="-85.94"/>
    <x v="989"/>
    <n v="2771.36"/>
    <s v="Complete Access"/>
    <x v="332"/>
    <x v="1"/>
    <x v="5"/>
    <d v="1900-01-22T00:00:00"/>
    <n v="13"/>
    <x v="11"/>
    <x v="3"/>
  </r>
  <r>
    <x v="840"/>
    <n v="30"/>
    <x v="1868"/>
    <n v="3328.91"/>
    <s v="Complete Access"/>
    <x v="36"/>
    <x v="0"/>
    <x v="0"/>
    <d v="1900-01-21T00:00:00"/>
    <n v="13"/>
    <x v="11"/>
    <x v="3"/>
  </r>
  <r>
    <x v="840"/>
    <n v="-69"/>
    <x v="1869"/>
    <n v="3253.92"/>
    <s v="Complete Access"/>
    <x v="207"/>
    <x v="7"/>
    <x v="11"/>
    <d v="1900-01-21T00:00:00"/>
    <n v="13"/>
    <x v="11"/>
    <x v="3"/>
  </r>
  <r>
    <x v="840"/>
    <n v="-5.99"/>
    <x v="1870"/>
    <n v="3322.92"/>
    <s v="Complete Access"/>
    <x v="476"/>
    <x v="4"/>
    <x v="7"/>
    <d v="1900-01-21T00:00:00"/>
    <n v="13"/>
    <x v="11"/>
    <x v="3"/>
  </r>
  <r>
    <x v="840"/>
    <n v="-16.18"/>
    <x v="1871"/>
    <n v="3059.24"/>
    <s v="Complete Access"/>
    <x v="498"/>
    <x v="1"/>
    <x v="5"/>
    <d v="1900-01-21T00:00:00"/>
    <n v="13"/>
    <x v="11"/>
    <x v="3"/>
  </r>
  <r>
    <x v="840"/>
    <n v="-175.1"/>
    <x v="1872"/>
    <n v="2884.14"/>
    <s v="Complete Access"/>
    <x v="438"/>
    <x v="12"/>
    <x v="21"/>
    <d v="1900-01-21T00:00:00"/>
    <n v="13"/>
    <x v="11"/>
    <x v="3"/>
  </r>
  <r>
    <x v="840"/>
    <n v="-178.5"/>
    <x v="1873"/>
    <n v="3075.42"/>
    <s v="Complete Access"/>
    <x v="5"/>
    <x v="3"/>
    <x v="3"/>
    <d v="1900-01-21T00:00:00"/>
    <n v="13"/>
    <x v="11"/>
    <x v="3"/>
  </r>
  <r>
    <x v="841"/>
    <n v="-9.9"/>
    <x v="436"/>
    <n v="3298.91"/>
    <s v="Complete Access"/>
    <x v="186"/>
    <x v="1"/>
    <x v="5"/>
    <d v="1900-01-20T00:00:00"/>
    <n v="13"/>
    <x v="11"/>
    <x v="3"/>
  </r>
  <r>
    <x v="842"/>
    <n v="-5.45"/>
    <x v="1874"/>
    <n v="3308.81"/>
    <s v="Complete Access"/>
    <x v="285"/>
    <x v="5"/>
    <x v="8"/>
    <d v="1900-01-18T00:00:00"/>
    <n v="12"/>
    <x v="11"/>
    <x v="3"/>
  </r>
  <r>
    <x v="843"/>
    <n v="-3.79"/>
    <x v="1874"/>
    <n v="3420.27"/>
    <s v="Complete Access"/>
    <x v="285"/>
    <x v="5"/>
    <x v="8"/>
    <d v="1900-01-17T00:00:00"/>
    <n v="12"/>
    <x v="11"/>
    <x v="3"/>
  </r>
  <r>
    <x v="843"/>
    <n v="-8.5299999999999994"/>
    <x v="1875"/>
    <n v="3411.74"/>
    <s v="Complete Access"/>
    <x v="285"/>
    <x v="5"/>
    <x v="8"/>
    <d v="1900-01-17T00:00:00"/>
    <n v="12"/>
    <x v="11"/>
    <x v="3"/>
  </r>
  <r>
    <x v="843"/>
    <n v="52"/>
    <x v="1876"/>
    <n v="3314.26"/>
    <s v="Complete Access"/>
    <x v="36"/>
    <x v="0"/>
    <x v="0"/>
    <d v="1900-01-17T00:00:00"/>
    <n v="12"/>
    <x v="11"/>
    <x v="3"/>
  </r>
  <r>
    <x v="843"/>
    <n v="-127.48"/>
    <x v="1552"/>
    <n v="3262.26"/>
    <s v="Complete Access"/>
    <x v="419"/>
    <x v="1"/>
    <x v="5"/>
    <d v="1900-01-17T00:00:00"/>
    <n v="12"/>
    <x v="11"/>
    <x v="3"/>
  </r>
  <r>
    <x v="843"/>
    <n v="-22"/>
    <x v="1877"/>
    <n v="3389.74"/>
    <s v="Complete Access"/>
    <x v="267"/>
    <x v="1"/>
    <x v="1"/>
    <d v="1900-01-17T00:00:00"/>
    <n v="12"/>
    <x v="11"/>
    <x v="3"/>
  </r>
  <r>
    <x v="843"/>
    <n v="-7"/>
    <x v="1878"/>
    <n v="3424.06"/>
    <s v="Complete Access"/>
    <x v="373"/>
    <x v="8"/>
    <x v="7"/>
    <d v="1900-01-17T00:00:00"/>
    <n v="12"/>
    <x v="11"/>
    <x v="3"/>
  </r>
  <r>
    <x v="844"/>
    <n v="-760"/>
    <x v="656"/>
    <n v="3494.37"/>
    <s v="Complete Access"/>
    <x v="13"/>
    <x v="0"/>
    <x v="0"/>
    <d v="1900-01-16T00:00:00"/>
    <n v="12"/>
    <x v="11"/>
    <x v="3"/>
  </r>
  <r>
    <x v="844"/>
    <n v="-2.46"/>
    <x v="1879"/>
    <n v="3491.91"/>
    <s v="Complete Access"/>
    <x v="188"/>
    <x v="1"/>
    <x v="1"/>
    <d v="1900-01-16T00:00:00"/>
    <n v="12"/>
    <x v="11"/>
    <x v="3"/>
  </r>
  <r>
    <x v="844"/>
    <n v="2338.9899999999998"/>
    <x v="1880"/>
    <n v="4254.37"/>
    <s v="Complete Access"/>
    <x v="14"/>
    <x v="6"/>
    <x v="9"/>
    <d v="1900-01-16T00:00:00"/>
    <n v="12"/>
    <x v="11"/>
    <x v="3"/>
  </r>
  <r>
    <x v="844"/>
    <n v="-18"/>
    <x v="1881"/>
    <n v="3473.91"/>
    <s v="Complete Access"/>
    <x v="286"/>
    <x v="1"/>
    <x v="5"/>
    <d v="1900-01-16T00:00:00"/>
    <n v="12"/>
    <x v="11"/>
    <x v="3"/>
  </r>
  <r>
    <x v="844"/>
    <n v="-42.85"/>
    <x v="1882"/>
    <n v="3431.06"/>
    <s v="Complete Access"/>
    <x v="1"/>
    <x v="1"/>
    <x v="1"/>
    <d v="1900-01-16T00:00:00"/>
    <n v="12"/>
    <x v="11"/>
    <x v="3"/>
  </r>
  <r>
    <x v="845"/>
    <n v="-12.59"/>
    <x v="1588"/>
    <n v="1970.38"/>
    <s v="Complete Access"/>
    <x v="423"/>
    <x v="1"/>
    <x v="5"/>
    <d v="1900-01-15T00:00:00"/>
    <n v="12"/>
    <x v="11"/>
    <x v="3"/>
  </r>
  <r>
    <x v="845"/>
    <n v="-55"/>
    <x v="1883"/>
    <n v="1915.38"/>
    <s v="Complete Access"/>
    <x v="433"/>
    <x v="7"/>
    <x v="53"/>
    <d v="1900-01-15T00:00:00"/>
    <n v="12"/>
    <x v="11"/>
    <x v="3"/>
  </r>
  <r>
    <x v="846"/>
    <n v="-50.87"/>
    <x v="1884"/>
    <n v="2045.82"/>
    <s v="Complete Access"/>
    <x v="215"/>
    <x v="1"/>
    <x v="1"/>
    <d v="1900-01-14T00:00:00"/>
    <n v="12"/>
    <x v="11"/>
    <x v="3"/>
  </r>
  <r>
    <x v="846"/>
    <n v="-4"/>
    <x v="1885"/>
    <n v="2041.82"/>
    <s v="Complete Access"/>
    <x v="499"/>
    <x v="20"/>
    <x v="63"/>
    <d v="1900-01-14T00:00:00"/>
    <n v="12"/>
    <x v="11"/>
    <x v="3"/>
  </r>
  <r>
    <x v="846"/>
    <n v="-58.57"/>
    <x v="1886"/>
    <n v="2096.69"/>
    <s v="Complete Access"/>
    <x v="500"/>
    <x v="1"/>
    <x v="5"/>
    <d v="1900-01-14T00:00:00"/>
    <n v="12"/>
    <x v="11"/>
    <x v="3"/>
  </r>
  <r>
    <x v="846"/>
    <n v="-58.85"/>
    <x v="1641"/>
    <n v="1982.97"/>
    <s v="Complete Access"/>
    <x v="4"/>
    <x v="1"/>
    <x v="1"/>
    <d v="1900-01-14T00:00:00"/>
    <n v="12"/>
    <x v="11"/>
    <x v="3"/>
  </r>
  <r>
    <x v="847"/>
    <n v="-16.8"/>
    <x v="436"/>
    <n v="2155.2600000000002"/>
    <s v="Complete Access"/>
    <x v="186"/>
    <x v="1"/>
    <x v="5"/>
    <d v="1900-01-13T00:00:00"/>
    <n v="12"/>
    <x v="11"/>
    <x v="3"/>
  </r>
  <r>
    <x v="848"/>
    <n v="36"/>
    <x v="1887"/>
    <n v="2172.06"/>
    <s v="Complete Access"/>
    <x v="36"/>
    <x v="0"/>
    <x v="0"/>
    <d v="1900-01-12T00:00:00"/>
    <n v="12"/>
    <x v="11"/>
    <x v="3"/>
  </r>
  <r>
    <x v="849"/>
    <n v="-44.48"/>
    <x v="1888"/>
    <n v="2160.5100000000002"/>
    <s v="Complete Access"/>
    <x v="8"/>
    <x v="1"/>
    <x v="5"/>
    <d v="1900-01-11T00:00:00"/>
    <n v="11"/>
    <x v="11"/>
    <x v="3"/>
  </r>
  <r>
    <x v="849"/>
    <n v="-8"/>
    <x v="1889"/>
    <n v="2136.06"/>
    <s v="Complete Access"/>
    <x v="367"/>
    <x v="4"/>
    <x v="7"/>
    <d v="1900-01-11T00:00:00"/>
    <n v="11"/>
    <x v="11"/>
    <x v="3"/>
  </r>
  <r>
    <x v="849"/>
    <n v="-16.45"/>
    <x v="1889"/>
    <n v="2144.06"/>
    <s v="Complete Access"/>
    <x v="367"/>
    <x v="4"/>
    <x v="7"/>
    <d v="1900-01-11T00:00:00"/>
    <n v="11"/>
    <x v="11"/>
    <x v="3"/>
  </r>
  <r>
    <x v="850"/>
    <n v="-35.880000000000003"/>
    <x v="1890"/>
    <n v="2204.9899999999998"/>
    <s v="Complete Access"/>
    <x v="104"/>
    <x v="1"/>
    <x v="5"/>
    <d v="1900-01-10T00:00:00"/>
    <n v="11"/>
    <x v="11"/>
    <x v="3"/>
  </r>
  <r>
    <x v="851"/>
    <n v="-75"/>
    <x v="1891"/>
    <n v="2240.87"/>
    <s v="Complete Access"/>
    <x v="298"/>
    <x v="4"/>
    <x v="30"/>
    <d v="1900-01-08T00:00:00"/>
    <n v="11"/>
    <x v="11"/>
    <x v="3"/>
  </r>
  <r>
    <x v="852"/>
    <n v="-149"/>
    <x v="1892"/>
    <n v="2315.87"/>
    <s v="Complete Access"/>
    <x v="298"/>
    <x v="4"/>
    <x v="30"/>
    <d v="1900-01-07T00:00:00"/>
    <n v="11"/>
    <x v="11"/>
    <x v="3"/>
  </r>
  <r>
    <x v="853"/>
    <n v="120"/>
    <x v="1893"/>
    <n v="2464.87"/>
    <s v="Complete Access"/>
    <x v="36"/>
    <x v="0"/>
    <x v="0"/>
    <d v="1900-01-03T00:00:00"/>
    <n v="10"/>
    <x v="11"/>
    <x v="3"/>
  </r>
  <r>
    <x v="853"/>
    <n v="-101.66"/>
    <x v="1894"/>
    <n v="2365.5500000000002"/>
    <s v="Complete Access"/>
    <x v="104"/>
    <x v="1"/>
    <x v="5"/>
    <d v="1900-01-03T00:00:00"/>
    <n v="10"/>
    <x v="11"/>
    <x v="3"/>
  </r>
  <r>
    <x v="853"/>
    <n v="-20.68"/>
    <x v="1895"/>
    <n v="2344.87"/>
    <s v="Complete Access"/>
    <x v="1"/>
    <x v="1"/>
    <x v="1"/>
    <d v="1900-01-03T00:00:00"/>
    <n v="10"/>
    <x v="11"/>
    <x v="3"/>
  </r>
  <r>
    <x v="854"/>
    <n v="-760"/>
    <x v="656"/>
    <n v="2467.21"/>
    <s v="Complete Access"/>
    <x v="13"/>
    <x v="0"/>
    <x v="0"/>
    <d v="1900-01-02T00:00:00"/>
    <n v="10"/>
    <x v="11"/>
    <x v="3"/>
  </r>
  <r>
    <x v="854"/>
    <n v="2361.19"/>
    <x v="1896"/>
    <n v="3227.21"/>
    <s v="Complete Access"/>
    <x v="14"/>
    <x v="6"/>
    <x v="9"/>
    <d v="1900-01-02T00:00:00"/>
    <n v="10"/>
    <x v="11"/>
    <x v="3"/>
  </r>
  <r>
    <x v="855"/>
    <n v="29.9"/>
    <x v="1897"/>
    <n v="866.02"/>
    <s v="Complete Access"/>
    <x v="36"/>
    <x v="0"/>
    <x v="0"/>
    <d v="1900-01-01T00:00:00"/>
    <n v="10"/>
    <x v="11"/>
    <x v="3"/>
  </r>
  <r>
    <x v="855"/>
    <n v="-73.959999999999994"/>
    <x v="1898"/>
    <n v="836.12"/>
    <s v="Complete Access"/>
    <x v="1"/>
    <x v="1"/>
    <x v="1"/>
    <d v="1900-01-01T00:00:00"/>
    <n v="10"/>
    <x v="11"/>
    <x v="3"/>
  </r>
  <r>
    <x v="856"/>
    <n v="-6.15"/>
    <x v="1899"/>
    <n v="1368.32"/>
    <s v="Complete Access"/>
    <x v="501"/>
    <x v="1"/>
    <x v="1"/>
    <d v="1899-12-31T00:00:00"/>
    <n v="10"/>
    <x v="11"/>
    <x v="3"/>
  </r>
  <r>
    <x v="856"/>
    <n v="-207"/>
    <x v="1900"/>
    <n v="1090.6300000000001"/>
    <s v="Complete Access"/>
    <x v="207"/>
    <x v="7"/>
    <x v="11"/>
    <d v="1899-12-31T00:00:00"/>
    <n v="10"/>
    <x v="11"/>
    <x v="3"/>
  </r>
  <r>
    <x v="856"/>
    <n v="-35.880000000000003"/>
    <x v="1901"/>
    <n v="1374.47"/>
    <s v="Complete Access"/>
    <x v="104"/>
    <x v="1"/>
    <x v="5"/>
    <d v="1899-12-31T00:00:00"/>
    <n v="10"/>
    <x v="11"/>
    <x v="3"/>
  </r>
  <r>
    <x v="856"/>
    <n v="-180.55"/>
    <x v="1902"/>
    <n v="910.08"/>
    <s v="Complete Access"/>
    <x v="76"/>
    <x v="2"/>
    <x v="2"/>
    <d v="1899-12-31T00:00:00"/>
    <n v="10"/>
    <x v="11"/>
    <x v="3"/>
  </r>
  <r>
    <x v="856"/>
    <n v="-70.69"/>
    <x v="1903"/>
    <n v="1297.6300000000001"/>
    <s v="Complete Access"/>
    <x v="34"/>
    <x v="9"/>
    <x v="12"/>
    <d v="1899-12-31T00:00:00"/>
    <n v="10"/>
    <x v="11"/>
    <x v="3"/>
  </r>
  <r>
    <x v="857"/>
    <n v="-60.1"/>
    <x v="1904"/>
    <n v="1410.35"/>
    <s v="Complete Access"/>
    <x v="502"/>
    <x v="3"/>
    <x v="60"/>
    <d v="1900-01-25T00:00:00"/>
    <n v="9"/>
    <x v="0"/>
    <x v="3"/>
  </r>
  <r>
    <x v="857"/>
    <n v="-15.5"/>
    <x v="1905"/>
    <n v="1470.45"/>
    <s v="Complete Access"/>
    <x v="220"/>
    <x v="1"/>
    <x v="5"/>
    <d v="1900-01-25T00:00:00"/>
    <n v="9"/>
    <x v="0"/>
    <x v="3"/>
  </r>
  <r>
    <x v="857"/>
    <n v="-14.13"/>
    <x v="1130"/>
    <n v="1485.95"/>
    <s v="Complete Access"/>
    <x v="351"/>
    <x v="1"/>
    <x v="5"/>
    <d v="1900-01-25T00:00:00"/>
    <n v="9"/>
    <x v="0"/>
    <x v="3"/>
  </r>
  <r>
    <x v="858"/>
    <n v="-77.540000000000006"/>
    <x v="1906"/>
    <n v="1500.08"/>
    <s v="Complete Access"/>
    <x v="438"/>
    <x v="12"/>
    <x v="21"/>
    <d v="1900-01-24T00:00:00"/>
    <n v="9"/>
    <x v="0"/>
    <x v="3"/>
  </r>
  <r>
    <x v="859"/>
    <n v="-122.49"/>
    <x v="1907"/>
    <n v="1577.62"/>
    <s v="Complete Access"/>
    <x v="503"/>
    <x v="1"/>
    <x v="5"/>
    <d v="1900-01-23T00:00:00"/>
    <n v="9"/>
    <x v="0"/>
    <x v="3"/>
  </r>
  <r>
    <x v="860"/>
    <n v="-19.98"/>
    <x v="1908"/>
    <n v="1700.11"/>
    <s v="Complete Access"/>
    <x v="222"/>
    <x v="11"/>
    <x v="14"/>
    <d v="1900-01-22T00:00:00"/>
    <n v="9"/>
    <x v="0"/>
    <x v="3"/>
  </r>
  <r>
    <x v="861"/>
    <n v="-1500"/>
    <x v="1909"/>
    <n v="1720.09"/>
    <s v="Complete Access"/>
    <x v="504"/>
    <x v="0"/>
    <x v="72"/>
    <d v="1900-01-21T00:00:00"/>
    <n v="9"/>
    <x v="0"/>
    <x v="3"/>
  </r>
  <r>
    <x v="861"/>
    <n v="-34.44"/>
    <x v="1910"/>
    <n v="3255.97"/>
    <s v="Complete Access"/>
    <x v="8"/>
    <x v="1"/>
    <x v="5"/>
    <d v="1900-01-21T00:00:00"/>
    <n v="9"/>
    <x v="0"/>
    <x v="3"/>
  </r>
  <r>
    <x v="861"/>
    <n v="-35.880000000000003"/>
    <x v="1911"/>
    <n v="3220.09"/>
    <s v="Complete Access"/>
    <x v="104"/>
    <x v="1"/>
    <x v="5"/>
    <d v="1900-01-21T00:00:00"/>
    <n v="9"/>
    <x v="0"/>
    <x v="3"/>
  </r>
  <r>
    <x v="862"/>
    <n v="-145"/>
    <x v="1912"/>
    <n v="3309.97"/>
    <s v="Complete Access"/>
    <x v="352"/>
    <x v="4"/>
    <x v="67"/>
    <d v="1900-01-18T00:00:00"/>
    <n v="8"/>
    <x v="0"/>
    <x v="3"/>
  </r>
  <r>
    <x v="862"/>
    <n v="-19.559999999999999"/>
    <x v="969"/>
    <n v="3290.41"/>
    <s v="Complete Access"/>
    <x v="177"/>
    <x v="1"/>
    <x v="1"/>
    <d v="1900-01-18T00:00:00"/>
    <n v="8"/>
    <x v="0"/>
    <x v="3"/>
  </r>
  <r>
    <x v="863"/>
    <n v="-6"/>
    <x v="1913"/>
    <n v="3454.97"/>
    <s v="Complete Access"/>
    <x v="1"/>
    <x v="1"/>
    <x v="1"/>
    <d v="1900-01-17T00:00:00"/>
    <n v="8"/>
    <x v="0"/>
    <x v="3"/>
  </r>
  <r>
    <x v="864"/>
    <n v="-760"/>
    <x v="656"/>
    <n v="3594.36"/>
    <s v="Complete Access"/>
    <x v="13"/>
    <x v="0"/>
    <x v="0"/>
    <d v="1900-01-16T00:00:00"/>
    <n v="8"/>
    <x v="0"/>
    <x v="3"/>
  </r>
  <r>
    <x v="864"/>
    <n v="-28.83"/>
    <x v="1914"/>
    <n v="3515.97"/>
    <s v="Complete Access"/>
    <x v="8"/>
    <x v="1"/>
    <x v="5"/>
    <d v="1900-01-16T00:00:00"/>
    <n v="8"/>
    <x v="0"/>
    <x v="3"/>
  </r>
  <r>
    <x v="864"/>
    <n v="2826.8"/>
    <x v="1915"/>
    <n v="4354.3599999999997"/>
    <s v="Complete Access"/>
    <x v="14"/>
    <x v="6"/>
    <x v="9"/>
    <d v="1900-01-16T00:00:00"/>
    <n v="8"/>
    <x v="0"/>
    <x v="3"/>
  </r>
  <r>
    <x v="864"/>
    <n v="-49.56"/>
    <x v="1916"/>
    <n v="3544.8"/>
    <s v="Complete Access"/>
    <x v="237"/>
    <x v="15"/>
    <x v="34"/>
    <d v="1900-01-16T00:00:00"/>
    <n v="8"/>
    <x v="0"/>
    <x v="3"/>
  </r>
  <r>
    <x v="864"/>
    <n v="-55"/>
    <x v="1917"/>
    <n v="3460.97"/>
    <s v="Complete Access"/>
    <x v="433"/>
    <x v="7"/>
    <x v="53"/>
    <d v="1900-01-16T00:00:00"/>
    <n v="8"/>
    <x v="0"/>
    <x v="3"/>
  </r>
  <r>
    <x v="865"/>
    <n v="-26.29"/>
    <x v="1918"/>
    <n v="1578.05"/>
    <s v="Complete Access"/>
    <x v="8"/>
    <x v="1"/>
    <x v="5"/>
    <d v="1900-01-15T00:00:00"/>
    <n v="8"/>
    <x v="0"/>
    <x v="3"/>
  </r>
  <r>
    <x v="865"/>
    <n v="-9.99"/>
    <x v="1919"/>
    <n v="1568.06"/>
    <s v="Complete Access"/>
    <x v="222"/>
    <x v="11"/>
    <x v="14"/>
    <d v="1900-01-15T00:00:00"/>
    <n v="8"/>
    <x v="0"/>
    <x v="3"/>
  </r>
  <r>
    <x v="865"/>
    <n v="-40.5"/>
    <x v="1641"/>
    <n v="1527.56"/>
    <s v="Complete Access"/>
    <x v="4"/>
    <x v="1"/>
    <x v="1"/>
    <d v="1900-01-15T00:00:00"/>
    <n v="8"/>
    <x v="0"/>
    <x v="3"/>
  </r>
  <r>
    <x v="866"/>
    <n v="-24"/>
    <x v="1920"/>
    <n v="1654.52"/>
    <s v="Complete Access"/>
    <x v="505"/>
    <x v="20"/>
    <x v="63"/>
    <d v="1900-01-14T00:00:00"/>
    <n v="8"/>
    <x v="0"/>
    <x v="3"/>
  </r>
  <r>
    <x v="866"/>
    <n v="-50.18"/>
    <x v="1921"/>
    <n v="1604.34"/>
    <s v="Complete Access"/>
    <x v="304"/>
    <x v="1"/>
    <x v="5"/>
    <d v="1900-01-14T00:00:00"/>
    <n v="8"/>
    <x v="0"/>
    <x v="3"/>
  </r>
  <r>
    <x v="867"/>
    <n v="-408"/>
    <x v="1922"/>
    <n v="1678.52"/>
    <s v="Complete Access"/>
    <x v="506"/>
    <x v="1"/>
    <x v="5"/>
    <d v="1900-01-13T00:00:00"/>
    <n v="8"/>
    <x v="0"/>
    <x v="3"/>
  </r>
  <r>
    <x v="867"/>
    <n v="-51.56"/>
    <x v="966"/>
    <n v="2086.52"/>
    <s v="Complete Access"/>
    <x v="215"/>
    <x v="1"/>
    <x v="1"/>
    <d v="1900-01-13T00:00:00"/>
    <n v="8"/>
    <x v="0"/>
    <x v="3"/>
  </r>
  <r>
    <x v="868"/>
    <n v="-9.7899999999999991"/>
    <x v="966"/>
    <n v="2154.5300000000002"/>
    <s v="Complete Access"/>
    <x v="215"/>
    <x v="1"/>
    <x v="1"/>
    <d v="1900-01-11T00:00:00"/>
    <n v="7"/>
    <x v="0"/>
    <x v="3"/>
  </r>
  <r>
    <x v="868"/>
    <n v="-16.45"/>
    <x v="1923"/>
    <n v="2138.08"/>
    <s v="Complete Access"/>
    <x v="367"/>
    <x v="4"/>
    <x v="7"/>
    <d v="1900-01-11T00:00:00"/>
    <n v="7"/>
    <x v="0"/>
    <x v="3"/>
  </r>
  <r>
    <x v="869"/>
    <n v="24"/>
    <x v="1831"/>
    <n v="2164.3200000000002"/>
    <s v="Complete Access"/>
    <x v="36"/>
    <x v="0"/>
    <x v="0"/>
    <d v="1900-01-10T00:00:00"/>
    <n v="7"/>
    <x v="0"/>
    <x v="3"/>
  </r>
  <r>
    <x v="869"/>
    <n v="-11.57"/>
    <x v="966"/>
    <n v="2140.3200000000002"/>
    <s v="Complete Access"/>
    <x v="215"/>
    <x v="1"/>
    <x v="1"/>
    <d v="1900-01-10T00:00:00"/>
    <n v="7"/>
    <x v="0"/>
    <x v="3"/>
  </r>
  <r>
    <x v="870"/>
    <n v="-17.649999999999999"/>
    <x v="1924"/>
    <n v="2151.89"/>
    <s v="Complete Access"/>
    <x v="507"/>
    <x v="1"/>
    <x v="1"/>
    <d v="1900-01-07T00:00:00"/>
    <n v="7"/>
    <x v="0"/>
    <x v="3"/>
  </r>
  <r>
    <x v="870"/>
    <n v="-43.69"/>
    <x v="1925"/>
    <n v="2169.54"/>
    <s v="Complete Access"/>
    <x v="1"/>
    <x v="1"/>
    <x v="1"/>
    <d v="1900-01-07T00:00:00"/>
    <n v="7"/>
    <x v="0"/>
    <x v="3"/>
  </r>
  <r>
    <x v="871"/>
    <n v="51"/>
    <x v="1840"/>
    <n v="2230.23"/>
    <s v="Complete Access"/>
    <x v="36"/>
    <x v="0"/>
    <x v="0"/>
    <d v="1900-01-05T00:00:00"/>
    <n v="7"/>
    <x v="0"/>
    <x v="3"/>
  </r>
  <r>
    <x v="871"/>
    <n v="-17"/>
    <x v="1877"/>
    <n v="2213.23"/>
    <s v="Complete Access"/>
    <x v="267"/>
    <x v="1"/>
    <x v="1"/>
    <d v="1900-01-05T00:00:00"/>
    <n v="7"/>
    <x v="0"/>
    <x v="3"/>
  </r>
  <r>
    <x v="871"/>
    <n v="-109.42"/>
    <x v="1926"/>
    <n v="2179.23"/>
    <s v="Complete Access"/>
    <x v="419"/>
    <x v="1"/>
    <x v="5"/>
    <d v="1900-01-05T00:00:00"/>
    <n v="7"/>
    <x v="0"/>
    <x v="3"/>
  </r>
  <r>
    <x v="872"/>
    <n v="-25.99"/>
    <x v="1927"/>
    <n v="2414.0500000000002"/>
    <s v="Complete Access"/>
    <x v="8"/>
    <x v="1"/>
    <x v="5"/>
    <d v="1900-01-04T00:00:00"/>
    <n v="6"/>
    <x v="0"/>
    <x v="3"/>
  </r>
  <r>
    <x v="872"/>
    <n v="-21"/>
    <x v="1781"/>
    <n v="2288.65"/>
    <s v="Complete Access"/>
    <x v="466"/>
    <x v="1"/>
    <x v="1"/>
    <d v="1900-01-04T00:00:00"/>
    <n v="6"/>
    <x v="0"/>
    <x v="3"/>
  </r>
  <r>
    <x v="872"/>
    <n v="-101.36"/>
    <x v="1928"/>
    <n v="2312.69"/>
    <s v="Complete Access"/>
    <x v="508"/>
    <x v="4"/>
    <x v="10"/>
    <d v="1900-01-04T00:00:00"/>
    <n v="6"/>
    <x v="0"/>
    <x v="3"/>
  </r>
  <r>
    <x v="872"/>
    <n v="-3.04"/>
    <x v="1929"/>
    <n v="2309.65"/>
    <s v="Complete Access"/>
    <x v="10"/>
    <x v="0"/>
    <x v="0"/>
    <d v="1900-01-04T00:00:00"/>
    <n v="6"/>
    <x v="0"/>
    <x v="3"/>
  </r>
  <r>
    <x v="872"/>
    <n v="-23.95"/>
    <x v="1930"/>
    <n v="2440.04"/>
    <s v="Complete Access"/>
    <x v="509"/>
    <x v="4"/>
    <x v="73"/>
    <d v="1900-01-04T00:00:00"/>
    <n v="6"/>
    <x v="0"/>
    <x v="3"/>
  </r>
  <r>
    <x v="873"/>
    <n v="-5.89"/>
    <x v="1931"/>
    <n v="2513.4899999999998"/>
    <s v="Complete Access"/>
    <x v="510"/>
    <x v="11"/>
    <x v="14"/>
    <d v="1900-01-03T00:00:00"/>
    <n v="6"/>
    <x v="0"/>
    <x v="3"/>
  </r>
  <r>
    <x v="873"/>
    <n v="-9.5"/>
    <x v="1932"/>
    <n v="2463.9899999999998"/>
    <s v="Complete Access"/>
    <x v="365"/>
    <x v="1"/>
    <x v="5"/>
    <d v="1900-01-03T00:00:00"/>
    <n v="6"/>
    <x v="0"/>
    <x v="3"/>
  </r>
  <r>
    <x v="873"/>
    <n v="-35.880000000000003"/>
    <x v="1933"/>
    <n v="2519.38"/>
    <s v="Complete Access"/>
    <x v="104"/>
    <x v="1"/>
    <x v="5"/>
    <d v="1900-01-03T00:00:00"/>
    <n v="6"/>
    <x v="0"/>
    <x v="3"/>
  </r>
  <r>
    <x v="873"/>
    <n v="-40"/>
    <x v="1641"/>
    <n v="2473.4899999999998"/>
    <s v="Complete Access"/>
    <x v="4"/>
    <x v="1"/>
    <x v="1"/>
    <d v="1900-01-03T00:00:00"/>
    <n v="6"/>
    <x v="0"/>
    <x v="3"/>
  </r>
  <r>
    <x v="874"/>
    <n v="-760"/>
    <x v="656"/>
    <n v="2697.43"/>
    <s v="Complete Access"/>
    <x v="13"/>
    <x v="0"/>
    <x v="0"/>
    <d v="1900-01-02T00:00:00"/>
    <n v="6"/>
    <x v="0"/>
    <x v="3"/>
  </r>
  <r>
    <x v="874"/>
    <n v="2867.12"/>
    <x v="1934"/>
    <n v="3457.43"/>
    <s v="Complete Access"/>
    <x v="14"/>
    <x v="6"/>
    <x v="9"/>
    <d v="1900-01-02T00:00:00"/>
    <n v="6"/>
    <x v="0"/>
    <x v="3"/>
  </r>
  <r>
    <x v="874"/>
    <n v="-142.16999999999999"/>
    <x v="1935"/>
    <n v="2555.2600000000002"/>
    <s v="Complete Access"/>
    <x v="509"/>
    <x v="4"/>
    <x v="73"/>
    <d v="1900-01-02T00:00:00"/>
    <n v="6"/>
    <x v="0"/>
    <x v="3"/>
  </r>
  <r>
    <x v="875"/>
    <n v="-2000"/>
    <x v="1936"/>
    <n v="770.86"/>
    <s v="Complete Access"/>
    <x v="504"/>
    <x v="0"/>
    <x v="72"/>
    <d v="1899-12-31T00:00:00"/>
    <n v="6"/>
    <x v="0"/>
    <x v="3"/>
  </r>
  <r>
    <x v="875"/>
    <n v="-21.34"/>
    <x v="1937"/>
    <n v="2170.86"/>
    <s v="Complete Access"/>
    <x v="8"/>
    <x v="1"/>
    <x v="5"/>
    <d v="1899-12-31T00:00:00"/>
    <n v="6"/>
    <x v="0"/>
    <x v="3"/>
  </r>
  <r>
    <x v="875"/>
    <n v="600"/>
    <x v="370"/>
    <n v="2770.86"/>
    <s v="Complete Access"/>
    <x v="36"/>
    <x v="0"/>
    <x v="0"/>
    <d v="1899-12-31T00:00:00"/>
    <n v="6"/>
    <x v="0"/>
    <x v="3"/>
  </r>
  <r>
    <x v="875"/>
    <n v="-27.72"/>
    <x v="1938"/>
    <n v="2586.48"/>
    <s v="Complete Access"/>
    <x v="215"/>
    <x v="1"/>
    <x v="1"/>
    <d v="1899-12-31T00:00:00"/>
    <n v="6"/>
    <x v="0"/>
    <x v="3"/>
  </r>
  <r>
    <x v="875"/>
    <n v="-180.55"/>
    <x v="1939"/>
    <n v="590.30999999999995"/>
    <s v="Complete Access"/>
    <x v="76"/>
    <x v="2"/>
    <x v="2"/>
    <d v="1899-12-31T00:00:00"/>
    <n v="6"/>
    <x v="0"/>
    <x v="3"/>
  </r>
  <r>
    <x v="875"/>
    <n v="-20.170000000000002"/>
    <x v="1940"/>
    <n v="2614.1999999999998"/>
    <s v="Complete Access"/>
    <x v="34"/>
    <x v="9"/>
    <x v="12"/>
    <d v="1899-12-31T00:00:00"/>
    <n v="6"/>
    <x v="0"/>
    <x v="3"/>
  </r>
  <r>
    <x v="875"/>
    <n v="-394.28"/>
    <x v="1941"/>
    <n v="2192.1999999999998"/>
    <s v="Complete Access"/>
    <x v="511"/>
    <x v="4"/>
    <x v="47"/>
    <d v="1899-12-31T00:00:00"/>
    <n v="6"/>
    <x v="0"/>
    <x v="3"/>
  </r>
  <r>
    <x v="876"/>
    <n v="-44.59"/>
    <x v="1942"/>
    <n v="2634.37"/>
    <s v="Complete Access"/>
    <x v="1"/>
    <x v="1"/>
    <x v="1"/>
    <d v="1900-01-27T00:00:00"/>
    <n v="5"/>
    <x v="1"/>
    <x v="3"/>
  </r>
  <r>
    <x v="877"/>
    <n v="-19.64"/>
    <x v="1943"/>
    <n v="2906.63"/>
    <s v="Complete Access"/>
    <x v="507"/>
    <x v="1"/>
    <x v="1"/>
    <d v="1900-01-24T00:00:00"/>
    <n v="5"/>
    <x v="1"/>
    <x v="3"/>
  </r>
  <r>
    <x v="877"/>
    <n v="-34.700000000000003"/>
    <x v="1944"/>
    <n v="2817.67"/>
    <s v="Complete Access"/>
    <x v="512"/>
    <x v="1"/>
    <x v="5"/>
    <d v="1900-01-24T00:00:00"/>
    <n v="5"/>
    <x v="1"/>
    <x v="3"/>
  </r>
  <r>
    <x v="877"/>
    <n v="-4.5"/>
    <x v="1945"/>
    <n v="2852.37"/>
    <s v="Complete Access"/>
    <x v="513"/>
    <x v="1"/>
    <x v="5"/>
    <d v="1900-01-24T00:00:00"/>
    <n v="5"/>
    <x v="1"/>
    <x v="3"/>
  </r>
  <r>
    <x v="877"/>
    <n v="-13.4"/>
    <x v="1945"/>
    <n v="2856.87"/>
    <s v="Complete Access"/>
    <x v="513"/>
    <x v="1"/>
    <x v="5"/>
    <d v="1900-01-24T00:00:00"/>
    <n v="5"/>
    <x v="1"/>
    <x v="3"/>
  </r>
  <r>
    <x v="877"/>
    <n v="-15.87"/>
    <x v="966"/>
    <n v="2761.13"/>
    <s v="Complete Access"/>
    <x v="215"/>
    <x v="1"/>
    <x v="1"/>
    <d v="1900-01-24T00:00:00"/>
    <n v="5"/>
    <x v="1"/>
    <x v="3"/>
  </r>
  <r>
    <x v="877"/>
    <n v="-82.17"/>
    <x v="1946"/>
    <n v="2678.96"/>
    <s v="Complete Access"/>
    <x v="438"/>
    <x v="12"/>
    <x v="21"/>
    <d v="1900-01-24T00:00:00"/>
    <n v="5"/>
    <x v="1"/>
    <x v="3"/>
  </r>
  <r>
    <x v="877"/>
    <n v="-36.36"/>
    <x v="1947"/>
    <n v="2870.27"/>
    <s v="Complete Access"/>
    <x v="190"/>
    <x v="8"/>
    <x v="29"/>
    <d v="1900-01-24T00:00:00"/>
    <n v="5"/>
    <x v="1"/>
    <x v="3"/>
  </r>
  <r>
    <x v="877"/>
    <n v="-40.67"/>
    <x v="1948"/>
    <n v="2777"/>
    <s v="Complete Access"/>
    <x v="1"/>
    <x v="1"/>
    <x v="1"/>
    <d v="1900-01-24T00:00:00"/>
    <n v="5"/>
    <x v="1"/>
    <x v="3"/>
  </r>
  <r>
    <x v="877"/>
    <n v="-37.86"/>
    <x v="1949"/>
    <n v="2926.27"/>
    <s v="Complete Access"/>
    <x v="1"/>
    <x v="1"/>
    <x v="1"/>
    <d v="1900-01-24T00:00:00"/>
    <n v="5"/>
    <x v="1"/>
    <x v="3"/>
  </r>
  <r>
    <x v="878"/>
    <n v="-15"/>
    <x v="1423"/>
    <n v="2964.13"/>
    <s v="Complete Access"/>
    <x v="0"/>
    <x v="0"/>
    <x v="0"/>
    <d v="1900-01-22T00:00:00"/>
    <n v="5"/>
    <x v="1"/>
    <x v="3"/>
  </r>
  <r>
    <x v="879"/>
    <n v="-50"/>
    <x v="1390"/>
    <n v="2999.13"/>
    <s v="Complete Access"/>
    <x v="390"/>
    <x v="1"/>
    <x v="5"/>
    <d v="1900-01-21T00:00:00"/>
    <n v="4"/>
    <x v="1"/>
    <x v="3"/>
  </r>
  <r>
    <x v="879"/>
    <n v="-20"/>
    <x v="1950"/>
    <n v="2979.13"/>
    <s v="Complete Access"/>
    <x v="0"/>
    <x v="0"/>
    <x v="0"/>
    <d v="1900-01-21T00:00:00"/>
    <n v="4"/>
    <x v="1"/>
    <x v="3"/>
  </r>
  <r>
    <x v="880"/>
    <n v="-55"/>
    <x v="1951"/>
    <n v="3049.13"/>
    <s v="Complete Access"/>
    <x v="433"/>
    <x v="7"/>
    <x v="53"/>
    <d v="1900-01-20T00:00:00"/>
    <n v="4"/>
    <x v="1"/>
    <x v="3"/>
  </r>
  <r>
    <x v="881"/>
    <n v="-760"/>
    <x v="656"/>
    <n v="3551.58"/>
    <s v="Complete Access"/>
    <x v="13"/>
    <x v="0"/>
    <x v="0"/>
    <d v="1900-01-19T00:00:00"/>
    <n v="4"/>
    <x v="1"/>
    <x v="3"/>
  </r>
  <r>
    <x v="881"/>
    <n v="2248.56"/>
    <x v="1952"/>
    <n v="4311.58"/>
    <s v="Complete Access"/>
    <x v="14"/>
    <x v="6"/>
    <x v="9"/>
    <d v="1900-01-19T00:00:00"/>
    <n v="4"/>
    <x v="1"/>
    <x v="3"/>
  </r>
  <r>
    <x v="881"/>
    <n v="-30.45"/>
    <x v="1953"/>
    <n v="3521.13"/>
    <s v="Complete Access"/>
    <x v="29"/>
    <x v="4"/>
    <x v="19"/>
    <d v="1900-01-19T00:00:00"/>
    <n v="4"/>
    <x v="1"/>
    <x v="3"/>
  </r>
  <r>
    <x v="881"/>
    <n v="-29"/>
    <x v="1954"/>
    <n v="3104.13"/>
    <s v="Complete Access"/>
    <x v="29"/>
    <x v="4"/>
    <x v="19"/>
    <d v="1900-01-19T00:00:00"/>
    <n v="4"/>
    <x v="1"/>
    <x v="3"/>
  </r>
  <r>
    <x v="881"/>
    <n v="-388"/>
    <x v="1955"/>
    <n v="3133.13"/>
    <s v="Complete Access"/>
    <x v="321"/>
    <x v="4"/>
    <x v="47"/>
    <d v="1900-01-19T00:00:00"/>
    <n v="4"/>
    <x v="1"/>
    <x v="3"/>
  </r>
  <r>
    <x v="882"/>
    <n v="-478.73"/>
    <x v="1956"/>
    <n v="2114.36"/>
    <s v="Complete Access"/>
    <x v="192"/>
    <x v="4"/>
    <x v="20"/>
    <d v="1900-01-18T00:00:00"/>
    <n v="4"/>
    <x v="1"/>
    <x v="3"/>
  </r>
  <r>
    <x v="882"/>
    <n v="-1.5"/>
    <x v="1957"/>
    <n v="2063.02"/>
    <s v="Complete Access"/>
    <x v="10"/>
    <x v="0"/>
    <x v="0"/>
    <d v="1900-01-18T00:00:00"/>
    <n v="4"/>
    <x v="1"/>
    <x v="3"/>
  </r>
  <r>
    <x v="882"/>
    <n v="-49.84"/>
    <x v="1958"/>
    <n v="2064.52"/>
    <s v="Complete Access"/>
    <x v="363"/>
    <x v="4"/>
    <x v="25"/>
    <d v="1900-01-18T00:00:00"/>
    <n v="4"/>
    <x v="1"/>
    <x v="3"/>
  </r>
  <r>
    <x v="883"/>
    <n v="-37.9"/>
    <x v="1959"/>
    <n v="2593.09"/>
    <s v="Complete Access"/>
    <x v="267"/>
    <x v="1"/>
    <x v="1"/>
    <d v="1900-01-17T00:00:00"/>
    <n v="4"/>
    <x v="1"/>
    <x v="3"/>
  </r>
  <r>
    <x v="884"/>
    <n v="47"/>
    <x v="1960"/>
    <n v="2630.99"/>
    <s v="Complete Access"/>
    <x v="36"/>
    <x v="0"/>
    <x v="0"/>
    <d v="1900-01-14T00:00:00"/>
    <n v="3"/>
    <x v="1"/>
    <x v="3"/>
  </r>
  <r>
    <x v="885"/>
    <n v="-97.06"/>
    <x v="989"/>
    <n v="2583.9899999999998"/>
    <s v="Complete Access"/>
    <x v="332"/>
    <x v="1"/>
    <x v="5"/>
    <d v="1900-01-13T00:00:00"/>
    <n v="3"/>
    <x v="1"/>
    <x v="3"/>
  </r>
  <r>
    <x v="885"/>
    <n v="-185.64"/>
    <x v="1961"/>
    <n v="2681.05"/>
    <s v="Complete Access"/>
    <x v="1"/>
    <x v="1"/>
    <x v="1"/>
    <d v="1900-01-13T00:00:00"/>
    <n v="3"/>
    <x v="1"/>
    <x v="3"/>
  </r>
  <r>
    <x v="886"/>
    <n v="-8"/>
    <x v="1962"/>
    <n v="2876.68"/>
    <s v="Complete Access"/>
    <x v="514"/>
    <x v="1"/>
    <x v="5"/>
    <d v="1900-01-11T00:00:00"/>
    <n v="3"/>
    <x v="1"/>
    <x v="3"/>
  </r>
  <r>
    <x v="886"/>
    <n v="-9.99"/>
    <x v="1963"/>
    <n v="2866.69"/>
    <s v="Complete Access"/>
    <x v="222"/>
    <x v="11"/>
    <x v="14"/>
    <d v="1900-01-11T00:00:00"/>
    <n v="3"/>
    <x v="1"/>
    <x v="3"/>
  </r>
  <r>
    <x v="887"/>
    <n v="-10.59"/>
    <x v="966"/>
    <n v="2884.68"/>
    <s v="Complete Access"/>
    <x v="215"/>
    <x v="1"/>
    <x v="1"/>
    <d v="1900-01-09T00:00:00"/>
    <n v="3"/>
    <x v="1"/>
    <x v="3"/>
  </r>
  <r>
    <x v="888"/>
    <n v="15.39"/>
    <x v="1964"/>
    <n v="2900.02"/>
    <s v="Complete Access"/>
    <x v="36"/>
    <x v="0"/>
    <x v="0"/>
    <d v="1900-01-08T00:00:00"/>
    <n v="3"/>
    <x v="1"/>
    <x v="3"/>
  </r>
  <r>
    <x v="888"/>
    <n v="-4.75"/>
    <x v="96"/>
    <n v="2895.27"/>
    <s v="Complete Access"/>
    <x v="47"/>
    <x v="1"/>
    <x v="5"/>
    <d v="1900-01-08T00:00:00"/>
    <n v="3"/>
    <x v="1"/>
    <x v="3"/>
  </r>
  <r>
    <x v="888"/>
    <n v="-53.39"/>
    <x v="1965"/>
    <n v="2884.63"/>
    <s v="Complete Access"/>
    <x v="304"/>
    <x v="1"/>
    <x v="5"/>
    <d v="1900-01-08T00:00:00"/>
    <n v="3"/>
    <x v="1"/>
    <x v="3"/>
  </r>
  <r>
    <x v="889"/>
    <n v="25"/>
    <x v="1831"/>
    <n v="2938.02"/>
    <s v="Complete Access"/>
    <x v="36"/>
    <x v="0"/>
    <x v="0"/>
    <d v="1900-01-06T00:00:00"/>
    <n v="2"/>
    <x v="1"/>
    <x v="3"/>
  </r>
  <r>
    <x v="889"/>
    <n v="-69.5"/>
    <x v="1390"/>
    <n v="2913.02"/>
    <s v="Complete Access"/>
    <x v="390"/>
    <x v="1"/>
    <x v="5"/>
    <d v="1900-01-06T00:00:00"/>
    <n v="2"/>
    <x v="1"/>
    <x v="3"/>
  </r>
  <r>
    <x v="890"/>
    <n v="-760"/>
    <x v="656"/>
    <n v="3022.97"/>
    <s v="Complete Access"/>
    <x v="13"/>
    <x v="0"/>
    <x v="0"/>
    <d v="1900-01-05T00:00:00"/>
    <n v="2"/>
    <x v="1"/>
    <x v="3"/>
  </r>
  <r>
    <x v="890"/>
    <n v="2248.5500000000002"/>
    <x v="1966"/>
    <n v="3782.97"/>
    <s v="Complete Access"/>
    <x v="14"/>
    <x v="6"/>
    <x v="9"/>
    <d v="1900-01-05T00:00:00"/>
    <n v="2"/>
    <x v="1"/>
    <x v="3"/>
  </r>
  <r>
    <x v="890"/>
    <n v="-40.450000000000003"/>
    <x v="1967"/>
    <n v="2982.52"/>
    <s v="Complete Access"/>
    <x v="1"/>
    <x v="1"/>
    <x v="1"/>
    <d v="1900-01-05T00:00:00"/>
    <n v="2"/>
    <x v="1"/>
    <x v="3"/>
  </r>
  <r>
    <x v="891"/>
    <n v="11.46"/>
    <x v="1968"/>
    <n v="1562.47"/>
    <s v="Complete Access"/>
    <x v="36"/>
    <x v="0"/>
    <x v="0"/>
    <d v="1900-01-04T00:00:00"/>
    <n v="2"/>
    <x v="1"/>
    <x v="3"/>
  </r>
  <r>
    <x v="891"/>
    <n v="-28.05"/>
    <x v="1969"/>
    <n v="1534.42"/>
    <s v="Complete Access"/>
    <x v="47"/>
    <x v="1"/>
    <x v="5"/>
    <d v="1900-01-04T00:00:00"/>
    <n v="2"/>
    <x v="1"/>
    <x v="3"/>
  </r>
  <r>
    <x v="891"/>
    <n v="-55"/>
    <x v="1970"/>
    <n v="1551.01"/>
    <s v="Complete Access"/>
    <x v="35"/>
    <x v="1"/>
    <x v="23"/>
    <d v="1900-01-04T00:00:00"/>
    <n v="2"/>
    <x v="1"/>
    <x v="3"/>
  </r>
  <r>
    <x v="891"/>
    <n v="-0.15"/>
    <x v="1971"/>
    <n v="1606.01"/>
    <s v="Complete Access"/>
    <x v="1"/>
    <x v="1"/>
    <x v="1"/>
    <d v="1900-01-04T00:00:00"/>
    <n v="2"/>
    <x v="1"/>
    <x v="3"/>
  </r>
  <r>
    <x v="891"/>
    <n v="-60.43"/>
    <x v="1971"/>
    <n v="1606.16"/>
    <s v="Complete Access"/>
    <x v="1"/>
    <x v="1"/>
    <x v="1"/>
    <d v="1900-01-04T00:00:00"/>
    <n v="2"/>
    <x v="1"/>
    <x v="3"/>
  </r>
  <r>
    <x v="892"/>
    <n v="-2500"/>
    <x v="1972"/>
    <n v="1871.14"/>
    <s v="Complete Access"/>
    <x v="504"/>
    <x v="0"/>
    <x v="72"/>
    <d v="1900-01-03T00:00:00"/>
    <n v="2"/>
    <x v="1"/>
    <x v="3"/>
  </r>
  <r>
    <x v="892"/>
    <n v="2500"/>
    <x v="1973"/>
    <n v="4371.1400000000003"/>
    <s v="Complete Access"/>
    <x v="36"/>
    <x v="0"/>
    <x v="0"/>
    <d v="1900-01-03T00:00:00"/>
    <n v="2"/>
    <x v="1"/>
    <x v="3"/>
  </r>
  <r>
    <x v="892"/>
    <n v="-180.55"/>
    <x v="1974"/>
    <n v="1666.59"/>
    <s v="Complete Access"/>
    <x v="76"/>
    <x v="2"/>
    <x v="2"/>
    <d v="1900-01-03T00:00:00"/>
    <n v="2"/>
    <x v="1"/>
    <x v="3"/>
  </r>
  <r>
    <x v="892"/>
    <n v="-24"/>
    <x v="1975"/>
    <n v="1847.14"/>
    <s v="Complete Access"/>
    <x v="504"/>
    <x v="0"/>
    <x v="72"/>
    <d v="1900-01-03T00:00:00"/>
    <n v="2"/>
    <x v="1"/>
    <x v="3"/>
  </r>
  <r>
    <x v="893"/>
    <n v="53.1"/>
    <x v="1976"/>
    <n v="1871.14"/>
    <s v="Complete Access"/>
    <x v="515"/>
    <x v="1"/>
    <x v="5"/>
    <d v="1899-12-31T00:00:00"/>
    <n v="1"/>
    <x v="1"/>
    <x v="3"/>
  </r>
  <r>
    <x v="894"/>
    <n v="-23.67"/>
    <x v="1931"/>
    <n v="1883.39"/>
    <s v="Complete Access"/>
    <x v="510"/>
    <x v="11"/>
    <x v="14"/>
    <d v="1900-01-30T00:00:00"/>
    <n v="53"/>
    <x v="2"/>
    <x v="4"/>
  </r>
  <r>
    <x v="894"/>
    <n v="-35.950000000000003"/>
    <x v="1977"/>
    <n v="1907.06"/>
    <s v="Complete Access"/>
    <x v="516"/>
    <x v="10"/>
    <x v="13"/>
    <d v="1900-01-30T00:00:00"/>
    <n v="53"/>
    <x v="2"/>
    <x v="4"/>
  </r>
  <r>
    <x v="894"/>
    <n v="-65.349999999999994"/>
    <x v="1641"/>
    <n v="1818.04"/>
    <s v="Complete Access"/>
    <x v="4"/>
    <x v="1"/>
    <x v="1"/>
    <d v="1900-01-30T00:00:00"/>
    <n v="53"/>
    <x v="2"/>
    <x v="4"/>
  </r>
  <r>
    <x v="895"/>
    <n v="219"/>
    <x v="1978"/>
    <n v="2145.98"/>
    <s v="Complete Access"/>
    <x v="321"/>
    <x v="4"/>
    <x v="47"/>
    <d v="1900-01-29T00:00:00"/>
    <n v="53"/>
    <x v="2"/>
    <x v="4"/>
  </r>
  <r>
    <x v="895"/>
    <n v="-53.1"/>
    <x v="1979"/>
    <n v="1943.01"/>
    <s v="Complete Access"/>
    <x v="515"/>
    <x v="1"/>
    <x v="5"/>
    <d v="1900-01-29T00:00:00"/>
    <n v="53"/>
    <x v="2"/>
    <x v="4"/>
  </r>
  <r>
    <x v="895"/>
    <n v="-53.1"/>
    <x v="1979"/>
    <n v="1996.11"/>
    <s v="Complete Access"/>
    <x v="515"/>
    <x v="1"/>
    <x v="5"/>
    <d v="1900-01-29T00:00:00"/>
    <n v="53"/>
    <x v="2"/>
    <x v="4"/>
  </r>
  <r>
    <x v="895"/>
    <n v="-44.59"/>
    <x v="1980"/>
    <n v="2049.21"/>
    <s v="Complete Access"/>
    <x v="104"/>
    <x v="1"/>
    <x v="5"/>
    <d v="1900-01-29T00:00:00"/>
    <n v="53"/>
    <x v="2"/>
    <x v="4"/>
  </r>
  <r>
    <x v="895"/>
    <n v="-16.489999999999998"/>
    <x v="1981"/>
    <n v="2129.4899999999998"/>
    <s v="Complete Access"/>
    <x v="222"/>
    <x v="11"/>
    <x v="14"/>
    <d v="1900-01-29T00:00:00"/>
    <n v="53"/>
    <x v="2"/>
    <x v="4"/>
  </r>
  <r>
    <x v="895"/>
    <n v="-26.49"/>
    <x v="1982"/>
    <n v="2093.8000000000002"/>
    <s v="Complete Access"/>
    <x v="34"/>
    <x v="9"/>
    <x v="12"/>
    <d v="1900-01-29T00:00:00"/>
    <n v="53"/>
    <x v="2"/>
    <x v="4"/>
  </r>
  <r>
    <x v="895"/>
    <n v="-9.1999999999999993"/>
    <x v="1982"/>
    <n v="2120.29"/>
    <s v="Complete Access"/>
    <x v="34"/>
    <x v="9"/>
    <x v="12"/>
    <d v="1900-01-29T00:00:00"/>
    <n v="53"/>
    <x v="2"/>
    <x v="4"/>
  </r>
  <r>
    <x v="896"/>
    <n v="-48.65"/>
    <x v="1983"/>
    <n v="1926.98"/>
    <s v="Complete Access"/>
    <x v="517"/>
    <x v="1"/>
    <x v="5"/>
    <d v="1900-01-26T00:00:00"/>
    <n v="53"/>
    <x v="2"/>
    <x v="4"/>
  </r>
  <r>
    <x v="897"/>
    <n v="-14"/>
    <x v="1984"/>
    <n v="1975.63"/>
    <s v="Complete Access"/>
    <x v="0"/>
    <x v="0"/>
    <x v="0"/>
    <d v="1900-01-25T00:00:00"/>
    <n v="53"/>
    <x v="2"/>
    <x v="4"/>
  </r>
  <r>
    <x v="898"/>
    <n v="-299"/>
    <x v="1985"/>
    <n v="1989.63"/>
    <s v="Complete Access"/>
    <x v="321"/>
    <x v="4"/>
    <x v="47"/>
    <d v="1900-01-24T00:00:00"/>
    <n v="52"/>
    <x v="2"/>
    <x v="4"/>
  </r>
  <r>
    <x v="898"/>
    <n v="-299"/>
    <x v="1985"/>
    <n v="2288.63"/>
    <s v="Complete Access"/>
    <x v="321"/>
    <x v="4"/>
    <x v="47"/>
    <d v="1900-01-24T00:00:00"/>
    <n v="52"/>
    <x v="2"/>
    <x v="4"/>
  </r>
  <r>
    <x v="898"/>
    <n v="-60"/>
    <x v="1986"/>
    <n v="2587.63"/>
    <s v="Complete Access"/>
    <x v="248"/>
    <x v="3"/>
    <x v="58"/>
    <d v="1900-01-24T00:00:00"/>
    <n v="52"/>
    <x v="2"/>
    <x v="4"/>
  </r>
  <r>
    <x v="899"/>
    <n v="150"/>
    <x v="1987"/>
    <n v="2664.33"/>
    <s v="Complete Access"/>
    <x v="36"/>
    <x v="0"/>
    <x v="0"/>
    <d v="1900-01-23T00:00:00"/>
    <n v="52"/>
    <x v="2"/>
    <x v="4"/>
  </r>
  <r>
    <x v="899"/>
    <n v="-16.7"/>
    <x v="1988"/>
    <n v="2647.63"/>
    <s v="Complete Access"/>
    <x v="518"/>
    <x v="12"/>
    <x v="21"/>
    <d v="1900-01-23T00:00:00"/>
    <n v="52"/>
    <x v="2"/>
    <x v="4"/>
  </r>
  <r>
    <x v="900"/>
    <n v="-760"/>
    <x v="656"/>
    <n v="2734.84"/>
    <s v="Complete Access"/>
    <x v="13"/>
    <x v="0"/>
    <x v="0"/>
    <d v="1900-01-22T00:00:00"/>
    <n v="52"/>
    <x v="2"/>
    <x v="4"/>
  </r>
  <r>
    <x v="900"/>
    <n v="2248.56"/>
    <x v="1989"/>
    <n v="3494.84"/>
    <s v="Complete Access"/>
    <x v="14"/>
    <x v="6"/>
    <x v="9"/>
    <d v="1900-01-22T00:00:00"/>
    <n v="52"/>
    <x v="2"/>
    <x v="4"/>
  </r>
  <r>
    <x v="900"/>
    <n v="-59"/>
    <x v="1990"/>
    <n v="2648.73"/>
    <s v="Complete Access"/>
    <x v="519"/>
    <x v="1"/>
    <x v="5"/>
    <d v="1900-01-22T00:00:00"/>
    <n v="52"/>
    <x v="2"/>
    <x v="4"/>
  </r>
  <r>
    <x v="900"/>
    <n v="-10.85"/>
    <x v="96"/>
    <n v="2707.73"/>
    <s v="Complete Access"/>
    <x v="47"/>
    <x v="1"/>
    <x v="5"/>
    <d v="1900-01-22T00:00:00"/>
    <n v="52"/>
    <x v="2"/>
    <x v="4"/>
  </r>
  <r>
    <x v="900"/>
    <n v="-3.05"/>
    <x v="1991"/>
    <n v="2718.58"/>
    <s v="Complete Access"/>
    <x v="462"/>
    <x v="1"/>
    <x v="5"/>
    <d v="1900-01-22T00:00:00"/>
    <n v="52"/>
    <x v="2"/>
    <x v="4"/>
  </r>
  <r>
    <x v="900"/>
    <n v="-13.21"/>
    <x v="1991"/>
    <n v="2721.63"/>
    <s v="Complete Access"/>
    <x v="462"/>
    <x v="1"/>
    <x v="5"/>
    <d v="1900-01-22T00:00:00"/>
    <n v="52"/>
    <x v="2"/>
    <x v="4"/>
  </r>
  <r>
    <x v="900"/>
    <n v="-134.4"/>
    <x v="1992"/>
    <n v="2514.33"/>
    <s v="Complete Access"/>
    <x v="438"/>
    <x v="12"/>
    <x v="21"/>
    <d v="1900-01-22T00:00:00"/>
    <n v="52"/>
    <x v="2"/>
    <x v="4"/>
  </r>
  <r>
    <x v="901"/>
    <n v="-5.4"/>
    <x v="1993"/>
    <n v="1246.28"/>
    <s v="Complete Access"/>
    <x v="520"/>
    <x v="9"/>
    <x v="32"/>
    <d v="1900-01-21T00:00:00"/>
    <n v="52"/>
    <x v="2"/>
    <x v="4"/>
  </r>
  <r>
    <x v="901"/>
    <n v="-14.98"/>
    <x v="1994"/>
    <n v="1251.68"/>
    <s v="Complete Access"/>
    <x v="222"/>
    <x v="11"/>
    <x v="14"/>
    <d v="1900-01-21T00:00:00"/>
    <n v="52"/>
    <x v="2"/>
    <x v="4"/>
  </r>
  <r>
    <x v="901"/>
    <n v="-32.5"/>
    <x v="1994"/>
    <n v="1266.6600000000001"/>
    <s v="Complete Access"/>
    <x v="222"/>
    <x v="11"/>
    <x v="14"/>
    <d v="1900-01-21T00:00:00"/>
    <n v="52"/>
    <x v="2"/>
    <x v="4"/>
  </r>
  <r>
    <x v="901"/>
    <n v="-14.99"/>
    <x v="1995"/>
    <n v="1299.1600000000001"/>
    <s v="Complete Access"/>
    <x v="428"/>
    <x v="11"/>
    <x v="14"/>
    <d v="1900-01-21T00:00:00"/>
    <n v="52"/>
    <x v="2"/>
    <x v="4"/>
  </r>
  <r>
    <x v="902"/>
    <n v="-10.119999999999999"/>
    <x v="1996"/>
    <n v="2639.16"/>
    <s v="Complete Access"/>
    <x v="521"/>
    <x v="8"/>
    <x v="29"/>
    <d v="1900-01-20T00:00:00"/>
    <n v="52"/>
    <x v="2"/>
    <x v="4"/>
  </r>
  <r>
    <x v="902"/>
    <n v="-23.28"/>
    <x v="1996"/>
    <n v="2649.28"/>
    <s v="Complete Access"/>
    <x v="521"/>
    <x v="8"/>
    <x v="29"/>
    <d v="1900-01-20T00:00:00"/>
    <n v="52"/>
    <x v="2"/>
    <x v="4"/>
  </r>
  <r>
    <x v="902"/>
    <n v="-9.41"/>
    <x v="1996"/>
    <n v="2672.56"/>
    <s v="Complete Access"/>
    <x v="521"/>
    <x v="8"/>
    <x v="29"/>
    <d v="1900-01-20T00:00:00"/>
    <n v="52"/>
    <x v="2"/>
    <x v="4"/>
  </r>
  <r>
    <x v="902"/>
    <n v="-893.25"/>
    <x v="1997"/>
    <n v="1314.15"/>
    <s v="Complete Access"/>
    <x v="321"/>
    <x v="4"/>
    <x v="47"/>
    <d v="1900-01-20T00:00:00"/>
    <n v="52"/>
    <x v="2"/>
    <x v="4"/>
  </r>
  <r>
    <x v="902"/>
    <n v="-149"/>
    <x v="1998"/>
    <n v="2488.7600000000002"/>
    <s v="Complete Access"/>
    <x v="321"/>
    <x v="4"/>
    <x v="47"/>
    <d v="1900-01-20T00:00:00"/>
    <n v="52"/>
    <x v="2"/>
    <x v="4"/>
  </r>
  <r>
    <x v="902"/>
    <n v="-33.39"/>
    <x v="1999"/>
    <n v="2207.4"/>
    <s v="Complete Access"/>
    <x v="104"/>
    <x v="1"/>
    <x v="5"/>
    <d v="1900-01-20T00:00:00"/>
    <n v="52"/>
    <x v="2"/>
    <x v="4"/>
  </r>
  <r>
    <x v="902"/>
    <n v="-1.4"/>
    <x v="2000"/>
    <n v="2637.76"/>
    <s v="Complete Access"/>
    <x v="1"/>
    <x v="1"/>
    <x v="1"/>
    <d v="1900-01-20T00:00:00"/>
    <n v="52"/>
    <x v="2"/>
    <x v="4"/>
  </r>
  <r>
    <x v="902"/>
    <n v="-165.98"/>
    <x v="2001"/>
    <n v="2240.79"/>
    <s v="Complete Access"/>
    <x v="5"/>
    <x v="3"/>
    <x v="3"/>
    <d v="1900-01-20T00:00:00"/>
    <n v="52"/>
    <x v="2"/>
    <x v="4"/>
  </r>
  <r>
    <x v="902"/>
    <n v="-40.99"/>
    <x v="2001"/>
    <n v="2406.77"/>
    <s v="Complete Access"/>
    <x v="5"/>
    <x v="3"/>
    <x v="3"/>
    <d v="1900-01-20T00:00:00"/>
    <n v="52"/>
    <x v="2"/>
    <x v="4"/>
  </r>
  <r>
    <x v="902"/>
    <n v="-41"/>
    <x v="2001"/>
    <n v="2447.7600000000002"/>
    <s v="Complete Access"/>
    <x v="5"/>
    <x v="3"/>
    <x v="3"/>
    <d v="1900-01-20T00:00:00"/>
    <n v="52"/>
    <x v="2"/>
    <x v="4"/>
  </r>
  <r>
    <x v="903"/>
    <n v="-65"/>
    <x v="2002"/>
    <n v="2681.97"/>
    <s v="Complete Access"/>
    <x v="433"/>
    <x v="7"/>
    <x v="53"/>
    <d v="1900-01-19T00:00:00"/>
    <n v="52"/>
    <x v="2"/>
    <x v="4"/>
  </r>
  <r>
    <x v="904"/>
    <n v="-7.34"/>
    <x v="966"/>
    <n v="2746.97"/>
    <s v="Complete Access"/>
    <x v="215"/>
    <x v="1"/>
    <x v="1"/>
    <d v="1900-01-18T00:00:00"/>
    <n v="52"/>
    <x v="2"/>
    <x v="4"/>
  </r>
  <r>
    <x v="905"/>
    <n v="-100"/>
    <x v="2003"/>
    <n v="2754.31"/>
    <s v="Complete Access"/>
    <x v="0"/>
    <x v="0"/>
    <x v="0"/>
    <d v="1900-01-17T00:00:00"/>
    <n v="51"/>
    <x v="2"/>
    <x v="4"/>
  </r>
  <r>
    <x v="905"/>
    <n v="12.01"/>
    <x v="2004"/>
    <n v="2854.31"/>
    <s v="Complete Access"/>
    <x v="192"/>
    <x v="4"/>
    <x v="20"/>
    <d v="1900-01-17T00:00:00"/>
    <n v="51"/>
    <x v="2"/>
    <x v="4"/>
  </r>
  <r>
    <x v="906"/>
    <n v="-12.61"/>
    <x v="2005"/>
    <n v="3105.2"/>
    <s v="Complete Access"/>
    <x v="192"/>
    <x v="4"/>
    <x v="20"/>
    <d v="1900-01-16T00:00:00"/>
    <n v="51"/>
    <x v="2"/>
    <x v="4"/>
  </r>
  <r>
    <x v="906"/>
    <n v="-33.39"/>
    <x v="2006"/>
    <n v="3071.81"/>
    <s v="Complete Access"/>
    <x v="104"/>
    <x v="1"/>
    <x v="5"/>
    <d v="1900-01-16T00:00:00"/>
    <n v="51"/>
    <x v="2"/>
    <x v="4"/>
  </r>
  <r>
    <x v="906"/>
    <n v="-204.51"/>
    <x v="2007"/>
    <n v="2842.3"/>
    <s v="Complete Access"/>
    <x v="438"/>
    <x v="12"/>
    <x v="21"/>
    <d v="1900-01-16T00:00:00"/>
    <n v="51"/>
    <x v="2"/>
    <x v="4"/>
  </r>
  <r>
    <x v="906"/>
    <n v="-25"/>
    <x v="2008"/>
    <n v="3046.81"/>
    <s v="Complete Access"/>
    <x v="0"/>
    <x v="0"/>
    <x v="0"/>
    <d v="1900-01-16T00:00:00"/>
    <n v="51"/>
    <x v="2"/>
    <x v="4"/>
  </r>
  <r>
    <x v="906"/>
    <n v="-25"/>
    <x v="2009"/>
    <n v="3046.81"/>
    <s v="Complete Access"/>
    <x v="0"/>
    <x v="0"/>
    <x v="0"/>
    <d v="1900-01-16T00:00:00"/>
    <n v="51"/>
    <x v="2"/>
    <x v="4"/>
  </r>
  <r>
    <x v="906"/>
    <n v="25"/>
    <x v="2010"/>
    <n v="3071.81"/>
    <s v="Complete Access"/>
    <x v="13"/>
    <x v="0"/>
    <x v="0"/>
    <d v="1900-01-16T00:00:00"/>
    <n v="51"/>
    <x v="2"/>
    <x v="4"/>
  </r>
  <r>
    <x v="907"/>
    <n v="24"/>
    <x v="2011"/>
    <n v="3219.96"/>
    <s v="Complete Access"/>
    <x v="36"/>
    <x v="0"/>
    <x v="0"/>
    <d v="1900-01-15T00:00:00"/>
    <n v="51"/>
    <x v="2"/>
    <x v="4"/>
  </r>
  <r>
    <x v="907"/>
    <n v="50"/>
    <x v="1680"/>
    <n v="3129.92"/>
    <s v="Complete Access"/>
    <x v="36"/>
    <x v="0"/>
    <x v="0"/>
    <d v="1900-01-15T00:00:00"/>
    <n v="51"/>
    <x v="2"/>
    <x v="4"/>
  </r>
  <r>
    <x v="907"/>
    <n v="-12.11"/>
    <x v="2012"/>
    <n v="3117.81"/>
    <s v="Complete Access"/>
    <x v="192"/>
    <x v="4"/>
    <x v="20"/>
    <d v="1900-01-15T00:00:00"/>
    <n v="51"/>
    <x v="2"/>
    <x v="4"/>
  </r>
  <r>
    <x v="907"/>
    <n v="-45.3"/>
    <x v="1965"/>
    <n v="3079.92"/>
    <s v="Complete Access"/>
    <x v="304"/>
    <x v="1"/>
    <x v="5"/>
    <d v="1900-01-15T00:00:00"/>
    <n v="51"/>
    <x v="2"/>
    <x v="4"/>
  </r>
  <r>
    <x v="907"/>
    <n v="-94.74"/>
    <x v="1641"/>
    <n v="3125.22"/>
    <s v="Complete Access"/>
    <x v="4"/>
    <x v="1"/>
    <x v="1"/>
    <d v="1900-01-15T00:00:00"/>
    <n v="51"/>
    <x v="2"/>
    <x v="4"/>
  </r>
  <r>
    <x v="908"/>
    <n v="-15.64"/>
    <x v="2013"/>
    <n v="3195.96"/>
    <s v="Complete Access"/>
    <x v="8"/>
    <x v="1"/>
    <x v="5"/>
    <d v="1900-01-14T00:00:00"/>
    <n v="51"/>
    <x v="2"/>
    <x v="4"/>
  </r>
  <r>
    <x v="909"/>
    <n v="-19.23"/>
    <x v="2014"/>
    <n v="3243.1"/>
    <s v="Complete Access"/>
    <x v="8"/>
    <x v="1"/>
    <x v="5"/>
    <d v="1900-01-13T00:00:00"/>
    <n v="51"/>
    <x v="2"/>
    <x v="4"/>
  </r>
  <r>
    <x v="909"/>
    <n v="-7.5"/>
    <x v="2015"/>
    <n v="3211.6"/>
    <s v="Complete Access"/>
    <x v="218"/>
    <x v="8"/>
    <x v="29"/>
    <d v="1900-01-13T00:00:00"/>
    <n v="51"/>
    <x v="2"/>
    <x v="4"/>
  </r>
  <r>
    <x v="909"/>
    <n v="-24"/>
    <x v="2015"/>
    <n v="3219.1"/>
    <s v="Complete Access"/>
    <x v="218"/>
    <x v="8"/>
    <x v="29"/>
    <d v="1900-01-13T00:00:00"/>
    <n v="51"/>
    <x v="2"/>
    <x v="4"/>
  </r>
  <r>
    <x v="910"/>
    <n v="-26"/>
    <x v="96"/>
    <n v="3262.33"/>
    <s v="Complete Access"/>
    <x v="47"/>
    <x v="1"/>
    <x v="5"/>
    <d v="1900-01-09T00:00:00"/>
    <n v="50"/>
    <x v="2"/>
    <x v="4"/>
  </r>
  <r>
    <x v="911"/>
    <n v="-760"/>
    <x v="656"/>
    <n v="3288.33"/>
    <s v="Complete Access"/>
    <x v="13"/>
    <x v="0"/>
    <x v="0"/>
    <d v="1900-01-08T00:00:00"/>
    <n v="50"/>
    <x v="2"/>
    <x v="4"/>
  </r>
  <r>
    <x v="911"/>
    <n v="2248.5700000000002"/>
    <x v="2016"/>
    <n v="4048.33"/>
    <s v="Complete Access"/>
    <x v="14"/>
    <x v="6"/>
    <x v="9"/>
    <d v="1900-01-08T00:00:00"/>
    <n v="50"/>
    <x v="2"/>
    <x v="4"/>
  </r>
  <r>
    <x v="912"/>
    <n v="300"/>
    <x v="2017"/>
    <n v="1799.76"/>
    <s v="Complete Access"/>
    <x v="36"/>
    <x v="0"/>
    <x v="0"/>
    <d v="1900-01-07T00:00:00"/>
    <n v="50"/>
    <x v="2"/>
    <x v="4"/>
  </r>
  <r>
    <x v="913"/>
    <n v="-28.39"/>
    <x v="2018"/>
    <n v="1538.86"/>
    <s v="Complete Access"/>
    <x v="8"/>
    <x v="1"/>
    <x v="5"/>
    <d v="1900-01-06T00:00:00"/>
    <n v="50"/>
    <x v="2"/>
    <x v="4"/>
  </r>
  <r>
    <x v="913"/>
    <n v="-7.7"/>
    <x v="2019"/>
    <n v="1499.76"/>
    <s v="Complete Access"/>
    <x v="522"/>
    <x v="1"/>
    <x v="5"/>
    <d v="1900-01-06T00:00:00"/>
    <n v="50"/>
    <x v="2"/>
    <x v="4"/>
  </r>
  <r>
    <x v="913"/>
    <n v="-31.4"/>
    <x v="2020"/>
    <n v="1507.46"/>
    <s v="Complete Access"/>
    <x v="104"/>
    <x v="1"/>
    <x v="5"/>
    <d v="1900-01-06T00:00:00"/>
    <n v="50"/>
    <x v="2"/>
    <x v="4"/>
  </r>
  <r>
    <x v="914"/>
    <n v="-2500"/>
    <x v="2021"/>
    <n v="1567.25"/>
    <s v="Complete Access"/>
    <x v="504"/>
    <x v="0"/>
    <x v="72"/>
    <d v="1900-01-03T00:00:00"/>
    <n v="49"/>
    <x v="2"/>
    <x v="4"/>
  </r>
  <r>
    <x v="915"/>
    <n v="-6.85"/>
    <x v="96"/>
    <n v="4067.25"/>
    <s v="Complete Access"/>
    <x v="47"/>
    <x v="1"/>
    <x v="5"/>
    <d v="1900-01-02T00:00:00"/>
    <n v="49"/>
    <x v="2"/>
    <x v="4"/>
  </r>
  <r>
    <x v="916"/>
    <n v="-29.69"/>
    <x v="2022"/>
    <n v="4074.1"/>
    <s v="Complete Access"/>
    <x v="8"/>
    <x v="1"/>
    <x v="5"/>
    <d v="1900-01-01T00:00:00"/>
    <n v="49"/>
    <x v="2"/>
    <x v="4"/>
  </r>
  <r>
    <x v="917"/>
    <n v="-244"/>
    <x v="69"/>
    <n v="4103.79"/>
    <s v="Complete Access"/>
    <x v="0"/>
    <x v="0"/>
    <x v="0"/>
    <d v="1899-12-31T00:00:00"/>
    <n v="49"/>
    <x v="2"/>
    <x v="4"/>
  </r>
  <r>
    <x v="917"/>
    <n v="-29.04"/>
    <x v="2023"/>
    <n v="4528.34"/>
    <s v="Complete Access"/>
    <x v="8"/>
    <x v="1"/>
    <x v="5"/>
    <d v="1899-12-31T00:00:00"/>
    <n v="49"/>
    <x v="2"/>
    <x v="4"/>
  </r>
  <r>
    <x v="917"/>
    <n v="-180.55"/>
    <x v="2024"/>
    <n v="4347.79"/>
    <s v="Complete Access"/>
    <x v="76"/>
    <x v="2"/>
    <x v="2"/>
    <d v="1899-12-31T00:00:00"/>
    <n v="49"/>
    <x v="2"/>
    <x v="4"/>
  </r>
  <r>
    <x v="918"/>
    <n v="-65.39"/>
    <x v="2025"/>
    <n v="4557.38"/>
    <s v="Complete Access"/>
    <x v="433"/>
    <x v="7"/>
    <x v="53"/>
    <d v="1900-01-29T00:00:00"/>
    <n v="49"/>
    <x v="3"/>
    <x v="4"/>
  </r>
  <r>
    <x v="918"/>
    <n v="-44.1"/>
    <x v="2026"/>
    <n v="4622.7700000000004"/>
    <s v="Complete Access"/>
    <x v="1"/>
    <x v="1"/>
    <x v="1"/>
    <d v="1900-01-29T00:00:00"/>
    <n v="49"/>
    <x v="3"/>
    <x v="4"/>
  </r>
  <r>
    <x v="918"/>
    <n v="-21.9"/>
    <x v="2027"/>
    <n v="4666.87"/>
    <s v="Complete Access"/>
    <x v="5"/>
    <x v="3"/>
    <x v="3"/>
    <d v="1900-01-29T00:00:00"/>
    <n v="49"/>
    <x v="3"/>
    <x v="4"/>
  </r>
  <r>
    <x v="919"/>
    <n v="-22.85"/>
    <x v="96"/>
    <n v="4688.7700000000004"/>
    <s v="Complete Access"/>
    <x v="47"/>
    <x v="1"/>
    <x v="5"/>
    <d v="1900-01-26T00:00:00"/>
    <n v="48"/>
    <x v="3"/>
    <x v="4"/>
  </r>
  <r>
    <x v="919"/>
    <n v="-3.5"/>
    <x v="2028"/>
    <n v="4711.62"/>
    <s v="Complete Access"/>
    <x v="34"/>
    <x v="9"/>
    <x v="12"/>
    <d v="1900-01-26T00:00:00"/>
    <n v="48"/>
    <x v="3"/>
    <x v="4"/>
  </r>
  <r>
    <x v="920"/>
    <n v="-760"/>
    <x v="656"/>
    <n v="4825.12"/>
    <s v="Complete Access"/>
    <x v="13"/>
    <x v="0"/>
    <x v="0"/>
    <d v="1900-01-24T00:00:00"/>
    <n v="48"/>
    <x v="3"/>
    <x v="4"/>
  </r>
  <r>
    <x v="920"/>
    <n v="-110"/>
    <x v="2029"/>
    <n v="4715.12"/>
    <s v="Complete Access"/>
    <x v="0"/>
    <x v="0"/>
    <x v="0"/>
    <d v="1900-01-24T00:00:00"/>
    <n v="48"/>
    <x v="3"/>
    <x v="4"/>
  </r>
  <r>
    <x v="920"/>
    <n v="2248.5500000000002"/>
    <x v="2030"/>
    <n v="5585.12"/>
    <s v="Complete Access"/>
    <x v="14"/>
    <x v="6"/>
    <x v="9"/>
    <d v="1900-01-24T00:00:00"/>
    <n v="48"/>
    <x v="3"/>
    <x v="4"/>
  </r>
  <r>
    <x v="921"/>
    <n v="-33.89"/>
    <x v="2031"/>
    <n v="3350.07"/>
    <s v="Complete Access"/>
    <x v="8"/>
    <x v="1"/>
    <x v="5"/>
    <d v="1900-01-23T00:00:00"/>
    <n v="48"/>
    <x v="3"/>
    <x v="4"/>
  </r>
  <r>
    <x v="921"/>
    <n v="-13.5"/>
    <x v="2032"/>
    <n v="3336.57"/>
    <s v="Complete Access"/>
    <x v="523"/>
    <x v="8"/>
    <x v="29"/>
    <d v="1900-01-23T00:00:00"/>
    <n v="48"/>
    <x v="3"/>
    <x v="4"/>
  </r>
  <r>
    <x v="922"/>
    <n v="-20.27"/>
    <x v="969"/>
    <n v="3383.96"/>
    <s v="Complete Access"/>
    <x v="177"/>
    <x v="1"/>
    <x v="1"/>
    <d v="1900-01-22T00:00:00"/>
    <n v="48"/>
    <x v="3"/>
    <x v="4"/>
  </r>
  <r>
    <x v="922"/>
    <n v="-41"/>
    <x v="2033"/>
    <n v="3404.23"/>
    <s v="Complete Access"/>
    <x v="34"/>
    <x v="9"/>
    <x v="12"/>
    <d v="1900-01-22T00:00:00"/>
    <n v="48"/>
    <x v="3"/>
    <x v="4"/>
  </r>
  <r>
    <x v="923"/>
    <n v="1800"/>
    <x v="2034"/>
    <n v="3445.23"/>
    <s v="Complete Access"/>
    <x v="36"/>
    <x v="0"/>
    <x v="0"/>
    <d v="1900-01-21T00:00:00"/>
    <n v="48"/>
    <x v="3"/>
    <x v="4"/>
  </r>
  <r>
    <x v="924"/>
    <n v="-19.149999999999999"/>
    <x v="2035"/>
    <n v="1645.23"/>
    <s v="Complete Access"/>
    <x v="47"/>
    <x v="1"/>
    <x v="5"/>
    <d v="1900-01-20T00:00:00"/>
    <n v="48"/>
    <x v="3"/>
    <x v="4"/>
  </r>
  <r>
    <x v="925"/>
    <n v="-89.9"/>
    <x v="2036"/>
    <n v="1672.08"/>
    <s v="Complete Access"/>
    <x v="524"/>
    <x v="3"/>
    <x v="15"/>
    <d v="1900-01-19T00:00:00"/>
    <n v="47"/>
    <x v="3"/>
    <x v="4"/>
  </r>
  <r>
    <x v="925"/>
    <n v="-7.7"/>
    <x v="2037"/>
    <n v="1664.38"/>
    <s v="Complete Access"/>
    <x v="1"/>
    <x v="1"/>
    <x v="1"/>
    <d v="1900-01-19T00:00:00"/>
    <n v="47"/>
    <x v="3"/>
    <x v="4"/>
  </r>
  <r>
    <x v="926"/>
    <n v="-57.14"/>
    <x v="2038"/>
    <n v="1761.98"/>
    <s v="Complete Access"/>
    <x v="1"/>
    <x v="1"/>
    <x v="1"/>
    <d v="1900-01-17T00:00:00"/>
    <n v="47"/>
    <x v="3"/>
    <x v="4"/>
  </r>
  <r>
    <x v="927"/>
    <n v="-21.25"/>
    <x v="96"/>
    <n v="1819.12"/>
    <s v="Complete Access"/>
    <x v="47"/>
    <x v="1"/>
    <x v="5"/>
    <d v="1900-01-16T00:00:00"/>
    <n v="47"/>
    <x v="3"/>
    <x v="4"/>
  </r>
  <r>
    <x v="928"/>
    <n v="-118"/>
    <x v="2039"/>
    <n v="1968.53"/>
    <s v="Complete Access"/>
    <x v="91"/>
    <x v="9"/>
    <x v="12"/>
    <d v="1900-01-15T00:00:00"/>
    <n v="47"/>
    <x v="3"/>
    <x v="4"/>
  </r>
  <r>
    <x v="928"/>
    <n v="-21.82"/>
    <x v="2040"/>
    <n v="2093.7800000000002"/>
    <s v="Complete Access"/>
    <x v="467"/>
    <x v="1"/>
    <x v="5"/>
    <d v="1900-01-15T00:00:00"/>
    <n v="47"/>
    <x v="3"/>
    <x v="4"/>
  </r>
  <r>
    <x v="928"/>
    <n v="-128.16"/>
    <x v="2041"/>
    <n v="1840.37"/>
    <s v="Complete Access"/>
    <x v="438"/>
    <x v="12"/>
    <x v="21"/>
    <d v="1900-01-15T00:00:00"/>
    <n v="47"/>
    <x v="3"/>
    <x v="4"/>
  </r>
  <r>
    <x v="928"/>
    <n v="-7.25"/>
    <x v="2042"/>
    <n v="2086.5300000000002"/>
    <s v="Complete Access"/>
    <x v="1"/>
    <x v="1"/>
    <x v="1"/>
    <d v="1900-01-15T00:00:00"/>
    <n v="47"/>
    <x v="3"/>
    <x v="4"/>
  </r>
  <r>
    <x v="928"/>
    <n v="-48.9"/>
    <x v="2043"/>
    <n v="2115.6"/>
    <s v="Complete Access"/>
    <x v="4"/>
    <x v="1"/>
    <x v="1"/>
    <d v="1900-01-15T00:00:00"/>
    <n v="47"/>
    <x v="3"/>
    <x v="4"/>
  </r>
  <r>
    <x v="929"/>
    <n v="-760"/>
    <x v="656"/>
    <n v="2164.5"/>
    <s v="Complete Access"/>
    <x v="13"/>
    <x v="0"/>
    <x v="0"/>
    <d v="1900-01-10T00:00:00"/>
    <n v="46"/>
    <x v="3"/>
    <x v="4"/>
  </r>
  <r>
    <x v="929"/>
    <n v="2465.41"/>
    <x v="2044"/>
    <n v="2924.5"/>
    <s v="Complete Access"/>
    <x v="14"/>
    <x v="6"/>
    <x v="9"/>
    <d v="1900-01-10T00:00:00"/>
    <n v="46"/>
    <x v="3"/>
    <x v="4"/>
  </r>
  <r>
    <x v="930"/>
    <n v="-20.399999999999999"/>
    <x v="2045"/>
    <n v="1054.03"/>
    <s v="Complete Access"/>
    <x v="525"/>
    <x v="8"/>
    <x v="29"/>
    <d v="1900-01-09T00:00:00"/>
    <n v="46"/>
    <x v="3"/>
    <x v="4"/>
  </r>
  <r>
    <x v="930"/>
    <n v="-12.9"/>
    <x v="2046"/>
    <n v="1041.1300000000001"/>
    <s v="Complete Access"/>
    <x v="47"/>
    <x v="1"/>
    <x v="5"/>
    <d v="1900-01-09T00:00:00"/>
    <n v="46"/>
    <x v="3"/>
    <x v="4"/>
  </r>
  <r>
    <x v="930"/>
    <n v="-33.81"/>
    <x v="2047"/>
    <n v="1007.32"/>
    <s v="Complete Access"/>
    <x v="237"/>
    <x v="15"/>
    <x v="34"/>
    <d v="1900-01-09T00:00:00"/>
    <n v="46"/>
    <x v="3"/>
    <x v="4"/>
  </r>
  <r>
    <x v="930"/>
    <n v="-548.23"/>
    <x v="2048"/>
    <n v="459.09"/>
    <s v="Complete Access"/>
    <x v="526"/>
    <x v="1"/>
    <x v="5"/>
    <d v="1900-01-09T00:00:00"/>
    <n v="46"/>
    <x v="3"/>
    <x v="4"/>
  </r>
  <r>
    <x v="930"/>
    <n v="-89.5"/>
    <x v="2049"/>
    <n v="1074.43"/>
    <s v="Complete Access"/>
    <x v="527"/>
    <x v="1"/>
    <x v="5"/>
    <d v="1900-01-09T00:00:00"/>
    <n v="46"/>
    <x v="3"/>
    <x v="4"/>
  </r>
  <r>
    <x v="931"/>
    <n v="-41.88"/>
    <x v="2050"/>
    <n v="1276.57"/>
    <s v="Complete Access"/>
    <x v="8"/>
    <x v="1"/>
    <x v="5"/>
    <d v="1900-01-08T00:00:00"/>
    <n v="46"/>
    <x v="3"/>
    <x v="4"/>
  </r>
  <r>
    <x v="931"/>
    <n v="-33.26"/>
    <x v="2050"/>
    <n v="1323.45"/>
    <s v="Complete Access"/>
    <x v="8"/>
    <x v="1"/>
    <x v="5"/>
    <d v="1900-01-08T00:00:00"/>
    <n v="46"/>
    <x v="3"/>
    <x v="4"/>
  </r>
  <r>
    <x v="931"/>
    <n v="-45.44"/>
    <x v="2051"/>
    <n v="1231.1300000000001"/>
    <s v="Complete Access"/>
    <x v="8"/>
    <x v="1"/>
    <x v="5"/>
    <d v="1900-01-08T00:00:00"/>
    <n v="46"/>
    <x v="3"/>
    <x v="4"/>
  </r>
  <r>
    <x v="931"/>
    <n v="-10.119999999999999"/>
    <x v="2052"/>
    <n v="1203.4000000000001"/>
    <s v="Complete Access"/>
    <x v="521"/>
    <x v="8"/>
    <x v="29"/>
    <d v="1900-01-08T00:00:00"/>
    <n v="46"/>
    <x v="3"/>
    <x v="4"/>
  </r>
  <r>
    <x v="931"/>
    <n v="-17.61"/>
    <x v="2052"/>
    <n v="1213.52"/>
    <s v="Complete Access"/>
    <x v="521"/>
    <x v="8"/>
    <x v="29"/>
    <d v="1900-01-08T00:00:00"/>
    <n v="46"/>
    <x v="3"/>
    <x v="4"/>
  </r>
  <r>
    <x v="931"/>
    <n v="-20.239999999999998"/>
    <x v="2053"/>
    <n v="1163.93"/>
    <s v="Complete Access"/>
    <x v="521"/>
    <x v="8"/>
    <x v="29"/>
    <d v="1900-01-08T00:00:00"/>
    <n v="46"/>
    <x v="3"/>
    <x v="4"/>
  </r>
  <r>
    <x v="931"/>
    <n v="-19.23"/>
    <x v="2053"/>
    <n v="1184.17"/>
    <s v="Complete Access"/>
    <x v="521"/>
    <x v="8"/>
    <x v="29"/>
    <d v="1900-01-08T00:00:00"/>
    <n v="46"/>
    <x v="3"/>
    <x v="4"/>
  </r>
  <r>
    <x v="931"/>
    <n v="-5"/>
    <x v="2054"/>
    <n v="1318.45"/>
    <s v="Complete Access"/>
    <x v="1"/>
    <x v="1"/>
    <x v="1"/>
    <d v="1900-01-08T00:00:00"/>
    <n v="46"/>
    <x v="3"/>
    <x v="4"/>
  </r>
  <r>
    <x v="932"/>
    <n v="63"/>
    <x v="2055"/>
    <n v="1293.71"/>
    <s v="Complete Access"/>
    <x v="36"/>
    <x v="0"/>
    <x v="0"/>
    <d v="1900-01-05T00:00:00"/>
    <n v="45"/>
    <x v="3"/>
    <x v="4"/>
  </r>
  <r>
    <x v="932"/>
    <n v="95"/>
    <x v="2056"/>
    <n v="1160.71"/>
    <s v="Complete Access"/>
    <x v="36"/>
    <x v="0"/>
    <x v="0"/>
    <d v="1900-01-05T00:00:00"/>
    <n v="45"/>
    <x v="3"/>
    <x v="4"/>
  </r>
  <r>
    <x v="932"/>
    <n v="63"/>
    <x v="2057"/>
    <n v="1356.71"/>
    <s v="Complete Access"/>
    <x v="36"/>
    <x v="0"/>
    <x v="0"/>
    <d v="1900-01-05T00:00:00"/>
    <n v="45"/>
    <x v="3"/>
    <x v="4"/>
  </r>
  <r>
    <x v="932"/>
    <n v="70"/>
    <x v="2058"/>
    <n v="1230.71"/>
    <s v="Complete Access"/>
    <x v="36"/>
    <x v="0"/>
    <x v="0"/>
    <d v="1900-01-05T00:00:00"/>
    <n v="45"/>
    <x v="3"/>
    <x v="4"/>
  </r>
  <r>
    <x v="933"/>
    <n v="-38.380000000000003"/>
    <x v="2059"/>
    <n v="1065.71"/>
    <s v="Complete Access"/>
    <x v="528"/>
    <x v="8"/>
    <x v="29"/>
    <d v="1900-01-02T00:00:00"/>
    <n v="45"/>
    <x v="3"/>
    <x v="4"/>
  </r>
  <r>
    <x v="933"/>
    <n v="-26.99"/>
    <x v="2060"/>
    <n v="1104.0899999999999"/>
    <s v="Complete Access"/>
    <x v="237"/>
    <x v="15"/>
    <x v="34"/>
    <d v="1900-01-02T00:00:00"/>
    <n v="45"/>
    <x v="3"/>
    <x v="4"/>
  </r>
  <r>
    <x v="934"/>
    <n v="-20"/>
    <x v="2061"/>
    <n v="1133.58"/>
    <s v="Complete Access"/>
    <x v="130"/>
    <x v="0"/>
    <x v="0"/>
    <d v="1900-01-01T00:00:00"/>
    <n v="45"/>
    <x v="3"/>
    <x v="4"/>
  </r>
  <r>
    <x v="934"/>
    <n v="-27.08"/>
    <x v="2062"/>
    <n v="1311.83"/>
    <s v="Complete Access"/>
    <x v="8"/>
    <x v="1"/>
    <x v="5"/>
    <d v="1900-01-01T00:00:00"/>
    <n v="45"/>
    <x v="3"/>
    <x v="4"/>
  </r>
  <r>
    <x v="934"/>
    <n v="-2.5"/>
    <x v="72"/>
    <n v="1131.08"/>
    <s v="Complete Access"/>
    <x v="37"/>
    <x v="0"/>
    <x v="0"/>
    <d v="1900-01-01T00:00:00"/>
    <n v="45"/>
    <x v="3"/>
    <x v="4"/>
  </r>
  <r>
    <x v="934"/>
    <n v="-74"/>
    <x v="2063"/>
    <n v="1153.58"/>
    <s v="Complete Access"/>
    <x v="35"/>
    <x v="1"/>
    <x v="23"/>
    <d v="1900-01-01T00:00:00"/>
    <n v="45"/>
    <x v="3"/>
    <x v="4"/>
  </r>
  <r>
    <x v="934"/>
    <n v="-18.989999999999998"/>
    <x v="2064"/>
    <n v="1292.8399999999999"/>
    <s v="Complete Access"/>
    <x v="190"/>
    <x v="8"/>
    <x v="29"/>
    <d v="1900-01-01T00:00:00"/>
    <n v="45"/>
    <x v="3"/>
    <x v="4"/>
  </r>
  <r>
    <x v="934"/>
    <n v="-65.260000000000005"/>
    <x v="2065"/>
    <n v="1227.58"/>
    <s v="Complete Access"/>
    <x v="1"/>
    <x v="1"/>
    <x v="1"/>
    <d v="1900-01-01T00:00:00"/>
    <n v="45"/>
    <x v="3"/>
    <x v="4"/>
  </r>
  <r>
    <x v="935"/>
    <n v="-2500"/>
    <x v="2066"/>
    <n v="1519.46"/>
    <s v="Complete Access"/>
    <x v="504"/>
    <x v="0"/>
    <x v="72"/>
    <d v="1899-12-31T00:00:00"/>
    <n v="45"/>
    <x v="3"/>
    <x v="4"/>
  </r>
  <r>
    <x v="935"/>
    <n v="-180.55"/>
    <x v="2067"/>
    <n v="1338.91"/>
    <s v="Complete Access"/>
    <x v="76"/>
    <x v="2"/>
    <x v="2"/>
    <d v="1899-12-31T00:00:00"/>
    <n v="45"/>
    <x v="3"/>
    <x v="4"/>
  </r>
  <r>
    <x v="936"/>
    <n v="-22"/>
    <x v="2068"/>
    <n v="4019.46"/>
    <s v="Complete Access"/>
    <x v="529"/>
    <x v="1"/>
    <x v="5"/>
    <d v="1900-01-30T00:00:00"/>
    <n v="45"/>
    <x v="4"/>
    <x v="4"/>
  </r>
  <r>
    <x v="936"/>
    <n v="-19"/>
    <x v="2069"/>
    <n v="4041.46"/>
    <s v="Complete Access"/>
    <x v="529"/>
    <x v="1"/>
    <x v="5"/>
    <d v="1900-01-30T00:00:00"/>
    <n v="45"/>
    <x v="4"/>
    <x v="4"/>
  </r>
  <r>
    <x v="937"/>
    <n v="-36"/>
    <x v="2070"/>
    <n v="4060.46"/>
    <s v="Complete Access"/>
    <x v="530"/>
    <x v="20"/>
    <x v="63"/>
    <d v="1900-01-29T00:00:00"/>
    <n v="44"/>
    <x v="4"/>
    <x v="4"/>
  </r>
  <r>
    <x v="938"/>
    <n v="-760"/>
    <x v="656"/>
    <n v="4096.46"/>
    <s v="Complete Access"/>
    <x v="13"/>
    <x v="0"/>
    <x v="0"/>
    <d v="1900-01-27T00:00:00"/>
    <n v="44"/>
    <x v="4"/>
    <x v="4"/>
  </r>
  <r>
    <x v="938"/>
    <n v="2213.48"/>
    <x v="2071"/>
    <n v="4856.46"/>
    <s v="Complete Access"/>
    <x v="14"/>
    <x v="6"/>
    <x v="9"/>
    <d v="1900-01-27T00:00:00"/>
    <n v="44"/>
    <x v="4"/>
    <x v="4"/>
  </r>
  <r>
    <x v="939"/>
    <n v="-19"/>
    <x v="2072"/>
    <n v="2642.98"/>
    <s v="Complete Access"/>
    <x v="531"/>
    <x v="1"/>
    <x v="5"/>
    <d v="1900-01-26T00:00:00"/>
    <n v="44"/>
    <x v="4"/>
    <x v="4"/>
  </r>
  <r>
    <x v="940"/>
    <n v="-350"/>
    <x v="2073"/>
    <n v="2661.98"/>
    <s v="Complete Access"/>
    <x v="532"/>
    <x v="17"/>
    <x v="43"/>
    <d v="1900-01-25T00:00:00"/>
    <n v="44"/>
    <x v="4"/>
    <x v="4"/>
  </r>
  <r>
    <x v="940"/>
    <n v="-22.77"/>
    <x v="2074"/>
    <n v="3043.18"/>
    <s v="Complete Access"/>
    <x v="533"/>
    <x v="1"/>
    <x v="5"/>
    <d v="1900-01-25T00:00:00"/>
    <n v="44"/>
    <x v="4"/>
    <x v="4"/>
  </r>
  <r>
    <x v="940"/>
    <n v="-31.2"/>
    <x v="2075"/>
    <n v="3011.98"/>
    <s v="Complete Access"/>
    <x v="215"/>
    <x v="1"/>
    <x v="1"/>
    <d v="1900-01-25T00:00:00"/>
    <n v="44"/>
    <x v="4"/>
    <x v="4"/>
  </r>
  <r>
    <x v="941"/>
    <n v="-89.61"/>
    <x v="1641"/>
    <n v="3065.95"/>
    <s v="Complete Access"/>
    <x v="4"/>
    <x v="1"/>
    <x v="1"/>
    <d v="1900-01-24T00:00:00"/>
    <n v="44"/>
    <x v="4"/>
    <x v="4"/>
  </r>
  <r>
    <x v="942"/>
    <n v="-29.11"/>
    <x v="2076"/>
    <n v="3201.76"/>
    <s v="Complete Access"/>
    <x v="534"/>
    <x v="8"/>
    <x v="29"/>
    <d v="1900-01-22T00:00:00"/>
    <n v="43"/>
    <x v="4"/>
    <x v="4"/>
  </r>
  <r>
    <x v="942"/>
    <n v="-39.6"/>
    <x v="2077"/>
    <n v="3162.16"/>
    <s v="Complete Access"/>
    <x v="535"/>
    <x v="1"/>
    <x v="23"/>
    <d v="1900-01-22T00:00:00"/>
    <n v="43"/>
    <x v="4"/>
    <x v="4"/>
  </r>
  <r>
    <x v="942"/>
    <n v="-6.6"/>
    <x v="2077"/>
    <n v="3155.56"/>
    <s v="Complete Access"/>
    <x v="535"/>
    <x v="1"/>
    <x v="23"/>
    <d v="1900-01-22T00:00:00"/>
    <n v="43"/>
    <x v="4"/>
    <x v="4"/>
  </r>
  <r>
    <x v="942"/>
    <n v="-35.68"/>
    <x v="2078"/>
    <n v="3230.87"/>
    <s v="Complete Access"/>
    <x v="34"/>
    <x v="9"/>
    <x v="12"/>
    <d v="1900-01-22T00:00:00"/>
    <n v="43"/>
    <x v="4"/>
    <x v="4"/>
  </r>
  <r>
    <x v="943"/>
    <n v="-55.39"/>
    <x v="2079"/>
    <n v="3286.54"/>
    <s v="Complete Access"/>
    <x v="433"/>
    <x v="7"/>
    <x v="53"/>
    <d v="1900-01-21T00:00:00"/>
    <n v="43"/>
    <x v="4"/>
    <x v="4"/>
  </r>
  <r>
    <x v="943"/>
    <n v="-19.989999999999998"/>
    <x v="2080"/>
    <n v="3266.55"/>
    <s v="Complete Access"/>
    <x v="536"/>
    <x v="1"/>
    <x v="23"/>
    <d v="1900-01-21T00:00:00"/>
    <n v="43"/>
    <x v="4"/>
    <x v="4"/>
  </r>
  <r>
    <x v="944"/>
    <n v="-243.67"/>
    <x v="2081"/>
    <n v="3341.93"/>
    <s v="Complete Access"/>
    <x v="438"/>
    <x v="12"/>
    <x v="21"/>
    <d v="1900-01-20T00:00:00"/>
    <n v="43"/>
    <x v="4"/>
    <x v="4"/>
  </r>
  <r>
    <x v="945"/>
    <n v="-51.44"/>
    <x v="405"/>
    <n v="3585.6"/>
    <s v="Complete Access"/>
    <x v="177"/>
    <x v="1"/>
    <x v="1"/>
    <d v="1900-01-19T00:00:00"/>
    <n v="43"/>
    <x v="4"/>
    <x v="4"/>
  </r>
  <r>
    <x v="946"/>
    <n v="-23.73"/>
    <x v="2082"/>
    <n v="3737.04"/>
    <s v="Complete Access"/>
    <x v="8"/>
    <x v="1"/>
    <x v="5"/>
    <d v="1900-01-18T00:00:00"/>
    <n v="43"/>
    <x v="4"/>
    <x v="4"/>
  </r>
  <r>
    <x v="946"/>
    <n v="-25.49"/>
    <x v="2082"/>
    <n v="3760.77"/>
    <s v="Complete Access"/>
    <x v="8"/>
    <x v="1"/>
    <x v="5"/>
    <d v="1900-01-18T00:00:00"/>
    <n v="43"/>
    <x v="4"/>
    <x v="4"/>
  </r>
  <r>
    <x v="946"/>
    <n v="-7.76"/>
    <x v="2083"/>
    <n v="3786.26"/>
    <s v="Complete Access"/>
    <x v="285"/>
    <x v="5"/>
    <x v="8"/>
    <d v="1900-01-18T00:00:00"/>
    <n v="43"/>
    <x v="4"/>
    <x v="4"/>
  </r>
  <r>
    <x v="946"/>
    <n v="-100"/>
    <x v="2084"/>
    <n v="3637.04"/>
    <s v="Complete Access"/>
    <x v="35"/>
    <x v="1"/>
    <x v="23"/>
    <d v="1900-01-18T00:00:00"/>
    <n v="43"/>
    <x v="4"/>
    <x v="4"/>
  </r>
  <r>
    <x v="947"/>
    <n v="250"/>
    <x v="2085"/>
    <n v="3769.02"/>
    <s v="Complete Access"/>
    <x v="36"/>
    <x v="0"/>
    <x v="0"/>
    <d v="1900-01-16T00:00:00"/>
    <n v="43"/>
    <x v="4"/>
    <x v="4"/>
  </r>
  <r>
    <x v="947"/>
    <n v="25"/>
    <x v="2086"/>
    <n v="3794.02"/>
    <s v="Complete Access"/>
    <x v="0"/>
    <x v="0"/>
    <x v="0"/>
    <d v="1900-01-16T00:00:00"/>
    <n v="43"/>
    <x v="4"/>
    <x v="4"/>
  </r>
  <r>
    <x v="948"/>
    <n v="-40"/>
    <x v="2087"/>
    <n v="3563.83"/>
    <s v="Complete Access"/>
    <x v="130"/>
    <x v="0"/>
    <x v="0"/>
    <d v="1900-01-15T00:00:00"/>
    <n v="42"/>
    <x v="4"/>
    <x v="4"/>
  </r>
  <r>
    <x v="948"/>
    <n v="-44.81"/>
    <x v="1641"/>
    <n v="3519.02"/>
    <s v="Complete Access"/>
    <x v="4"/>
    <x v="1"/>
    <x v="1"/>
    <d v="1900-01-15T00:00:00"/>
    <n v="42"/>
    <x v="4"/>
    <x v="4"/>
  </r>
  <r>
    <x v="949"/>
    <n v="-66.7"/>
    <x v="2088"/>
    <n v="3605.69"/>
    <s v="Complete Access"/>
    <x v="1"/>
    <x v="1"/>
    <x v="1"/>
    <d v="1900-01-14T00:00:00"/>
    <n v="42"/>
    <x v="4"/>
    <x v="4"/>
  </r>
  <r>
    <x v="949"/>
    <n v="-1.86"/>
    <x v="2089"/>
    <n v="3603.83"/>
    <s v="Complete Access"/>
    <x v="44"/>
    <x v="4"/>
    <x v="27"/>
    <d v="1900-01-14T00:00:00"/>
    <n v="42"/>
    <x v="4"/>
    <x v="4"/>
  </r>
  <r>
    <x v="950"/>
    <n v="-760"/>
    <x v="656"/>
    <n v="3672.39"/>
    <s v="Complete Access"/>
    <x v="13"/>
    <x v="0"/>
    <x v="0"/>
    <d v="1900-01-13T00:00:00"/>
    <n v="42"/>
    <x v="4"/>
    <x v="4"/>
  </r>
  <r>
    <x v="950"/>
    <n v="2213.48"/>
    <x v="2090"/>
    <n v="4432.3900000000003"/>
    <s v="Complete Access"/>
    <x v="14"/>
    <x v="6"/>
    <x v="9"/>
    <d v="1900-01-13T00:00:00"/>
    <n v="42"/>
    <x v="4"/>
    <x v="4"/>
  </r>
  <r>
    <x v="951"/>
    <n v="-34.799999999999997"/>
    <x v="1965"/>
    <n v="2218.91"/>
    <s v="Complete Access"/>
    <x v="304"/>
    <x v="1"/>
    <x v="5"/>
    <d v="1900-01-12T00:00:00"/>
    <n v="42"/>
    <x v="4"/>
    <x v="4"/>
  </r>
  <r>
    <x v="952"/>
    <n v="-18.34"/>
    <x v="2091"/>
    <n v="2293.73"/>
    <s v="Complete Access"/>
    <x v="8"/>
    <x v="1"/>
    <x v="5"/>
    <d v="1900-01-11T00:00:00"/>
    <n v="42"/>
    <x v="4"/>
    <x v="4"/>
  </r>
  <r>
    <x v="952"/>
    <n v="-22"/>
    <x v="2091"/>
    <n v="2312.0700000000002"/>
    <s v="Complete Access"/>
    <x v="8"/>
    <x v="1"/>
    <x v="5"/>
    <d v="1900-01-11T00:00:00"/>
    <n v="42"/>
    <x v="4"/>
    <x v="4"/>
  </r>
  <r>
    <x v="952"/>
    <n v="-40.020000000000003"/>
    <x v="2092"/>
    <n v="2253.71"/>
    <s v="Complete Access"/>
    <x v="34"/>
    <x v="9"/>
    <x v="12"/>
    <d v="1900-01-11T00:00:00"/>
    <n v="42"/>
    <x v="4"/>
    <x v="4"/>
  </r>
  <r>
    <x v="953"/>
    <n v="-18.399999999999999"/>
    <x v="96"/>
    <n v="2334.0700000000002"/>
    <s v="Complete Access"/>
    <x v="47"/>
    <x v="1"/>
    <x v="5"/>
    <d v="1900-01-10T00:00:00"/>
    <n v="42"/>
    <x v="4"/>
    <x v="4"/>
  </r>
  <r>
    <x v="954"/>
    <n v="-24.84"/>
    <x v="969"/>
    <n v="2352.4699999999998"/>
    <s v="Complete Access"/>
    <x v="177"/>
    <x v="1"/>
    <x v="1"/>
    <d v="1900-01-07T00:00:00"/>
    <n v="41"/>
    <x v="4"/>
    <x v="4"/>
  </r>
  <r>
    <x v="955"/>
    <n v="-40"/>
    <x v="2093"/>
    <n v="2377.31"/>
    <s v="Complete Access"/>
    <x v="0"/>
    <x v="0"/>
    <x v="0"/>
    <d v="1900-01-05T00:00:00"/>
    <n v="41"/>
    <x v="4"/>
    <x v="4"/>
  </r>
  <r>
    <x v="956"/>
    <n v="-42.95"/>
    <x v="2094"/>
    <n v="2421.31"/>
    <s v="Complete Access"/>
    <x v="165"/>
    <x v="8"/>
    <x v="22"/>
    <d v="1900-01-04T00:00:00"/>
    <n v="41"/>
    <x v="4"/>
    <x v="4"/>
  </r>
  <r>
    <x v="956"/>
    <n v="-4"/>
    <x v="2095"/>
    <n v="2417.31"/>
    <s v="Complete Access"/>
    <x v="0"/>
    <x v="0"/>
    <x v="0"/>
    <d v="1900-01-04T00:00:00"/>
    <n v="41"/>
    <x v="4"/>
    <x v="4"/>
  </r>
  <r>
    <x v="957"/>
    <n v="50"/>
    <x v="2096"/>
    <n v="2464.2600000000002"/>
    <s v="Complete Access"/>
    <x v="537"/>
    <x v="0"/>
    <x v="42"/>
    <d v="1900-01-03T00:00:00"/>
    <n v="41"/>
    <x v="4"/>
    <x v="4"/>
  </r>
  <r>
    <x v="957"/>
    <n v="-50"/>
    <x v="2097"/>
    <n v="2414.2600000000002"/>
    <s v="Complete Access"/>
    <x v="538"/>
    <x v="0"/>
    <x v="42"/>
    <d v="1900-01-03T00:00:00"/>
    <n v="41"/>
    <x v="4"/>
    <x v="4"/>
  </r>
  <r>
    <x v="958"/>
    <n v="-150"/>
    <x v="2098"/>
    <n v="2464.2600000000002"/>
    <s v="Complete Access"/>
    <x v="539"/>
    <x v="0"/>
    <x v="0"/>
    <d v="1900-01-02T00:00:00"/>
    <n v="41"/>
    <x v="4"/>
    <x v="4"/>
  </r>
  <r>
    <x v="959"/>
    <n v="-180.55"/>
    <x v="2099"/>
    <n v="2614.2600000000002"/>
    <s v="Complete Access"/>
    <x v="76"/>
    <x v="2"/>
    <x v="2"/>
    <d v="1899-12-31T00:00:00"/>
    <n v="40"/>
    <x v="4"/>
    <x v="4"/>
  </r>
  <r>
    <x v="960"/>
    <n v="-760"/>
    <x v="656"/>
    <n v="2265.21"/>
    <s v="Complete Access"/>
    <x v="13"/>
    <x v="0"/>
    <x v="0"/>
    <d v="1900-01-29T00:00:00"/>
    <n v="40"/>
    <x v="5"/>
    <x v="4"/>
  </r>
  <r>
    <x v="960"/>
    <n v="2213.48"/>
    <x v="745"/>
    <n v="3025.21"/>
    <s v="Complete Access"/>
    <x v="14"/>
    <x v="6"/>
    <x v="9"/>
    <d v="1900-01-29T00:00:00"/>
    <n v="40"/>
    <x v="5"/>
    <x v="4"/>
  </r>
  <r>
    <x v="960"/>
    <n v="529.6"/>
    <x v="2100"/>
    <n v="2794.81"/>
    <s v="Complete Access"/>
    <x v="67"/>
    <x v="0"/>
    <x v="0"/>
    <d v="1900-01-29T00:00:00"/>
    <n v="40"/>
    <x v="5"/>
    <x v="4"/>
  </r>
  <r>
    <x v="961"/>
    <n v="-41.17"/>
    <x v="2101"/>
    <n v="811.73"/>
    <s v="Complete Access"/>
    <x v="8"/>
    <x v="1"/>
    <x v="5"/>
    <d v="1900-01-28T00:00:00"/>
    <n v="40"/>
    <x v="5"/>
    <x v="4"/>
  </r>
  <r>
    <x v="962"/>
    <n v="-47.99"/>
    <x v="2102"/>
    <n v="852.9"/>
    <s v="Complete Access"/>
    <x v="8"/>
    <x v="1"/>
    <x v="5"/>
    <d v="1900-01-27T00:00:00"/>
    <n v="40"/>
    <x v="5"/>
    <x v="4"/>
  </r>
  <r>
    <x v="963"/>
    <n v="-250"/>
    <x v="2103"/>
    <n v="900.89"/>
    <s v="Complete Access"/>
    <x v="504"/>
    <x v="0"/>
    <x v="72"/>
    <d v="1900-01-21T00:00:00"/>
    <n v="39"/>
    <x v="5"/>
    <x v="4"/>
  </r>
  <r>
    <x v="964"/>
    <n v="-4"/>
    <x v="2104"/>
    <n v="1150.8900000000001"/>
    <s v="Complete Access"/>
    <x v="1"/>
    <x v="1"/>
    <x v="1"/>
    <d v="1900-01-20T00:00:00"/>
    <n v="39"/>
    <x v="5"/>
    <x v="4"/>
  </r>
  <r>
    <x v="965"/>
    <n v="-54.13"/>
    <x v="2105"/>
    <n v="1154.8900000000001"/>
    <s v="Complete Access"/>
    <x v="4"/>
    <x v="1"/>
    <x v="1"/>
    <d v="1900-01-18T00:00:00"/>
    <n v="39"/>
    <x v="5"/>
    <x v="4"/>
  </r>
  <r>
    <x v="966"/>
    <n v="-1000"/>
    <x v="2003"/>
    <n v="1209.02"/>
    <s v="Complete Access"/>
    <x v="0"/>
    <x v="0"/>
    <x v="0"/>
    <d v="1900-01-17T00:00:00"/>
    <n v="38"/>
    <x v="5"/>
    <x v="4"/>
  </r>
  <r>
    <x v="966"/>
    <n v="-55.39"/>
    <x v="2106"/>
    <n v="2209.02"/>
    <s v="Complete Access"/>
    <x v="433"/>
    <x v="7"/>
    <x v="53"/>
    <d v="1900-01-17T00:00:00"/>
    <n v="38"/>
    <x v="5"/>
    <x v="4"/>
  </r>
  <r>
    <x v="966"/>
    <n v="-41.16"/>
    <x v="2107"/>
    <n v="2264.41"/>
    <s v="Complete Access"/>
    <x v="1"/>
    <x v="1"/>
    <x v="1"/>
    <d v="1900-01-17T00:00:00"/>
    <n v="38"/>
    <x v="5"/>
    <x v="4"/>
  </r>
  <r>
    <x v="967"/>
    <n v="-760"/>
    <x v="656"/>
    <n v="2835.17"/>
    <s v="Complete Access"/>
    <x v="13"/>
    <x v="0"/>
    <x v="0"/>
    <d v="1900-01-15T00:00:00"/>
    <n v="38"/>
    <x v="5"/>
    <x v="4"/>
  </r>
  <r>
    <x v="967"/>
    <n v="-59"/>
    <x v="2108"/>
    <n v="3595.17"/>
    <s v="Complete Access"/>
    <x v="207"/>
    <x v="7"/>
    <x v="11"/>
    <d v="1900-01-15T00:00:00"/>
    <n v="38"/>
    <x v="5"/>
    <x v="4"/>
  </r>
  <r>
    <x v="967"/>
    <n v="2213.48"/>
    <x v="2109"/>
    <n v="3654.17"/>
    <s v="Complete Access"/>
    <x v="14"/>
    <x v="6"/>
    <x v="9"/>
    <d v="1900-01-15T00:00:00"/>
    <n v="38"/>
    <x v="5"/>
    <x v="4"/>
  </r>
  <r>
    <x v="967"/>
    <n v="-529.6"/>
    <x v="2110"/>
    <n v="2305.5700000000002"/>
    <s v="Complete Access"/>
    <x v="540"/>
    <x v="12"/>
    <x v="21"/>
    <d v="1900-01-15T00:00:00"/>
    <n v="38"/>
    <x v="5"/>
    <x v="4"/>
  </r>
  <r>
    <x v="968"/>
    <n v="-4"/>
    <x v="2111"/>
    <n v="1440.69"/>
    <s v="Complete Access"/>
    <x v="541"/>
    <x v="8"/>
    <x v="29"/>
    <d v="1900-01-14T00:00:00"/>
    <n v="38"/>
    <x v="5"/>
    <x v="4"/>
  </r>
  <r>
    <x v="969"/>
    <n v="-22.24"/>
    <x v="2112"/>
    <n v="1580.72"/>
    <s v="Complete Access"/>
    <x v="8"/>
    <x v="1"/>
    <x v="5"/>
    <d v="1900-01-13T00:00:00"/>
    <n v="38"/>
    <x v="5"/>
    <x v="4"/>
  </r>
  <r>
    <x v="969"/>
    <n v="-94"/>
    <x v="2113"/>
    <n v="1444.69"/>
    <s v="Complete Access"/>
    <x v="35"/>
    <x v="1"/>
    <x v="23"/>
    <d v="1900-01-13T00:00:00"/>
    <n v="38"/>
    <x v="5"/>
    <x v="4"/>
  </r>
  <r>
    <x v="969"/>
    <n v="-42.03"/>
    <x v="2114"/>
    <n v="1538.69"/>
    <s v="Complete Access"/>
    <x v="1"/>
    <x v="1"/>
    <x v="1"/>
    <d v="1900-01-13T00:00:00"/>
    <n v="38"/>
    <x v="5"/>
    <x v="4"/>
  </r>
  <r>
    <x v="970"/>
    <n v="-44.9"/>
    <x v="2105"/>
    <n v="1602.96"/>
    <s v="Complete Access"/>
    <x v="4"/>
    <x v="1"/>
    <x v="1"/>
    <d v="1900-01-12T00:00:00"/>
    <n v="38"/>
    <x v="5"/>
    <x v="4"/>
  </r>
  <r>
    <x v="971"/>
    <n v="-1000"/>
    <x v="2115"/>
    <n v="1647.86"/>
    <s v="Complete Access"/>
    <x v="504"/>
    <x v="0"/>
    <x v="72"/>
    <d v="1900-01-08T00:00:00"/>
    <n v="37"/>
    <x v="5"/>
    <x v="4"/>
  </r>
  <r>
    <x v="971"/>
    <n v="-45.7"/>
    <x v="2116"/>
    <n v="2647.86"/>
    <s v="Complete Access"/>
    <x v="5"/>
    <x v="3"/>
    <x v="3"/>
    <d v="1900-01-08T00:00:00"/>
    <n v="37"/>
    <x v="5"/>
    <x v="4"/>
  </r>
  <r>
    <x v="972"/>
    <n v="-20.3"/>
    <x v="2117"/>
    <n v="2715.05"/>
    <s v="Complete Access"/>
    <x v="8"/>
    <x v="1"/>
    <x v="5"/>
    <d v="1900-01-06T00:00:00"/>
    <n v="37"/>
    <x v="5"/>
    <x v="4"/>
  </r>
  <r>
    <x v="972"/>
    <n v="-32.729999999999997"/>
    <x v="2118"/>
    <n v="2735.35"/>
    <s v="Complete Access"/>
    <x v="8"/>
    <x v="1"/>
    <x v="5"/>
    <d v="1900-01-06T00:00:00"/>
    <n v="37"/>
    <x v="5"/>
    <x v="4"/>
  </r>
  <r>
    <x v="972"/>
    <n v="-21.49"/>
    <x v="2119"/>
    <n v="2693.56"/>
    <s v="Complete Access"/>
    <x v="8"/>
    <x v="1"/>
    <x v="5"/>
    <d v="1900-01-06T00:00:00"/>
    <n v="37"/>
    <x v="5"/>
    <x v="4"/>
  </r>
  <r>
    <x v="972"/>
    <n v="-100.58"/>
    <x v="2120"/>
    <n v="2768.08"/>
    <s v="Complete Access"/>
    <x v="1"/>
    <x v="1"/>
    <x v="1"/>
    <d v="1900-01-06T00:00:00"/>
    <n v="37"/>
    <x v="5"/>
    <x v="4"/>
  </r>
  <r>
    <x v="973"/>
    <n v="-43.17"/>
    <x v="2105"/>
    <n v="2868.66"/>
    <s v="Complete Access"/>
    <x v="4"/>
    <x v="1"/>
    <x v="1"/>
    <d v="1900-01-04T00:00:00"/>
    <n v="37"/>
    <x v="5"/>
    <x v="4"/>
  </r>
  <r>
    <x v="974"/>
    <n v="-112.25"/>
    <x v="2121"/>
    <n v="2911.83"/>
    <s v="Complete Access"/>
    <x v="438"/>
    <x v="12"/>
    <x v="21"/>
    <d v="1900-01-03T00:00:00"/>
    <n v="36"/>
    <x v="5"/>
    <x v="4"/>
  </r>
  <r>
    <x v="975"/>
    <n v="-760"/>
    <x v="656"/>
    <n v="3024.08"/>
    <s v="Complete Access"/>
    <x v="13"/>
    <x v="0"/>
    <x v="0"/>
    <d v="1900-01-01T00:00:00"/>
    <n v="36"/>
    <x v="5"/>
    <x v="4"/>
  </r>
  <r>
    <x v="975"/>
    <n v="2248.81"/>
    <x v="2122"/>
    <n v="3784.08"/>
    <s v="Complete Access"/>
    <x v="14"/>
    <x v="6"/>
    <x v="9"/>
    <d v="1900-01-01T00:00:00"/>
    <n v="36"/>
    <x v="5"/>
    <x v="4"/>
  </r>
  <r>
    <x v="976"/>
    <n v="-180.55"/>
    <x v="2123"/>
    <n v="1535.27"/>
    <s v="Complete Access"/>
    <x v="76"/>
    <x v="2"/>
    <x v="2"/>
    <d v="1899-12-31T00:00:00"/>
    <n v="36"/>
    <x v="5"/>
    <x v="4"/>
  </r>
  <r>
    <x v="977"/>
    <n v="-3.6"/>
    <x v="2124"/>
    <n v="1715.82"/>
    <s v="Complete Access"/>
    <x v="34"/>
    <x v="9"/>
    <x v="12"/>
    <d v="1900-01-30T00:00:00"/>
    <n v="36"/>
    <x v="6"/>
    <x v="4"/>
  </r>
  <r>
    <x v="978"/>
    <n v="-7.0000000000000007E-2"/>
    <x v="2125"/>
    <n v="1719.42"/>
    <s v="Complete Access"/>
    <x v="10"/>
    <x v="0"/>
    <x v="0"/>
    <d v="1900-01-25T00:00:00"/>
    <n v="35"/>
    <x v="6"/>
    <x v="4"/>
  </r>
  <r>
    <x v="978"/>
    <n v="-2.35"/>
    <x v="2126"/>
    <n v="1719.49"/>
    <s v="Complete Access"/>
    <x v="327"/>
    <x v="4"/>
    <x v="27"/>
    <d v="1900-01-25T00:00:00"/>
    <n v="35"/>
    <x v="6"/>
    <x v="4"/>
  </r>
  <r>
    <x v="979"/>
    <n v="-34.39"/>
    <x v="2105"/>
    <n v="1721.84"/>
    <s v="Complete Access"/>
    <x v="4"/>
    <x v="1"/>
    <x v="1"/>
    <d v="1900-01-24T00:00:00"/>
    <n v="35"/>
    <x v="6"/>
    <x v="4"/>
  </r>
  <r>
    <x v="980"/>
    <n v="-250"/>
    <x v="2127"/>
    <n v="1756.23"/>
    <s v="Complete Access"/>
    <x v="504"/>
    <x v="0"/>
    <x v="72"/>
    <d v="1900-01-23T00:00:00"/>
    <n v="35"/>
    <x v="6"/>
    <x v="4"/>
  </r>
  <r>
    <x v="980"/>
    <n v="-195.64"/>
    <x v="2128"/>
    <n v="2012.1"/>
    <s v="Complete Access"/>
    <x v="542"/>
    <x v="4"/>
    <x v="47"/>
    <d v="1900-01-23T00:00:00"/>
    <n v="35"/>
    <x v="6"/>
    <x v="4"/>
  </r>
  <r>
    <x v="980"/>
    <n v="-5.87"/>
    <x v="2125"/>
    <n v="2006.23"/>
    <s v="Complete Access"/>
    <x v="10"/>
    <x v="0"/>
    <x v="0"/>
    <d v="1900-01-23T00:00:00"/>
    <n v="35"/>
    <x v="6"/>
    <x v="4"/>
  </r>
  <r>
    <x v="981"/>
    <n v="250"/>
    <x v="2129"/>
    <n v="2207.7399999999998"/>
    <s v="Complete Access"/>
    <x v="36"/>
    <x v="0"/>
    <x v="0"/>
    <d v="1900-01-22T00:00:00"/>
    <n v="35"/>
    <x v="6"/>
    <x v="4"/>
  </r>
  <r>
    <x v="982"/>
    <n v="-500"/>
    <x v="2130"/>
    <n v="1957.74"/>
    <s v="Complete Access"/>
    <x v="504"/>
    <x v="0"/>
    <x v="72"/>
    <d v="1900-01-20T00:00:00"/>
    <n v="34"/>
    <x v="6"/>
    <x v="4"/>
  </r>
  <r>
    <x v="982"/>
    <n v="-5.99"/>
    <x v="2131"/>
    <n v="2457.7399999999998"/>
    <s v="Complete Access"/>
    <x v="177"/>
    <x v="1"/>
    <x v="1"/>
    <d v="1900-01-20T00:00:00"/>
    <n v="34"/>
    <x v="6"/>
    <x v="4"/>
  </r>
  <r>
    <x v="982"/>
    <n v="-51.03"/>
    <x v="2105"/>
    <n v="2463.73"/>
    <s v="Complete Access"/>
    <x v="4"/>
    <x v="1"/>
    <x v="1"/>
    <d v="1900-01-20T00:00:00"/>
    <n v="34"/>
    <x v="6"/>
    <x v="4"/>
  </r>
  <r>
    <x v="983"/>
    <n v="-760"/>
    <x v="656"/>
    <n v="2514.7600000000002"/>
    <s v="Complete Access"/>
    <x v="13"/>
    <x v="0"/>
    <x v="0"/>
    <d v="1900-01-18T00:00:00"/>
    <n v="34"/>
    <x v="6"/>
    <x v="4"/>
  </r>
  <r>
    <x v="983"/>
    <n v="2692.81"/>
    <x v="2132"/>
    <n v="3274.76"/>
    <s v="Complete Access"/>
    <x v="14"/>
    <x v="6"/>
    <x v="9"/>
    <d v="1900-01-18T00:00:00"/>
    <n v="34"/>
    <x v="6"/>
    <x v="4"/>
  </r>
  <r>
    <x v="984"/>
    <n v="-59"/>
    <x v="2133"/>
    <n v="637.46"/>
    <s v="Complete Access"/>
    <x v="207"/>
    <x v="7"/>
    <x v="11"/>
    <d v="1900-01-17T00:00:00"/>
    <n v="34"/>
    <x v="6"/>
    <x v="4"/>
  </r>
  <r>
    <x v="984"/>
    <n v="-55.51"/>
    <x v="2134"/>
    <n v="581.95000000000005"/>
    <s v="Complete Access"/>
    <x v="433"/>
    <x v="7"/>
    <x v="53"/>
    <d v="1900-01-17T00:00:00"/>
    <n v="34"/>
    <x v="6"/>
    <x v="4"/>
  </r>
  <r>
    <x v="985"/>
    <n v="-34.58"/>
    <x v="2131"/>
    <n v="696.46"/>
    <s v="Complete Access"/>
    <x v="177"/>
    <x v="1"/>
    <x v="1"/>
    <d v="1900-01-15T00:00:00"/>
    <n v="34"/>
    <x v="6"/>
    <x v="4"/>
  </r>
  <r>
    <x v="986"/>
    <n v="-44.83"/>
    <x v="2105"/>
    <n v="731.04"/>
    <s v="Complete Access"/>
    <x v="4"/>
    <x v="1"/>
    <x v="1"/>
    <d v="1900-01-13T00:00:00"/>
    <n v="33"/>
    <x v="6"/>
    <x v="4"/>
  </r>
  <r>
    <x v="987"/>
    <n v="-4.49"/>
    <x v="2135"/>
    <n v="775.87"/>
    <s v="Complete Access"/>
    <x v="215"/>
    <x v="1"/>
    <x v="1"/>
    <d v="1900-01-11T00:00:00"/>
    <n v="33"/>
    <x v="6"/>
    <x v="4"/>
  </r>
  <r>
    <x v="987"/>
    <n v="-3.99"/>
    <x v="2136"/>
    <n v="780.36"/>
    <s v="Complete Access"/>
    <x v="543"/>
    <x v="3"/>
    <x v="15"/>
    <d v="1900-01-11T00:00:00"/>
    <n v="33"/>
    <x v="6"/>
    <x v="4"/>
  </r>
  <r>
    <x v="987"/>
    <n v="-1"/>
    <x v="2137"/>
    <n v="784.35"/>
    <s v="Complete Access"/>
    <x v="98"/>
    <x v="9"/>
    <x v="32"/>
    <d v="1900-01-11T00:00:00"/>
    <n v="33"/>
    <x v="6"/>
    <x v="4"/>
  </r>
  <r>
    <x v="988"/>
    <n v="-21"/>
    <x v="2138"/>
    <n v="785.35"/>
    <s v="Complete Access"/>
    <x v="35"/>
    <x v="1"/>
    <x v="23"/>
    <d v="1900-01-10T00:00:00"/>
    <n v="33"/>
    <x v="6"/>
    <x v="4"/>
  </r>
  <r>
    <x v="988"/>
    <n v="-72"/>
    <x v="2138"/>
    <n v="806.35"/>
    <s v="Complete Access"/>
    <x v="35"/>
    <x v="1"/>
    <x v="23"/>
    <d v="1900-01-10T00:00:00"/>
    <n v="33"/>
    <x v="6"/>
    <x v="4"/>
  </r>
  <r>
    <x v="988"/>
    <n v="-57.87"/>
    <x v="2139"/>
    <n v="878.35"/>
    <s v="Complete Access"/>
    <x v="1"/>
    <x v="1"/>
    <x v="1"/>
    <d v="1900-01-10T00:00:00"/>
    <n v="33"/>
    <x v="6"/>
    <x v="4"/>
  </r>
  <r>
    <x v="989"/>
    <n v="-1200"/>
    <x v="2140"/>
    <n v="1452.81"/>
    <s v="Complete Access"/>
    <x v="504"/>
    <x v="0"/>
    <x v="72"/>
    <d v="1900-01-09T00:00:00"/>
    <n v="33"/>
    <x v="6"/>
    <x v="4"/>
  </r>
  <r>
    <x v="989"/>
    <n v="-400"/>
    <x v="2141"/>
    <n v="1052.81"/>
    <s v="Complete Access"/>
    <x v="504"/>
    <x v="0"/>
    <x v="72"/>
    <d v="1900-01-09T00:00:00"/>
    <n v="33"/>
    <x v="6"/>
    <x v="4"/>
  </r>
  <r>
    <x v="989"/>
    <n v="-99.79"/>
    <x v="2142"/>
    <n v="953.02"/>
    <s v="Complete Access"/>
    <x v="544"/>
    <x v="3"/>
    <x v="60"/>
    <d v="1900-01-09T00:00:00"/>
    <n v="33"/>
    <x v="6"/>
    <x v="4"/>
  </r>
  <r>
    <x v="989"/>
    <n v="-16.8"/>
    <x v="96"/>
    <n v="936.22"/>
    <s v="Complete Access"/>
    <x v="47"/>
    <x v="1"/>
    <x v="5"/>
    <d v="1900-01-09T00:00:00"/>
    <n v="33"/>
    <x v="6"/>
    <x v="4"/>
  </r>
  <r>
    <x v="990"/>
    <n v="-64.78"/>
    <x v="2105"/>
    <n v="2652.81"/>
    <s v="Complete Access"/>
    <x v="4"/>
    <x v="1"/>
    <x v="1"/>
    <d v="1900-01-08T00:00:00"/>
    <n v="33"/>
    <x v="6"/>
    <x v="4"/>
  </r>
  <r>
    <x v="991"/>
    <n v="-760"/>
    <x v="656"/>
    <n v="2741.99"/>
    <s v="Complete Access"/>
    <x v="13"/>
    <x v="0"/>
    <x v="0"/>
    <d v="1900-01-04T00:00:00"/>
    <n v="32"/>
    <x v="6"/>
    <x v="4"/>
  </r>
  <r>
    <x v="991"/>
    <n v="-86.6"/>
    <x v="2143"/>
    <n v="3501.99"/>
    <s v="Complete Access"/>
    <x v="438"/>
    <x v="12"/>
    <x v="21"/>
    <d v="1900-01-04T00:00:00"/>
    <n v="32"/>
    <x v="6"/>
    <x v="4"/>
  </r>
  <r>
    <x v="991"/>
    <n v="2260.63"/>
    <x v="2144"/>
    <n v="3588.59"/>
    <s v="Complete Access"/>
    <x v="14"/>
    <x v="6"/>
    <x v="9"/>
    <d v="1900-01-04T00:00:00"/>
    <n v="32"/>
    <x v="6"/>
    <x v="4"/>
  </r>
  <r>
    <x v="991"/>
    <n v="-24.4"/>
    <x v="1965"/>
    <n v="2717.59"/>
    <s v="Complete Access"/>
    <x v="304"/>
    <x v="1"/>
    <x v="5"/>
    <d v="1900-01-04T00:00:00"/>
    <n v="32"/>
    <x v="6"/>
    <x v="4"/>
  </r>
  <r>
    <x v="992"/>
    <n v="-239"/>
    <x v="2145"/>
    <n v="1327.96"/>
    <s v="Complete Access"/>
    <x v="545"/>
    <x v="4"/>
    <x v="30"/>
    <d v="1900-01-03T00:00:00"/>
    <n v="32"/>
    <x v="6"/>
    <x v="4"/>
  </r>
  <r>
    <x v="992"/>
    <n v="-12.99"/>
    <x v="2146"/>
    <n v="1566.96"/>
    <s v="Complete Access"/>
    <x v="222"/>
    <x v="11"/>
    <x v="14"/>
    <d v="1900-01-03T00:00:00"/>
    <n v="32"/>
    <x v="6"/>
    <x v="4"/>
  </r>
  <r>
    <x v="993"/>
    <n v="-10.15"/>
    <x v="2147"/>
    <n v="1656.81"/>
    <s v="Complete Access"/>
    <x v="546"/>
    <x v="3"/>
    <x v="60"/>
    <d v="1900-01-02T00:00:00"/>
    <n v="32"/>
    <x v="6"/>
    <x v="4"/>
  </r>
  <r>
    <x v="993"/>
    <n v="-34.590000000000003"/>
    <x v="2135"/>
    <n v="1579.95"/>
    <s v="Complete Access"/>
    <x v="215"/>
    <x v="1"/>
    <x v="1"/>
    <d v="1900-01-02T00:00:00"/>
    <n v="32"/>
    <x v="6"/>
    <x v="4"/>
  </r>
  <r>
    <x v="993"/>
    <n v="-42.27"/>
    <x v="2148"/>
    <n v="1614.54"/>
    <s v="Complete Access"/>
    <x v="1"/>
    <x v="1"/>
    <x v="1"/>
    <d v="1900-01-02T00:00:00"/>
    <n v="32"/>
    <x v="6"/>
    <x v="4"/>
  </r>
  <r>
    <x v="994"/>
    <n v="-179.45"/>
    <x v="2149"/>
    <n v="1666.96"/>
    <s v="Complete Access"/>
    <x v="76"/>
    <x v="2"/>
    <x v="2"/>
    <d v="1900-01-01T00:00:00"/>
    <n v="32"/>
    <x v="6"/>
    <x v="4"/>
  </r>
  <r>
    <x v="995"/>
    <n v="-25"/>
    <x v="2150"/>
    <n v="1567.51"/>
    <s v="Complete Access"/>
    <x v="0"/>
    <x v="0"/>
    <x v="0"/>
    <d v="1900-01-29T00:00:00"/>
    <n v="31"/>
    <x v="7"/>
    <x v="4"/>
  </r>
  <r>
    <x v="995"/>
    <n v="28.9"/>
    <x v="2151"/>
    <n v="1846.41"/>
    <s v="Complete Access"/>
    <x v="36"/>
    <x v="0"/>
    <x v="0"/>
    <d v="1900-01-29T00:00:00"/>
    <n v="31"/>
    <x v="7"/>
    <x v="4"/>
  </r>
  <r>
    <x v="995"/>
    <n v="250"/>
    <x v="2152"/>
    <n v="1817.51"/>
    <s v="Complete Access"/>
    <x v="36"/>
    <x v="0"/>
    <x v="0"/>
    <d v="1900-01-29T00:00:00"/>
    <n v="31"/>
    <x v="7"/>
    <x v="4"/>
  </r>
  <r>
    <x v="996"/>
    <n v="-3.8"/>
    <x v="2153"/>
    <n v="1592.51"/>
    <s v="Complete Access"/>
    <x v="547"/>
    <x v="20"/>
    <x v="63"/>
    <d v="1900-01-27T00:00:00"/>
    <n v="31"/>
    <x v="7"/>
    <x v="4"/>
  </r>
  <r>
    <x v="997"/>
    <n v="-30.46"/>
    <x v="2154"/>
    <n v="1599.41"/>
    <s v="Complete Access"/>
    <x v="1"/>
    <x v="1"/>
    <x v="1"/>
    <d v="1900-01-26T00:00:00"/>
    <n v="31"/>
    <x v="7"/>
    <x v="4"/>
  </r>
  <r>
    <x v="997"/>
    <n v="-3.1"/>
    <x v="2155"/>
    <n v="1596.31"/>
    <s v="Complete Access"/>
    <x v="21"/>
    <x v="10"/>
    <x v="13"/>
    <d v="1900-01-26T00:00:00"/>
    <n v="31"/>
    <x v="7"/>
    <x v="4"/>
  </r>
  <r>
    <x v="998"/>
    <n v="-50.67"/>
    <x v="2105"/>
    <n v="1629.87"/>
    <s v="Complete Access"/>
    <x v="4"/>
    <x v="1"/>
    <x v="1"/>
    <d v="1900-01-23T00:00:00"/>
    <n v="30"/>
    <x v="7"/>
    <x v="4"/>
  </r>
  <r>
    <x v="999"/>
    <n v="-760"/>
    <x v="656"/>
    <n v="1680.54"/>
    <s v="Complete Access"/>
    <x v="13"/>
    <x v="0"/>
    <x v="0"/>
    <d v="1900-01-21T00:00:00"/>
    <n v="30"/>
    <x v="7"/>
    <x v="4"/>
  </r>
  <r>
    <x v="999"/>
    <n v="2326.5300000000002"/>
    <x v="2156"/>
    <n v="2473.0700000000002"/>
    <s v="Complete Access"/>
    <x v="14"/>
    <x v="6"/>
    <x v="9"/>
    <d v="1900-01-21T00:00:00"/>
    <n v="30"/>
    <x v="7"/>
    <x v="4"/>
  </r>
  <r>
    <x v="999"/>
    <n v="-32.53"/>
    <x v="2157"/>
    <n v="2440.54"/>
    <s v="Complete Access"/>
    <x v="34"/>
    <x v="9"/>
    <x v="12"/>
    <d v="1900-01-21T00:00:00"/>
    <n v="30"/>
    <x v="7"/>
    <x v="4"/>
  </r>
  <r>
    <x v="1000"/>
    <n v="-66.989999999999995"/>
    <x v="2158"/>
    <n v="205.1"/>
    <s v="Complete Access"/>
    <x v="8"/>
    <x v="1"/>
    <x v="5"/>
    <d v="1900-01-19T00:00:00"/>
    <n v="30"/>
    <x v="7"/>
    <x v="4"/>
  </r>
  <r>
    <x v="1000"/>
    <n v="-73.400000000000006"/>
    <x v="2159"/>
    <n v="272.08999999999997"/>
    <s v="Complete Access"/>
    <x v="433"/>
    <x v="7"/>
    <x v="53"/>
    <d v="1900-01-19T00:00:00"/>
    <n v="30"/>
    <x v="7"/>
    <x v="4"/>
  </r>
  <r>
    <x v="1000"/>
    <n v="-58.56"/>
    <x v="2105"/>
    <n v="146.54"/>
    <s v="Complete Access"/>
    <x v="4"/>
    <x v="1"/>
    <x v="1"/>
    <d v="1900-01-19T00:00:00"/>
    <n v="30"/>
    <x v="7"/>
    <x v="4"/>
  </r>
  <r>
    <x v="1001"/>
    <n v="-60"/>
    <x v="2160"/>
    <n v="347.99"/>
    <s v="Complete Access"/>
    <x v="130"/>
    <x v="0"/>
    <x v="0"/>
    <d v="1900-01-18T00:00:00"/>
    <n v="30"/>
    <x v="7"/>
    <x v="4"/>
  </r>
  <r>
    <x v="1001"/>
    <n v="-2.5"/>
    <x v="72"/>
    <n v="345.49"/>
    <s v="Complete Access"/>
    <x v="37"/>
    <x v="0"/>
    <x v="0"/>
    <d v="1900-01-18T00:00:00"/>
    <n v="30"/>
    <x v="7"/>
    <x v="4"/>
  </r>
  <r>
    <x v="1002"/>
    <n v="-21.25"/>
    <x v="2135"/>
    <n v="407.99"/>
    <s v="Complete Access"/>
    <x v="215"/>
    <x v="1"/>
    <x v="1"/>
    <d v="1900-01-17T00:00:00"/>
    <n v="30"/>
    <x v="7"/>
    <x v="4"/>
  </r>
  <r>
    <x v="1003"/>
    <n v="-59"/>
    <x v="2161"/>
    <n v="429.24"/>
    <s v="Complete Access"/>
    <x v="207"/>
    <x v="7"/>
    <x v="11"/>
    <d v="1900-01-16T00:00:00"/>
    <n v="29"/>
    <x v="7"/>
    <x v="4"/>
  </r>
  <r>
    <x v="1004"/>
    <n v="-15.99"/>
    <x v="2162"/>
    <n v="488.24"/>
    <s v="Complete Access"/>
    <x v="548"/>
    <x v="4"/>
    <x v="20"/>
    <d v="1900-01-15T00:00:00"/>
    <n v="29"/>
    <x v="7"/>
    <x v="4"/>
  </r>
  <r>
    <x v="1005"/>
    <n v="-14.47"/>
    <x v="2135"/>
    <n v="504.23"/>
    <s v="Complete Access"/>
    <x v="215"/>
    <x v="1"/>
    <x v="1"/>
    <d v="1900-01-14T00:00:00"/>
    <n v="29"/>
    <x v="7"/>
    <x v="4"/>
  </r>
  <r>
    <x v="1006"/>
    <n v="-7.65"/>
    <x v="2163"/>
    <n v="518.70000000000005"/>
    <s v="Complete Access"/>
    <x v="1"/>
    <x v="1"/>
    <x v="1"/>
    <d v="1900-01-13T00:00:00"/>
    <n v="29"/>
    <x v="7"/>
    <x v="4"/>
  </r>
  <r>
    <x v="1007"/>
    <n v="-42.24"/>
    <x v="2164"/>
    <n v="1135.3"/>
    <s v="Complete Access"/>
    <x v="8"/>
    <x v="1"/>
    <x v="5"/>
    <d v="1900-01-12T00:00:00"/>
    <n v="29"/>
    <x v="7"/>
    <x v="4"/>
  </r>
  <r>
    <x v="1007"/>
    <n v="-576.96"/>
    <x v="2165"/>
    <n v="526.35"/>
    <s v="Complete Access"/>
    <x v="549"/>
    <x v="4"/>
    <x v="20"/>
    <d v="1900-01-12T00:00:00"/>
    <n v="29"/>
    <x v="7"/>
    <x v="4"/>
  </r>
  <r>
    <x v="1007"/>
    <n v="-31.99"/>
    <x v="2166"/>
    <n v="1103.31"/>
    <s v="Complete Access"/>
    <x v="34"/>
    <x v="9"/>
    <x v="12"/>
    <d v="1900-01-12T00:00:00"/>
    <n v="29"/>
    <x v="7"/>
    <x v="4"/>
  </r>
  <r>
    <x v="1008"/>
    <n v="-61.85"/>
    <x v="2167"/>
    <n v="1177.54"/>
    <s v="Complete Access"/>
    <x v="438"/>
    <x v="12"/>
    <x v="21"/>
    <d v="1900-01-11T00:00:00"/>
    <n v="29"/>
    <x v="7"/>
    <x v="4"/>
  </r>
  <r>
    <x v="1008"/>
    <n v="-94.28"/>
    <x v="2105"/>
    <n v="1239.3900000000001"/>
    <s v="Complete Access"/>
    <x v="4"/>
    <x v="1"/>
    <x v="1"/>
    <d v="1900-01-11T00:00:00"/>
    <n v="29"/>
    <x v="7"/>
    <x v="4"/>
  </r>
  <r>
    <x v="1009"/>
    <n v="-17"/>
    <x v="1428"/>
    <n v="1333.67"/>
    <s v="Complete Access"/>
    <x v="0"/>
    <x v="0"/>
    <x v="0"/>
    <d v="1900-01-10T00:00:00"/>
    <n v="29"/>
    <x v="7"/>
    <x v="4"/>
  </r>
  <r>
    <x v="1010"/>
    <n v="-21.4"/>
    <x v="96"/>
    <n v="1350.67"/>
    <s v="Complete Access"/>
    <x v="47"/>
    <x v="1"/>
    <x v="5"/>
    <d v="1900-01-08T00:00:00"/>
    <n v="28"/>
    <x v="7"/>
    <x v="4"/>
  </r>
  <r>
    <x v="1011"/>
    <n v="2163.73"/>
    <x v="2168"/>
    <n v="2382.0700000000002"/>
    <s v="Complete Access"/>
    <x v="14"/>
    <x v="6"/>
    <x v="9"/>
    <d v="1900-01-07T00:00:00"/>
    <n v="28"/>
    <x v="7"/>
    <x v="4"/>
  </r>
  <r>
    <x v="1012"/>
    <n v="326.43"/>
    <x v="2169"/>
    <n v="791.77"/>
    <s v="Complete Access"/>
    <x v="95"/>
    <x v="14"/>
    <x v="38"/>
    <d v="1900-01-06T00:00:00"/>
    <n v="28"/>
    <x v="7"/>
    <x v="4"/>
  </r>
  <r>
    <x v="1012"/>
    <n v="-573.42999999999995"/>
    <x v="2170"/>
    <n v="218.34"/>
    <s v="Complete Access"/>
    <x v="93"/>
    <x v="9"/>
    <x v="36"/>
    <d v="1900-01-06T00:00:00"/>
    <n v="28"/>
    <x v="7"/>
    <x v="4"/>
  </r>
  <r>
    <x v="1013"/>
    <n v="25.67"/>
    <x v="2171"/>
    <n v="1118.2"/>
    <s v="Complete Access"/>
    <x v="8"/>
    <x v="1"/>
    <x v="5"/>
    <d v="1900-01-05T00:00:00"/>
    <n v="28"/>
    <x v="7"/>
    <x v="4"/>
  </r>
  <r>
    <x v="1013"/>
    <n v="33.19"/>
    <x v="2172"/>
    <n v="1143.8699999999999"/>
    <s v="Complete Access"/>
    <x v="550"/>
    <x v="4"/>
    <x v="25"/>
    <d v="1900-01-05T00:00:00"/>
    <n v="28"/>
    <x v="7"/>
    <x v="4"/>
  </r>
  <r>
    <x v="1014"/>
    <n v="-6.19"/>
    <x v="2173"/>
    <n v="1177.06"/>
    <s v="Complete Access"/>
    <x v="215"/>
    <x v="1"/>
    <x v="1"/>
    <d v="1900-01-04T00:00:00"/>
    <n v="28"/>
    <x v="7"/>
    <x v="4"/>
  </r>
  <r>
    <x v="1015"/>
    <n v="30"/>
    <x v="2174"/>
    <n v="1183.25"/>
    <s v="Complete Access"/>
    <x v="36"/>
    <x v="0"/>
    <x v="0"/>
    <d v="1900-01-03T00:00:00"/>
    <n v="28"/>
    <x v="7"/>
    <x v="4"/>
  </r>
  <r>
    <x v="1015"/>
    <n v="-15.98"/>
    <x v="2175"/>
    <n v="1153.25"/>
    <s v="Complete Access"/>
    <x v="215"/>
    <x v="1"/>
    <x v="1"/>
    <d v="1900-01-03T00:00:00"/>
    <n v="28"/>
    <x v="7"/>
    <x v="4"/>
  </r>
  <r>
    <x v="1016"/>
    <n v="-31.22"/>
    <x v="2176"/>
    <n v="1169.23"/>
    <s v="Complete Access"/>
    <x v="551"/>
    <x v="1"/>
    <x v="5"/>
    <d v="1900-01-01T00:00:00"/>
    <n v="27"/>
    <x v="7"/>
    <x v="4"/>
  </r>
  <r>
    <x v="1017"/>
    <n v="-33.270000000000003"/>
    <x v="2177"/>
    <n v="1391.4"/>
    <s v="Complete Access"/>
    <x v="8"/>
    <x v="1"/>
    <x v="5"/>
    <d v="1899-12-31T00:00:00"/>
    <n v="27"/>
    <x v="7"/>
    <x v="4"/>
  </r>
  <r>
    <x v="1017"/>
    <n v="-179.45"/>
    <x v="2178"/>
    <n v="1200.45"/>
    <s v="Complete Access"/>
    <x v="76"/>
    <x v="2"/>
    <x v="2"/>
    <d v="1899-12-31T00:00:00"/>
    <n v="27"/>
    <x v="7"/>
    <x v="4"/>
  </r>
  <r>
    <x v="1017"/>
    <n v="-11.5"/>
    <x v="2179"/>
    <n v="1379.9"/>
    <s v="Complete Access"/>
    <x v="34"/>
    <x v="9"/>
    <x v="12"/>
    <d v="1899-12-31T00:00:00"/>
    <n v="27"/>
    <x v="7"/>
    <x v="4"/>
  </r>
  <r>
    <x v="1018"/>
    <n v="1000"/>
    <x v="2180"/>
    <n v="1424.67"/>
    <s v="Complete Access"/>
    <x v="36"/>
    <x v="0"/>
    <x v="0"/>
    <d v="1900-01-29T00:00:00"/>
    <n v="27"/>
    <x v="8"/>
    <x v="4"/>
  </r>
  <r>
    <x v="1019"/>
    <n v="-351.85"/>
    <x v="2181"/>
    <n v="424.67"/>
    <s v="Complete Access"/>
    <x v="13"/>
    <x v="0"/>
    <x v="0"/>
    <d v="1900-01-26T00:00:00"/>
    <n v="27"/>
    <x v="8"/>
    <x v="4"/>
  </r>
  <r>
    <x v="1019"/>
    <n v="-44.26"/>
    <x v="2135"/>
    <n v="476.52"/>
    <s v="Complete Access"/>
    <x v="215"/>
    <x v="1"/>
    <x v="1"/>
    <d v="1900-01-26T00:00:00"/>
    <n v="27"/>
    <x v="8"/>
    <x v="4"/>
  </r>
  <r>
    <x v="1019"/>
    <n v="300"/>
    <x v="2182"/>
    <n v="776.52"/>
    <s v="Complete Access"/>
    <x v="36"/>
    <x v="0"/>
    <x v="0"/>
    <d v="1900-01-26T00:00:00"/>
    <n v="27"/>
    <x v="8"/>
    <x v="4"/>
  </r>
  <r>
    <x v="1020"/>
    <n v="-600"/>
    <x v="2087"/>
    <n v="520.78"/>
    <s v="Complete Access"/>
    <x v="130"/>
    <x v="0"/>
    <x v="0"/>
    <d v="1900-01-25T00:00:00"/>
    <n v="26"/>
    <x v="8"/>
    <x v="4"/>
  </r>
  <r>
    <x v="1021"/>
    <n v="-380"/>
    <x v="2183"/>
    <n v="1120.78"/>
    <s v="Complete Access"/>
    <x v="0"/>
    <x v="0"/>
    <x v="0"/>
    <d v="1900-01-24T00:00:00"/>
    <n v="26"/>
    <x v="8"/>
    <x v="4"/>
  </r>
  <r>
    <x v="1022"/>
    <n v="-760"/>
    <x v="656"/>
    <n v="1500.78"/>
    <s v="Complete Access"/>
    <x v="13"/>
    <x v="0"/>
    <x v="0"/>
    <d v="1900-01-23T00:00:00"/>
    <n v="26"/>
    <x v="8"/>
    <x v="4"/>
  </r>
  <r>
    <x v="1022"/>
    <n v="2163.7399999999998"/>
    <x v="2184"/>
    <n v="2260.7800000000002"/>
    <s v="Complete Access"/>
    <x v="14"/>
    <x v="6"/>
    <x v="9"/>
    <d v="1900-01-23T00:00:00"/>
    <n v="26"/>
    <x v="8"/>
    <x v="4"/>
  </r>
  <r>
    <x v="1023"/>
    <n v="-15.29"/>
    <x v="2185"/>
    <n v="97.04"/>
    <s v="Complete Access"/>
    <x v="8"/>
    <x v="1"/>
    <x v="5"/>
    <d v="1900-01-22T00:00:00"/>
    <n v="26"/>
    <x v="8"/>
    <x v="4"/>
  </r>
  <r>
    <x v="1024"/>
    <n v="-38.979999999999997"/>
    <x v="2186"/>
    <n v="211.59"/>
    <s v="Complete Access"/>
    <x v="8"/>
    <x v="1"/>
    <x v="5"/>
    <d v="1900-01-21T00:00:00"/>
    <n v="26"/>
    <x v="8"/>
    <x v="4"/>
  </r>
  <r>
    <x v="1024"/>
    <n v="-36.869999999999997"/>
    <x v="2187"/>
    <n v="174.72"/>
    <s v="Complete Access"/>
    <x v="8"/>
    <x v="1"/>
    <x v="5"/>
    <d v="1900-01-21T00:00:00"/>
    <n v="26"/>
    <x v="8"/>
    <x v="4"/>
  </r>
  <r>
    <x v="1024"/>
    <n v="-62.39"/>
    <x v="2188"/>
    <n v="112.33"/>
    <s v="Complete Access"/>
    <x v="8"/>
    <x v="1"/>
    <x v="5"/>
    <d v="1900-01-21T00:00:00"/>
    <n v="26"/>
    <x v="8"/>
    <x v="4"/>
  </r>
  <r>
    <x v="1025"/>
    <n v="-59.78"/>
    <x v="2105"/>
    <n v="250.57"/>
    <s v="Complete Access"/>
    <x v="4"/>
    <x v="1"/>
    <x v="1"/>
    <d v="1900-01-20T00:00:00"/>
    <n v="26"/>
    <x v="8"/>
    <x v="4"/>
  </r>
  <r>
    <x v="1026"/>
    <n v="-100"/>
    <x v="2189"/>
    <n v="340.35"/>
    <s v="Complete Access"/>
    <x v="552"/>
    <x v="0"/>
    <x v="74"/>
    <d v="1900-01-18T00:00:00"/>
    <n v="25"/>
    <x v="8"/>
    <x v="4"/>
  </r>
  <r>
    <x v="1026"/>
    <n v="-8.9"/>
    <x v="2190"/>
    <n v="440.35"/>
    <s v="Complete Access"/>
    <x v="277"/>
    <x v="8"/>
    <x v="29"/>
    <d v="1900-01-18T00:00:00"/>
    <n v="25"/>
    <x v="8"/>
    <x v="4"/>
  </r>
  <r>
    <x v="1026"/>
    <n v="-30"/>
    <x v="2191"/>
    <n v="310.35000000000002"/>
    <s v="Complete Access"/>
    <x v="374"/>
    <x v="8"/>
    <x v="29"/>
    <d v="1900-01-18T00:00:00"/>
    <n v="25"/>
    <x v="8"/>
    <x v="4"/>
  </r>
  <r>
    <x v="1027"/>
    <n v="-315"/>
    <x v="69"/>
    <n v="449.25"/>
    <s v="Complete Access"/>
    <x v="0"/>
    <x v="0"/>
    <x v="0"/>
    <d v="1900-01-17T00:00:00"/>
    <n v="25"/>
    <x v="8"/>
    <x v="4"/>
  </r>
  <r>
    <x v="1027"/>
    <n v="-578"/>
    <x v="2192"/>
    <n v="749.75"/>
    <s v="Complete Access"/>
    <x v="216"/>
    <x v="9"/>
    <x v="36"/>
    <d v="1900-01-17T00:00:00"/>
    <n v="25"/>
    <x v="8"/>
    <x v="4"/>
  </r>
  <r>
    <x v="1027"/>
    <n v="-26.18"/>
    <x v="2193"/>
    <n v="1327.75"/>
    <s v="Complete Access"/>
    <x v="8"/>
    <x v="1"/>
    <x v="5"/>
    <d v="1900-01-17T00:00:00"/>
    <n v="25"/>
    <x v="8"/>
    <x v="4"/>
  </r>
  <r>
    <x v="1027"/>
    <n v="14.5"/>
    <x v="2194"/>
    <n v="764.25"/>
    <s v="Complete Access"/>
    <x v="36"/>
    <x v="0"/>
    <x v="0"/>
    <d v="1900-01-17T00:00:00"/>
    <n v="25"/>
    <x v="8"/>
    <x v="4"/>
  </r>
  <r>
    <x v="1027"/>
    <n v="-59"/>
    <x v="2195"/>
    <n v="1376.42"/>
    <s v="Complete Access"/>
    <x v="207"/>
    <x v="7"/>
    <x v="11"/>
    <d v="1900-01-17T00:00:00"/>
    <n v="25"/>
    <x v="8"/>
    <x v="4"/>
  </r>
  <r>
    <x v="1027"/>
    <n v="-22.49"/>
    <x v="2196"/>
    <n v="1353.93"/>
    <s v="Complete Access"/>
    <x v="343"/>
    <x v="1"/>
    <x v="5"/>
    <d v="1900-01-17T00:00:00"/>
    <n v="25"/>
    <x v="8"/>
    <x v="4"/>
  </r>
  <r>
    <x v="1028"/>
    <n v="-23.99"/>
    <x v="2197"/>
    <n v="1368.23"/>
    <s v="Complete Access"/>
    <x v="8"/>
    <x v="1"/>
    <x v="5"/>
    <d v="1900-01-16T00:00:00"/>
    <n v="25"/>
    <x v="8"/>
    <x v="4"/>
  </r>
  <r>
    <x v="1028"/>
    <n v="67.19"/>
    <x v="2198"/>
    <n v="1435.42"/>
    <s v="Complete Access"/>
    <x v="36"/>
    <x v="0"/>
    <x v="0"/>
    <d v="1900-01-16T00:00:00"/>
    <n v="25"/>
    <x v="8"/>
    <x v="4"/>
  </r>
  <r>
    <x v="1029"/>
    <n v="-29.58"/>
    <x v="2199"/>
    <n v="1423.83"/>
    <s v="Complete Access"/>
    <x v="8"/>
    <x v="1"/>
    <x v="5"/>
    <d v="1900-01-15T00:00:00"/>
    <n v="25"/>
    <x v="8"/>
    <x v="4"/>
  </r>
  <r>
    <x v="1029"/>
    <n v="-21.61"/>
    <x v="2200"/>
    <n v="1402.22"/>
    <s v="Complete Access"/>
    <x v="8"/>
    <x v="1"/>
    <x v="5"/>
    <d v="1900-01-15T00:00:00"/>
    <n v="25"/>
    <x v="8"/>
    <x v="4"/>
  </r>
  <r>
    <x v="1029"/>
    <n v="-10"/>
    <x v="2201"/>
    <n v="1392.22"/>
    <s v="Complete Access"/>
    <x v="34"/>
    <x v="9"/>
    <x v="12"/>
    <d v="1900-01-15T00:00:00"/>
    <n v="25"/>
    <x v="8"/>
    <x v="4"/>
  </r>
  <r>
    <x v="1030"/>
    <n v="-58.25"/>
    <x v="2202"/>
    <n v="1569.49"/>
    <s v="Complete Access"/>
    <x v="61"/>
    <x v="1"/>
    <x v="1"/>
    <d v="1900-01-14T00:00:00"/>
    <n v="25"/>
    <x v="8"/>
    <x v="4"/>
  </r>
  <r>
    <x v="1030"/>
    <n v="-60.1"/>
    <x v="2203"/>
    <n v="1509.39"/>
    <s v="Complete Access"/>
    <x v="553"/>
    <x v="1"/>
    <x v="5"/>
    <d v="1900-01-14T00:00:00"/>
    <n v="25"/>
    <x v="8"/>
    <x v="4"/>
  </r>
  <r>
    <x v="1030"/>
    <n v="-31.79"/>
    <x v="2204"/>
    <n v="1627.74"/>
    <s v="Complete Access"/>
    <x v="8"/>
    <x v="1"/>
    <x v="5"/>
    <d v="1900-01-14T00:00:00"/>
    <n v="25"/>
    <x v="8"/>
    <x v="4"/>
  </r>
  <r>
    <x v="1030"/>
    <n v="-20.68"/>
    <x v="2205"/>
    <n v="1453.41"/>
    <s v="Complete Access"/>
    <x v="8"/>
    <x v="1"/>
    <x v="5"/>
    <d v="1900-01-14T00:00:00"/>
    <n v="25"/>
    <x v="8"/>
    <x v="4"/>
  </r>
  <r>
    <x v="1030"/>
    <n v="-35.299999999999997"/>
    <x v="2206"/>
    <n v="1474.09"/>
    <s v="Complete Access"/>
    <x v="343"/>
    <x v="1"/>
    <x v="5"/>
    <d v="1900-01-14T00:00:00"/>
    <n v="25"/>
    <x v="8"/>
    <x v="4"/>
  </r>
  <r>
    <x v="1030"/>
    <n v="-36.03"/>
    <x v="2207"/>
    <n v="1659.53"/>
    <s v="Complete Access"/>
    <x v="554"/>
    <x v="8"/>
    <x v="29"/>
    <d v="1900-01-14T00:00:00"/>
    <n v="25"/>
    <x v="8"/>
    <x v="4"/>
  </r>
  <r>
    <x v="1030"/>
    <n v="-12.5"/>
    <x v="2201"/>
    <n v="1695.56"/>
    <s v="Complete Access"/>
    <x v="34"/>
    <x v="9"/>
    <x v="12"/>
    <d v="1900-01-14T00:00:00"/>
    <n v="25"/>
    <x v="8"/>
    <x v="4"/>
  </r>
  <r>
    <x v="1031"/>
    <n v="-100"/>
    <x v="2189"/>
    <n v="1787.79"/>
    <s v="Complete Access"/>
    <x v="552"/>
    <x v="0"/>
    <x v="74"/>
    <d v="1900-01-11T00:00:00"/>
    <n v="24"/>
    <x v="8"/>
    <x v="4"/>
  </r>
  <r>
    <x v="1031"/>
    <n v="-26.73"/>
    <x v="2208"/>
    <n v="1761.06"/>
    <s v="Complete Access"/>
    <x v="8"/>
    <x v="1"/>
    <x v="5"/>
    <d v="1900-01-11T00:00:00"/>
    <n v="24"/>
    <x v="8"/>
    <x v="4"/>
  </r>
  <r>
    <x v="1031"/>
    <n v="-53"/>
    <x v="2209"/>
    <n v="1708.06"/>
    <s v="Complete Access"/>
    <x v="0"/>
    <x v="0"/>
    <x v="0"/>
    <d v="1900-01-11T00:00:00"/>
    <n v="24"/>
    <x v="8"/>
    <x v="4"/>
  </r>
  <r>
    <x v="1032"/>
    <n v="-201.58"/>
    <x v="2210"/>
    <n v="1887.79"/>
    <s v="Complete Access"/>
    <x v="438"/>
    <x v="12"/>
    <x v="21"/>
    <d v="1900-01-10T00:00:00"/>
    <n v="24"/>
    <x v="8"/>
    <x v="4"/>
  </r>
  <r>
    <x v="1033"/>
    <n v="-500"/>
    <x v="656"/>
    <n v="1589.37"/>
    <s v="Complete Access"/>
    <x v="13"/>
    <x v="0"/>
    <x v="0"/>
    <d v="1900-01-09T00:00:00"/>
    <n v="24"/>
    <x v="8"/>
    <x v="4"/>
  </r>
  <r>
    <x v="1033"/>
    <n v="-100"/>
    <x v="2189"/>
    <n v="2089.37"/>
    <s v="Complete Access"/>
    <x v="552"/>
    <x v="0"/>
    <x v="74"/>
    <d v="1900-01-09T00:00:00"/>
    <n v="24"/>
    <x v="8"/>
    <x v="4"/>
  </r>
  <r>
    <x v="1033"/>
    <n v="500"/>
    <x v="2211"/>
    <n v="2089.37"/>
    <s v="Complete Access"/>
    <x v="36"/>
    <x v="0"/>
    <x v="0"/>
    <d v="1900-01-09T00:00:00"/>
    <n v="24"/>
    <x v="8"/>
    <x v="4"/>
  </r>
  <r>
    <x v="1033"/>
    <n v="-10"/>
    <x v="2212"/>
    <n v="2189.37"/>
    <s v="Complete Access"/>
    <x v="433"/>
    <x v="7"/>
    <x v="53"/>
    <d v="1900-01-09T00:00:00"/>
    <n v="24"/>
    <x v="8"/>
    <x v="4"/>
  </r>
  <r>
    <x v="1033"/>
    <n v="2163.7399999999998"/>
    <x v="2213"/>
    <n v="2199.37"/>
    <s v="Complete Access"/>
    <x v="14"/>
    <x v="6"/>
    <x v="9"/>
    <d v="1900-01-09T00:00:00"/>
    <n v="24"/>
    <x v="8"/>
    <x v="4"/>
  </r>
  <r>
    <x v="1034"/>
    <n v="-25"/>
    <x v="2214"/>
    <n v="35.630000000000003"/>
    <s v="Complete Access"/>
    <x v="0"/>
    <x v="0"/>
    <x v="0"/>
    <d v="1900-01-08T00:00:00"/>
    <n v="24"/>
    <x v="8"/>
    <x v="4"/>
  </r>
  <r>
    <x v="1034"/>
    <n v="-24"/>
    <x v="1720"/>
    <n v="60.63"/>
    <s v="Complete Access"/>
    <x v="0"/>
    <x v="0"/>
    <x v="0"/>
    <d v="1900-01-08T00:00:00"/>
    <n v="24"/>
    <x v="8"/>
    <x v="4"/>
  </r>
  <r>
    <x v="1034"/>
    <n v="67"/>
    <x v="2215"/>
    <n v="84.63"/>
    <s v="Complete Access"/>
    <x v="36"/>
    <x v="0"/>
    <x v="0"/>
    <d v="1900-01-08T00:00:00"/>
    <n v="24"/>
    <x v="8"/>
    <x v="4"/>
  </r>
  <r>
    <x v="1034"/>
    <n v="-15.93"/>
    <x v="2216"/>
    <n v="45.81"/>
    <s v="Complete Access"/>
    <x v="56"/>
    <x v="9"/>
    <x v="31"/>
    <d v="1900-01-08T00:00:00"/>
    <n v="24"/>
    <x v="8"/>
    <x v="4"/>
  </r>
  <r>
    <x v="1034"/>
    <n v="-28.18"/>
    <x v="2217"/>
    <n v="17.63"/>
    <s v="Complete Access"/>
    <x v="1"/>
    <x v="1"/>
    <x v="1"/>
    <d v="1900-01-08T00:00:00"/>
    <n v="24"/>
    <x v="8"/>
    <x v="4"/>
  </r>
  <r>
    <x v="1035"/>
    <n v="-12.14"/>
    <x v="2218"/>
    <n v="61.74"/>
    <s v="Complete Access"/>
    <x v="333"/>
    <x v="1"/>
    <x v="5"/>
    <d v="1900-01-07T00:00:00"/>
    <n v="24"/>
    <x v="8"/>
    <x v="4"/>
  </r>
  <r>
    <x v="1035"/>
    <n v="-4"/>
    <x v="2219"/>
    <n v="73.88"/>
    <s v="Complete Access"/>
    <x v="1"/>
    <x v="1"/>
    <x v="1"/>
    <d v="1900-01-07T00:00:00"/>
    <n v="24"/>
    <x v="8"/>
    <x v="4"/>
  </r>
  <r>
    <x v="1036"/>
    <n v="-8.0399999999999991"/>
    <x v="2135"/>
    <n v="77.88"/>
    <s v="Complete Access"/>
    <x v="215"/>
    <x v="1"/>
    <x v="1"/>
    <d v="1900-01-05T00:00:00"/>
    <n v="24"/>
    <x v="8"/>
    <x v="4"/>
  </r>
  <r>
    <x v="1037"/>
    <n v="-1526.08"/>
    <x v="2220"/>
    <n v="85.92"/>
    <s v="Complete Access"/>
    <x v="555"/>
    <x v="10"/>
    <x v="75"/>
    <d v="1900-01-04T00:00:00"/>
    <n v="23"/>
    <x v="8"/>
    <x v="4"/>
  </r>
  <r>
    <x v="1038"/>
    <n v="-380"/>
    <x v="2183"/>
    <n v="1612"/>
    <s v="Complete Access"/>
    <x v="0"/>
    <x v="0"/>
    <x v="0"/>
    <d v="1900-01-03T00:00:00"/>
    <n v="23"/>
    <x v="8"/>
    <x v="4"/>
  </r>
  <r>
    <x v="1038"/>
    <n v="-10"/>
    <x v="2221"/>
    <n v="1992"/>
    <s v="Complete Access"/>
    <x v="61"/>
    <x v="1"/>
    <x v="1"/>
    <d v="1900-01-03T00:00:00"/>
    <n v="23"/>
    <x v="8"/>
    <x v="4"/>
  </r>
  <r>
    <x v="1038"/>
    <n v="-11"/>
    <x v="2222"/>
    <n v="2002"/>
    <s v="Complete Access"/>
    <x v="16"/>
    <x v="1"/>
    <x v="5"/>
    <d v="1900-01-03T00:00:00"/>
    <n v="23"/>
    <x v="8"/>
    <x v="4"/>
  </r>
  <r>
    <x v="1039"/>
    <n v="-380"/>
    <x v="2183"/>
    <n v="1213"/>
    <s v="Complete Access"/>
    <x v="0"/>
    <x v="0"/>
    <x v="0"/>
    <d v="1900-01-02T00:00:00"/>
    <n v="23"/>
    <x v="8"/>
    <x v="4"/>
  </r>
  <r>
    <x v="1039"/>
    <n v="-40"/>
    <x v="2223"/>
    <n v="1593"/>
    <s v="Complete Access"/>
    <x v="12"/>
    <x v="5"/>
    <x v="8"/>
    <d v="1900-01-02T00:00:00"/>
    <n v="23"/>
    <x v="8"/>
    <x v="4"/>
  </r>
  <r>
    <x v="1039"/>
    <n v="800"/>
    <x v="370"/>
    <n v="2013"/>
    <s v="Complete Access"/>
    <x v="36"/>
    <x v="0"/>
    <x v="0"/>
    <d v="1900-01-02T00:00:00"/>
    <n v="23"/>
    <x v="8"/>
    <x v="4"/>
  </r>
  <r>
    <x v="1040"/>
    <n v="-14.39"/>
    <x v="2224"/>
    <n v="1633"/>
    <s v="Complete Access"/>
    <x v="556"/>
    <x v="15"/>
    <x v="34"/>
    <d v="1900-01-01T00:00:00"/>
    <n v="23"/>
    <x v="8"/>
    <x v="4"/>
  </r>
  <r>
    <x v="1041"/>
    <n v="-15.22"/>
    <x v="2225"/>
    <n v="2104.4299999999998"/>
    <s v="Complete Access"/>
    <x v="8"/>
    <x v="1"/>
    <x v="5"/>
    <d v="1899-12-31T00:00:00"/>
    <n v="23"/>
    <x v="8"/>
    <x v="4"/>
  </r>
  <r>
    <x v="1041"/>
    <n v="-45.33"/>
    <x v="2226"/>
    <n v="2059.1"/>
    <s v="Complete Access"/>
    <x v="8"/>
    <x v="1"/>
    <x v="5"/>
    <d v="1899-12-31T00:00:00"/>
    <n v="23"/>
    <x v="8"/>
    <x v="4"/>
  </r>
  <r>
    <x v="1041"/>
    <n v="-64.989999999999995"/>
    <x v="2227"/>
    <n v="1900.84"/>
    <s v="Complete Access"/>
    <x v="8"/>
    <x v="1"/>
    <x v="5"/>
    <d v="1899-12-31T00:00:00"/>
    <n v="23"/>
    <x v="8"/>
    <x v="4"/>
  </r>
  <r>
    <x v="1041"/>
    <n v="-28.95"/>
    <x v="2228"/>
    <n v="1965.83"/>
    <s v="Complete Access"/>
    <x v="165"/>
    <x v="8"/>
    <x v="22"/>
    <d v="1899-12-31T00:00:00"/>
    <n v="23"/>
    <x v="8"/>
    <x v="4"/>
  </r>
  <r>
    <x v="1041"/>
    <n v="-20"/>
    <x v="2229"/>
    <n v="2240.65"/>
    <s v="Complete Access"/>
    <x v="557"/>
    <x v="7"/>
    <x v="53"/>
    <d v="1899-12-31T00:00:00"/>
    <n v="23"/>
    <x v="8"/>
    <x v="4"/>
  </r>
  <r>
    <x v="1041"/>
    <n v="-179.45"/>
    <x v="2230"/>
    <n v="1647.39"/>
    <s v="Complete Access"/>
    <x v="76"/>
    <x v="2"/>
    <x v="2"/>
    <d v="1899-12-31T00:00:00"/>
    <n v="23"/>
    <x v="8"/>
    <x v="4"/>
  </r>
  <r>
    <x v="1041"/>
    <n v="-18.579999999999998"/>
    <x v="2231"/>
    <n v="1994.78"/>
    <s v="Complete Access"/>
    <x v="190"/>
    <x v="8"/>
    <x v="29"/>
    <d v="1899-12-31T00:00:00"/>
    <n v="23"/>
    <x v="8"/>
    <x v="4"/>
  </r>
  <r>
    <x v="1041"/>
    <n v="-21.21"/>
    <x v="2231"/>
    <n v="2013.36"/>
    <s v="Complete Access"/>
    <x v="190"/>
    <x v="8"/>
    <x v="29"/>
    <d v="1899-12-31T00:00:00"/>
    <n v="23"/>
    <x v="8"/>
    <x v="4"/>
  </r>
  <r>
    <x v="1041"/>
    <n v="-18.579999999999998"/>
    <x v="2231"/>
    <n v="2034.57"/>
    <s v="Complete Access"/>
    <x v="190"/>
    <x v="8"/>
    <x v="29"/>
    <d v="1899-12-31T00:00:00"/>
    <n v="23"/>
    <x v="8"/>
    <x v="4"/>
  </r>
  <r>
    <x v="1041"/>
    <n v="-74"/>
    <x v="2232"/>
    <n v="1826.84"/>
    <s v="Complete Access"/>
    <x v="243"/>
    <x v="1"/>
    <x v="23"/>
    <d v="1899-12-31T00:00:00"/>
    <n v="23"/>
    <x v="8"/>
    <x v="4"/>
  </r>
  <r>
    <x v="1041"/>
    <n v="-51"/>
    <x v="2233"/>
    <n v="2119.65"/>
    <s v="Complete Access"/>
    <x v="425"/>
    <x v="8"/>
    <x v="29"/>
    <d v="1899-12-31T00:00:00"/>
    <n v="23"/>
    <x v="8"/>
    <x v="4"/>
  </r>
  <r>
    <x v="1041"/>
    <n v="-27"/>
    <x v="2233"/>
    <n v="2170.65"/>
    <s v="Complete Access"/>
    <x v="425"/>
    <x v="8"/>
    <x v="29"/>
    <d v="1899-12-31T00:00:00"/>
    <n v="23"/>
    <x v="8"/>
    <x v="4"/>
  </r>
  <r>
    <x v="1041"/>
    <n v="-22"/>
    <x v="2233"/>
    <n v="2197.65"/>
    <s v="Complete Access"/>
    <x v="425"/>
    <x v="8"/>
    <x v="29"/>
    <d v="1899-12-31T00:00:00"/>
    <n v="23"/>
    <x v="8"/>
    <x v="4"/>
  </r>
  <r>
    <x v="1041"/>
    <n v="-21"/>
    <x v="2233"/>
    <n v="2219.65"/>
    <s v="Complete Access"/>
    <x v="425"/>
    <x v="8"/>
    <x v="29"/>
    <d v="1899-12-31T00:00:00"/>
    <n v="23"/>
    <x v="8"/>
    <x v="4"/>
  </r>
  <r>
    <x v="1041"/>
    <n v="-5.95"/>
    <x v="2234"/>
    <n v="2053.15"/>
    <s v="Complete Access"/>
    <x v="392"/>
    <x v="3"/>
    <x v="26"/>
    <d v="1899-12-31T00:00:00"/>
    <n v="23"/>
    <x v="8"/>
    <x v="4"/>
  </r>
  <r>
    <x v="1042"/>
    <n v="-100"/>
    <x v="2189"/>
    <n v="2258.5500000000002"/>
    <s v="Complete Access"/>
    <x v="552"/>
    <x v="0"/>
    <x v="74"/>
    <d v="1900-01-28T00:00:00"/>
    <n v="22"/>
    <x v="9"/>
    <x v="4"/>
  </r>
  <r>
    <x v="1042"/>
    <n v="10"/>
    <x v="2235"/>
    <n v="2260.65"/>
    <s v="Complete Access"/>
    <x v="36"/>
    <x v="0"/>
    <x v="0"/>
    <d v="1900-01-28T00:00:00"/>
    <n v="22"/>
    <x v="9"/>
    <x v="4"/>
  </r>
  <r>
    <x v="1042"/>
    <n v="-7.9"/>
    <x v="2236"/>
    <n v="2250.65"/>
    <s v="Complete Access"/>
    <x v="277"/>
    <x v="8"/>
    <x v="29"/>
    <d v="1900-01-28T00:00:00"/>
    <n v="22"/>
    <x v="9"/>
    <x v="4"/>
  </r>
  <r>
    <x v="1043"/>
    <n v="-18"/>
    <x v="69"/>
    <n v="2358.5500000000002"/>
    <s v="Complete Access"/>
    <x v="0"/>
    <x v="0"/>
    <x v="0"/>
    <d v="1900-01-27T00:00:00"/>
    <n v="22"/>
    <x v="9"/>
    <x v="4"/>
  </r>
  <r>
    <x v="1043"/>
    <n v="-6.3"/>
    <x v="2135"/>
    <n v="2376.5500000000002"/>
    <s v="Complete Access"/>
    <x v="215"/>
    <x v="1"/>
    <x v="1"/>
    <d v="1900-01-27T00:00:00"/>
    <n v="22"/>
    <x v="9"/>
    <x v="4"/>
  </r>
  <r>
    <x v="1043"/>
    <n v="-8.8000000000000007"/>
    <x v="2237"/>
    <n v="2382.85"/>
    <s v="Complete Access"/>
    <x v="277"/>
    <x v="8"/>
    <x v="29"/>
    <d v="1900-01-27T00:00:00"/>
    <n v="22"/>
    <x v="9"/>
    <x v="4"/>
  </r>
  <r>
    <x v="1044"/>
    <n v="-500"/>
    <x v="656"/>
    <n v="2391.65"/>
    <s v="Complete Access"/>
    <x v="13"/>
    <x v="0"/>
    <x v="0"/>
    <d v="1900-01-26T00:00:00"/>
    <n v="22"/>
    <x v="9"/>
    <x v="4"/>
  </r>
  <r>
    <x v="1044"/>
    <n v="2163.7399999999998"/>
    <x v="2238"/>
    <n v="2891.65"/>
    <s v="Complete Access"/>
    <x v="14"/>
    <x v="6"/>
    <x v="9"/>
    <d v="1900-01-26T00:00:00"/>
    <n v="22"/>
    <x v="9"/>
    <x v="4"/>
  </r>
  <r>
    <x v="1045"/>
    <n v="-32.950000000000003"/>
    <x v="2239"/>
    <n v="763.5"/>
    <s v="Complete Access"/>
    <x v="343"/>
    <x v="1"/>
    <x v="5"/>
    <d v="1900-01-25T00:00:00"/>
    <n v="22"/>
    <x v="9"/>
    <x v="4"/>
  </r>
  <r>
    <x v="1045"/>
    <n v="-35.590000000000003"/>
    <x v="2240"/>
    <n v="727.91"/>
    <s v="Complete Access"/>
    <x v="343"/>
    <x v="1"/>
    <x v="5"/>
    <d v="1900-01-25T00:00:00"/>
    <n v="22"/>
    <x v="9"/>
    <x v="4"/>
  </r>
  <r>
    <x v="1045"/>
    <n v="-12.77"/>
    <x v="2241"/>
    <n v="796.45"/>
    <s v="Complete Access"/>
    <x v="10"/>
    <x v="0"/>
    <x v="0"/>
    <d v="1900-01-25T00:00:00"/>
    <n v="22"/>
    <x v="9"/>
    <x v="4"/>
  </r>
  <r>
    <x v="1045"/>
    <n v="-425.75"/>
    <x v="2242"/>
    <n v="809.22"/>
    <s v="Complete Access"/>
    <x v="558"/>
    <x v="10"/>
    <x v="13"/>
    <d v="1900-01-25T00:00:00"/>
    <n v="22"/>
    <x v="9"/>
    <x v="4"/>
  </r>
  <r>
    <x v="1046"/>
    <n v="20"/>
    <x v="2243"/>
    <n v="1290.6400000000001"/>
    <s v="Complete Access"/>
    <x v="36"/>
    <x v="0"/>
    <x v="0"/>
    <d v="1900-01-23T00:00:00"/>
    <n v="22"/>
    <x v="9"/>
    <x v="4"/>
  </r>
  <r>
    <x v="1046"/>
    <n v="-55.67"/>
    <x v="2105"/>
    <n v="1234.97"/>
    <s v="Complete Access"/>
    <x v="4"/>
    <x v="1"/>
    <x v="1"/>
    <d v="1900-01-23T00:00:00"/>
    <n v="22"/>
    <x v="9"/>
    <x v="4"/>
  </r>
  <r>
    <x v="1047"/>
    <n v="-25.5"/>
    <x v="69"/>
    <n v="1295.6400000000001"/>
    <s v="Complete Access"/>
    <x v="0"/>
    <x v="0"/>
    <x v="0"/>
    <d v="1900-01-22T00:00:00"/>
    <n v="22"/>
    <x v="9"/>
    <x v="4"/>
  </r>
  <r>
    <x v="1047"/>
    <n v="-25"/>
    <x v="69"/>
    <n v="1270.6400000000001"/>
    <s v="Complete Access"/>
    <x v="0"/>
    <x v="0"/>
    <x v="0"/>
    <d v="1900-01-22T00:00:00"/>
    <n v="22"/>
    <x v="9"/>
    <x v="4"/>
  </r>
  <r>
    <x v="1048"/>
    <n v="-100"/>
    <x v="2189"/>
    <n v="1321.14"/>
    <s v="Complete Access"/>
    <x v="552"/>
    <x v="0"/>
    <x v="74"/>
    <d v="1900-01-21T00:00:00"/>
    <n v="21"/>
    <x v="9"/>
    <x v="4"/>
  </r>
  <r>
    <x v="1048"/>
    <n v="-12.65"/>
    <x v="2244"/>
    <n v="1428.14"/>
    <s v="Complete Access"/>
    <x v="188"/>
    <x v="1"/>
    <x v="1"/>
    <d v="1900-01-21T00:00:00"/>
    <n v="21"/>
    <x v="9"/>
    <x v="4"/>
  </r>
  <r>
    <x v="1048"/>
    <n v="-7"/>
    <x v="2245"/>
    <n v="1421.14"/>
    <s v="Complete Access"/>
    <x v="277"/>
    <x v="8"/>
    <x v="29"/>
    <d v="1900-01-21T00:00:00"/>
    <n v="21"/>
    <x v="9"/>
    <x v="4"/>
  </r>
  <r>
    <x v="1049"/>
    <n v="-40"/>
    <x v="2246"/>
    <n v="1459.09"/>
    <s v="Complete Access"/>
    <x v="12"/>
    <x v="5"/>
    <x v="8"/>
    <d v="1900-01-20T00:00:00"/>
    <n v="21"/>
    <x v="9"/>
    <x v="4"/>
  </r>
  <r>
    <x v="1049"/>
    <n v="-8.5"/>
    <x v="436"/>
    <n v="1440.79"/>
    <s v="Complete Access"/>
    <x v="186"/>
    <x v="1"/>
    <x v="5"/>
    <d v="1900-01-20T00:00:00"/>
    <n v="21"/>
    <x v="9"/>
    <x v="4"/>
  </r>
  <r>
    <x v="1049"/>
    <n v="-9.8000000000000007"/>
    <x v="2247"/>
    <n v="1449.29"/>
    <s v="Complete Access"/>
    <x v="277"/>
    <x v="8"/>
    <x v="29"/>
    <d v="1900-01-20T00:00:00"/>
    <n v="21"/>
    <x v="9"/>
    <x v="4"/>
  </r>
  <r>
    <x v="1050"/>
    <n v="-59"/>
    <x v="2248"/>
    <n v="1575.38"/>
    <s v="Complete Access"/>
    <x v="207"/>
    <x v="7"/>
    <x v="11"/>
    <d v="1900-01-18T00:00:00"/>
    <n v="21"/>
    <x v="9"/>
    <x v="4"/>
  </r>
  <r>
    <x v="1050"/>
    <n v="-9.98"/>
    <x v="2249"/>
    <n v="1499.09"/>
    <s v="Complete Access"/>
    <x v="559"/>
    <x v="20"/>
    <x v="63"/>
    <d v="1900-01-18T00:00:00"/>
    <n v="21"/>
    <x v="9"/>
    <x v="4"/>
  </r>
  <r>
    <x v="1050"/>
    <n v="-66.31"/>
    <x v="2250"/>
    <n v="1509.07"/>
    <s v="Complete Access"/>
    <x v="560"/>
    <x v="9"/>
    <x v="12"/>
    <d v="1900-01-18T00:00:00"/>
    <n v="21"/>
    <x v="9"/>
    <x v="4"/>
  </r>
  <r>
    <x v="1051"/>
    <n v="-23.99"/>
    <x v="2251"/>
    <n v="1634.38"/>
    <s v="Complete Access"/>
    <x v="8"/>
    <x v="1"/>
    <x v="5"/>
    <d v="1900-01-17T00:00:00"/>
    <n v="21"/>
    <x v="9"/>
    <x v="4"/>
  </r>
  <r>
    <x v="1051"/>
    <n v="-39"/>
    <x v="2252"/>
    <n v="1658.37"/>
    <s v="Complete Access"/>
    <x v="561"/>
    <x v="8"/>
    <x v="22"/>
    <d v="1900-01-17T00:00:00"/>
    <n v="21"/>
    <x v="9"/>
    <x v="4"/>
  </r>
  <r>
    <x v="1052"/>
    <n v="-18"/>
    <x v="69"/>
    <n v="1697.37"/>
    <s v="Complete Access"/>
    <x v="0"/>
    <x v="0"/>
    <x v="0"/>
    <d v="1900-01-15T00:00:00"/>
    <n v="21"/>
    <x v="9"/>
    <x v="4"/>
  </r>
  <r>
    <x v="1053"/>
    <n v="-100"/>
    <x v="2189"/>
    <n v="1774.87"/>
    <s v="Complete Access"/>
    <x v="552"/>
    <x v="0"/>
    <x v="74"/>
    <d v="1900-01-14T00:00:00"/>
    <n v="20"/>
    <x v="9"/>
    <x v="4"/>
  </r>
  <r>
    <x v="1053"/>
    <n v="-16"/>
    <x v="2253"/>
    <n v="1874.87"/>
    <s v="Complete Access"/>
    <x v="562"/>
    <x v="1"/>
    <x v="5"/>
    <d v="1900-01-14T00:00:00"/>
    <n v="20"/>
    <x v="9"/>
    <x v="4"/>
  </r>
  <r>
    <x v="1053"/>
    <n v="-16"/>
    <x v="2254"/>
    <n v="1900.77"/>
    <s v="Complete Access"/>
    <x v="563"/>
    <x v="9"/>
    <x v="32"/>
    <d v="1900-01-14T00:00:00"/>
    <n v="20"/>
    <x v="9"/>
    <x v="4"/>
  </r>
  <r>
    <x v="1053"/>
    <n v="-21.5"/>
    <x v="2255"/>
    <n v="1753.37"/>
    <s v="Complete Access"/>
    <x v="564"/>
    <x v="1"/>
    <x v="5"/>
    <d v="1900-01-14T00:00:00"/>
    <n v="20"/>
    <x v="9"/>
    <x v="4"/>
  </r>
  <r>
    <x v="1053"/>
    <n v="-38"/>
    <x v="2256"/>
    <n v="1715.37"/>
    <s v="Complete Access"/>
    <x v="565"/>
    <x v="8"/>
    <x v="29"/>
    <d v="1900-01-14T00:00:00"/>
    <n v="20"/>
    <x v="9"/>
    <x v="4"/>
  </r>
  <r>
    <x v="1053"/>
    <n v="-9.9"/>
    <x v="2257"/>
    <n v="1890.87"/>
    <s v="Complete Access"/>
    <x v="277"/>
    <x v="8"/>
    <x v="29"/>
    <d v="1900-01-14T00:00:00"/>
    <n v="20"/>
    <x v="9"/>
    <x v="4"/>
  </r>
  <r>
    <x v="1054"/>
    <n v="-64.48"/>
    <x v="2258"/>
    <n v="1916.77"/>
    <s v="Complete Access"/>
    <x v="4"/>
    <x v="1"/>
    <x v="1"/>
    <d v="1900-01-13T00:00:00"/>
    <n v="20"/>
    <x v="9"/>
    <x v="4"/>
  </r>
  <r>
    <x v="1055"/>
    <n v="-500"/>
    <x v="656"/>
    <n v="2531.0100000000002"/>
    <s v="Complete Access"/>
    <x v="13"/>
    <x v="0"/>
    <x v="0"/>
    <d v="1900-01-12T00:00:00"/>
    <n v="20"/>
    <x v="9"/>
    <x v="4"/>
  </r>
  <r>
    <x v="1055"/>
    <n v="-487.5"/>
    <x v="2259"/>
    <n v="1981.25"/>
    <s v="Complete Access"/>
    <x v="0"/>
    <x v="0"/>
    <x v="0"/>
    <d v="1900-01-12T00:00:00"/>
    <n v="20"/>
    <x v="9"/>
    <x v="4"/>
  </r>
  <r>
    <x v="1055"/>
    <n v="-40"/>
    <x v="2260"/>
    <n v="3053.24"/>
    <s v="Complete Access"/>
    <x v="12"/>
    <x v="5"/>
    <x v="8"/>
    <d v="1900-01-12T00:00:00"/>
    <n v="20"/>
    <x v="9"/>
    <x v="4"/>
  </r>
  <r>
    <x v="1055"/>
    <n v="63"/>
    <x v="2215"/>
    <n v="2594.0100000000002"/>
    <s v="Complete Access"/>
    <x v="36"/>
    <x v="0"/>
    <x v="0"/>
    <d v="1900-01-12T00:00:00"/>
    <n v="20"/>
    <x v="9"/>
    <x v="4"/>
  </r>
  <r>
    <x v="1055"/>
    <n v="62.62"/>
    <x v="2261"/>
    <n v="2656.63"/>
    <s v="Complete Access"/>
    <x v="36"/>
    <x v="0"/>
    <x v="0"/>
    <d v="1900-01-12T00:00:00"/>
    <n v="20"/>
    <x v="9"/>
    <x v="4"/>
  </r>
  <r>
    <x v="1055"/>
    <n v="2156.08"/>
    <x v="2262"/>
    <n v="3093.24"/>
    <s v="Complete Access"/>
    <x v="14"/>
    <x v="6"/>
    <x v="9"/>
    <d v="1900-01-12T00:00:00"/>
    <n v="20"/>
    <x v="9"/>
    <x v="4"/>
  </r>
  <r>
    <x v="1055"/>
    <n v="-22.23"/>
    <x v="2263"/>
    <n v="3031.01"/>
    <s v="Complete Access"/>
    <x v="343"/>
    <x v="1"/>
    <x v="5"/>
    <d v="1900-01-12T00:00:00"/>
    <n v="20"/>
    <x v="9"/>
    <x v="4"/>
  </r>
  <r>
    <x v="1055"/>
    <n v="-187.88"/>
    <x v="2264"/>
    <n v="2468.75"/>
    <s v="Complete Access"/>
    <x v="438"/>
    <x v="12"/>
    <x v="21"/>
    <d v="1900-01-12T00:00:00"/>
    <n v="20"/>
    <x v="9"/>
    <x v="4"/>
  </r>
  <r>
    <x v="1056"/>
    <n v="-44.12"/>
    <x v="2265"/>
    <n v="920.26"/>
    <s v="Complete Access"/>
    <x v="8"/>
    <x v="1"/>
    <x v="5"/>
    <d v="1900-01-11T00:00:00"/>
    <n v="20"/>
    <x v="9"/>
    <x v="4"/>
  </r>
  <r>
    <x v="1056"/>
    <n v="16.899999999999999"/>
    <x v="2266"/>
    <n v="937.16"/>
    <s v="Complete Access"/>
    <x v="27"/>
    <x v="1"/>
    <x v="5"/>
    <d v="1900-01-11T00:00:00"/>
    <n v="20"/>
    <x v="9"/>
    <x v="4"/>
  </r>
  <r>
    <x v="1056"/>
    <n v="-38.4"/>
    <x v="2267"/>
    <n v="964.38"/>
    <s v="Complete Access"/>
    <x v="343"/>
    <x v="1"/>
    <x v="5"/>
    <d v="1900-01-11T00:00:00"/>
    <n v="20"/>
    <x v="9"/>
    <x v="4"/>
  </r>
  <r>
    <x v="1057"/>
    <n v="-6.8"/>
    <x v="2268"/>
    <n v="1002.78"/>
    <s v="Complete Access"/>
    <x v="188"/>
    <x v="1"/>
    <x v="1"/>
    <d v="1900-01-10T00:00:00"/>
    <n v="20"/>
    <x v="9"/>
    <x v="4"/>
  </r>
  <r>
    <x v="1057"/>
    <n v="-38.729999999999997"/>
    <x v="2269"/>
    <n v="1025.58"/>
    <s v="Complete Access"/>
    <x v="8"/>
    <x v="1"/>
    <x v="5"/>
    <d v="1900-01-10T00:00:00"/>
    <n v="20"/>
    <x v="9"/>
    <x v="4"/>
  </r>
  <r>
    <x v="1057"/>
    <n v="-26.74"/>
    <x v="2270"/>
    <n v="1064.31"/>
    <s v="Complete Access"/>
    <x v="8"/>
    <x v="1"/>
    <x v="5"/>
    <d v="1900-01-10T00:00:00"/>
    <n v="20"/>
    <x v="9"/>
    <x v="4"/>
  </r>
  <r>
    <x v="1057"/>
    <n v="-16"/>
    <x v="2271"/>
    <n v="1009.58"/>
    <s v="Complete Access"/>
    <x v="562"/>
    <x v="1"/>
    <x v="5"/>
    <d v="1900-01-10T00:00:00"/>
    <n v="20"/>
    <x v="9"/>
    <x v="4"/>
  </r>
  <r>
    <x v="1058"/>
    <n v="32"/>
    <x v="2266"/>
    <n v="1091.05"/>
    <s v="Complete Access"/>
    <x v="27"/>
    <x v="1"/>
    <x v="5"/>
    <d v="1900-01-09T00:00:00"/>
    <n v="20"/>
    <x v="9"/>
    <x v="4"/>
  </r>
  <r>
    <x v="1059"/>
    <n v="-200"/>
    <x v="2272"/>
    <n v="1059.05"/>
    <s v="Complete Access"/>
    <x v="0"/>
    <x v="0"/>
    <x v="0"/>
    <d v="1900-01-08T00:00:00"/>
    <n v="20"/>
    <x v="9"/>
    <x v="4"/>
  </r>
  <r>
    <x v="1060"/>
    <n v="-23.1"/>
    <x v="2273"/>
    <n v="1259.05"/>
    <s v="Complete Access"/>
    <x v="0"/>
    <x v="0"/>
    <x v="0"/>
    <d v="1900-01-07T00:00:00"/>
    <n v="19"/>
    <x v="9"/>
    <x v="4"/>
  </r>
  <r>
    <x v="1060"/>
    <n v="-100"/>
    <x v="2274"/>
    <n v="1282.1500000000001"/>
    <s v="Complete Access"/>
    <x v="552"/>
    <x v="0"/>
    <x v="74"/>
    <d v="1900-01-07T00:00:00"/>
    <n v="19"/>
    <x v="9"/>
    <x v="4"/>
  </r>
  <r>
    <x v="1060"/>
    <n v="-8"/>
    <x v="2275"/>
    <n v="1382.15"/>
    <s v="Complete Access"/>
    <x v="277"/>
    <x v="8"/>
    <x v="29"/>
    <d v="1900-01-07T00:00:00"/>
    <n v="19"/>
    <x v="9"/>
    <x v="4"/>
  </r>
  <r>
    <x v="1061"/>
    <n v="-17.399999999999999"/>
    <x v="2276"/>
    <n v="1390.15"/>
    <s v="Complete Access"/>
    <x v="186"/>
    <x v="1"/>
    <x v="5"/>
    <d v="1900-01-06T00:00:00"/>
    <n v="19"/>
    <x v="9"/>
    <x v="4"/>
  </r>
  <r>
    <x v="1062"/>
    <n v="200"/>
    <x v="2277"/>
    <n v="1407.55"/>
    <s v="Complete Access"/>
    <x v="566"/>
    <x v="0"/>
    <x v="69"/>
    <d v="1900-01-05T00:00:00"/>
    <n v="19"/>
    <x v="9"/>
    <x v="4"/>
  </r>
  <r>
    <x v="1063"/>
    <n v="-6.2"/>
    <x v="2278"/>
    <n v="1207.55"/>
    <s v="Complete Access"/>
    <x v="218"/>
    <x v="8"/>
    <x v="29"/>
    <d v="1900-01-04T00:00:00"/>
    <n v="19"/>
    <x v="9"/>
    <x v="4"/>
  </r>
  <r>
    <x v="1063"/>
    <n v="-31.4"/>
    <x v="2278"/>
    <n v="1213.75"/>
    <s v="Complete Access"/>
    <x v="218"/>
    <x v="8"/>
    <x v="29"/>
    <d v="1900-01-04T00:00:00"/>
    <n v="19"/>
    <x v="9"/>
    <x v="4"/>
  </r>
  <r>
    <x v="1064"/>
    <n v="-23.99"/>
    <x v="2279"/>
    <n v="1253.58"/>
    <s v="Complete Access"/>
    <x v="8"/>
    <x v="1"/>
    <x v="5"/>
    <d v="1900-01-03T00:00:00"/>
    <n v="19"/>
    <x v="9"/>
    <x v="4"/>
  </r>
  <r>
    <x v="1064"/>
    <n v="-11.06"/>
    <x v="2280"/>
    <n v="1242.52"/>
    <s v="Complete Access"/>
    <x v="423"/>
    <x v="1"/>
    <x v="5"/>
    <d v="1900-01-03T00:00:00"/>
    <n v="19"/>
    <x v="9"/>
    <x v="4"/>
  </r>
  <r>
    <x v="1064"/>
    <n v="-60"/>
    <x v="2281"/>
    <n v="1245.1500000000001"/>
    <s v="Complete Access"/>
    <x v="0"/>
    <x v="0"/>
    <x v="0"/>
    <d v="1900-01-03T00:00:00"/>
    <n v="19"/>
    <x v="9"/>
    <x v="4"/>
  </r>
  <r>
    <x v="1064"/>
    <n v="62.63"/>
    <x v="2282"/>
    <n v="1305.1500000000001"/>
    <s v="Complete Access"/>
    <x v="567"/>
    <x v="0"/>
    <x v="69"/>
    <d v="1900-01-03T00:00:00"/>
    <n v="19"/>
    <x v="9"/>
    <x v="4"/>
  </r>
  <r>
    <x v="1065"/>
    <n v="-179.45"/>
    <x v="2283"/>
    <n v="1277.57"/>
    <s v="Complete Access"/>
    <x v="76"/>
    <x v="2"/>
    <x v="2"/>
    <d v="1900-01-02T00:00:00"/>
    <n v="19"/>
    <x v="9"/>
    <x v="4"/>
  </r>
  <r>
    <x v="1066"/>
    <n v="-70.38"/>
    <x v="2284"/>
    <n v="1457.02"/>
    <s v="Complete Access"/>
    <x v="568"/>
    <x v="0"/>
    <x v="69"/>
    <d v="1900-01-01T00:00:00"/>
    <n v="19"/>
    <x v="9"/>
    <x v="4"/>
  </r>
  <r>
    <x v="1067"/>
    <n v="-9.5"/>
    <x v="2285"/>
    <n v="1647.44"/>
    <s v="Complete Access"/>
    <x v="16"/>
    <x v="1"/>
    <x v="5"/>
    <d v="1899-12-31T00:00:00"/>
    <n v="18"/>
    <x v="9"/>
    <x v="4"/>
  </r>
  <r>
    <x v="1067"/>
    <n v="-20"/>
    <x v="2229"/>
    <n v="1527.44"/>
    <s v="Complete Access"/>
    <x v="557"/>
    <x v="7"/>
    <x v="53"/>
    <d v="1899-12-31T00:00:00"/>
    <n v="18"/>
    <x v="9"/>
    <x v="4"/>
  </r>
  <r>
    <x v="1067"/>
    <n v="-100"/>
    <x v="2274"/>
    <n v="1547.44"/>
    <s v="Complete Access"/>
    <x v="552"/>
    <x v="0"/>
    <x v="74"/>
    <d v="1899-12-31T00:00:00"/>
    <n v="18"/>
    <x v="9"/>
    <x v="4"/>
  </r>
  <r>
    <x v="1067"/>
    <n v="-0.04"/>
    <x v="655"/>
    <n v="1527.4"/>
    <s v="Complete Access"/>
    <x v="249"/>
    <x v="0"/>
    <x v="0"/>
    <d v="1899-12-31T00:00:00"/>
    <n v="18"/>
    <x v="9"/>
    <x v="4"/>
  </r>
  <r>
    <x v="1067"/>
    <n v="-6.5"/>
    <x v="2286"/>
    <n v="1656.94"/>
    <s v="Complete Access"/>
    <x v="186"/>
    <x v="1"/>
    <x v="5"/>
    <d v="1899-12-31T00:00:00"/>
    <n v="18"/>
    <x v="9"/>
    <x v="4"/>
  </r>
  <r>
    <x v="1068"/>
    <n v="-26.74"/>
    <x v="2287"/>
    <n v="1695.68"/>
    <s v="Complete Access"/>
    <x v="8"/>
    <x v="1"/>
    <x v="5"/>
    <d v="1900-01-29T00:00:00"/>
    <n v="18"/>
    <x v="10"/>
    <x v="4"/>
  </r>
  <r>
    <x v="1068"/>
    <n v="-32.24"/>
    <x v="2288"/>
    <n v="1663.44"/>
    <s v="Complete Access"/>
    <x v="556"/>
    <x v="15"/>
    <x v="34"/>
    <d v="1900-01-29T00:00:00"/>
    <n v="18"/>
    <x v="10"/>
    <x v="4"/>
  </r>
  <r>
    <x v="1068"/>
    <n v="-18.59"/>
    <x v="2289"/>
    <n v="1722.42"/>
    <s v="Complete Access"/>
    <x v="104"/>
    <x v="1"/>
    <x v="5"/>
    <d v="1900-01-29T00:00:00"/>
    <n v="18"/>
    <x v="10"/>
    <x v="4"/>
  </r>
  <r>
    <x v="1068"/>
    <n v="-14.95"/>
    <x v="2290"/>
    <n v="1741.01"/>
    <s v="Complete Access"/>
    <x v="569"/>
    <x v="3"/>
    <x v="26"/>
    <d v="1900-01-29T00:00:00"/>
    <n v="18"/>
    <x v="10"/>
    <x v="4"/>
  </r>
  <r>
    <x v="1068"/>
    <n v="-40"/>
    <x v="2291"/>
    <n v="1755.96"/>
    <s v="Complete Access"/>
    <x v="570"/>
    <x v="8"/>
    <x v="29"/>
    <d v="1900-01-29T00:00:00"/>
    <n v="18"/>
    <x v="10"/>
    <x v="4"/>
  </r>
  <r>
    <x v="1069"/>
    <n v="-40"/>
    <x v="2292"/>
    <n v="2357.96"/>
    <s v="Complete Access"/>
    <x v="12"/>
    <x v="5"/>
    <x v="8"/>
    <d v="1900-01-28T00:00:00"/>
    <n v="18"/>
    <x v="10"/>
    <x v="4"/>
  </r>
  <r>
    <x v="1069"/>
    <n v="2143.4699999999998"/>
    <x v="2293"/>
    <n v="2397.96"/>
    <s v="Complete Access"/>
    <x v="14"/>
    <x v="6"/>
    <x v="9"/>
    <d v="1900-01-28T00:00:00"/>
    <n v="18"/>
    <x v="10"/>
    <x v="4"/>
  </r>
  <r>
    <x v="1069"/>
    <n v="-500"/>
    <x v="2294"/>
    <n v="1795.96"/>
    <s v="Complete Access"/>
    <x v="571"/>
    <x v="19"/>
    <x v="61"/>
    <d v="1900-01-28T00:00:00"/>
    <n v="18"/>
    <x v="10"/>
    <x v="4"/>
  </r>
  <r>
    <x v="1069"/>
    <n v="-32.25"/>
    <x v="2295"/>
    <n v="2295.96"/>
    <s v="Complete Access"/>
    <x v="572"/>
    <x v="1"/>
    <x v="5"/>
    <d v="1900-01-28T00:00:00"/>
    <n v="18"/>
    <x v="10"/>
    <x v="4"/>
  </r>
  <r>
    <x v="1069"/>
    <n v="-23.25"/>
    <x v="2296"/>
    <n v="2328.21"/>
    <s v="Complete Access"/>
    <x v="573"/>
    <x v="21"/>
    <x v="76"/>
    <d v="1900-01-28T00:00:00"/>
    <n v="18"/>
    <x v="10"/>
    <x v="4"/>
  </r>
  <r>
    <x v="1069"/>
    <n v="-3.25"/>
    <x v="2297"/>
    <n v="2351.46"/>
    <s v="Complete Access"/>
    <x v="574"/>
    <x v="8"/>
    <x v="29"/>
    <d v="1900-01-28T00:00:00"/>
    <n v="18"/>
    <x v="10"/>
    <x v="4"/>
  </r>
  <r>
    <x v="1069"/>
    <n v="-3.25"/>
    <x v="2297"/>
    <n v="2354.71"/>
    <s v="Complete Access"/>
    <x v="574"/>
    <x v="8"/>
    <x v="29"/>
    <d v="1900-01-28T00:00:00"/>
    <n v="18"/>
    <x v="10"/>
    <x v="4"/>
  </r>
  <r>
    <x v="1070"/>
    <n v="-13.5"/>
    <x v="2298"/>
    <n v="580.77"/>
    <s v="Complete Access"/>
    <x v="47"/>
    <x v="1"/>
    <x v="5"/>
    <d v="1900-01-27T00:00:00"/>
    <n v="18"/>
    <x v="10"/>
    <x v="4"/>
  </r>
  <r>
    <x v="1070"/>
    <n v="-11.1"/>
    <x v="2299"/>
    <n v="594.27"/>
    <s v="Complete Access"/>
    <x v="47"/>
    <x v="1"/>
    <x v="5"/>
    <d v="1900-01-27T00:00:00"/>
    <n v="18"/>
    <x v="10"/>
    <x v="4"/>
  </r>
  <r>
    <x v="1070"/>
    <n v="-100"/>
    <x v="2274"/>
    <n v="605.37"/>
    <s v="Complete Access"/>
    <x v="552"/>
    <x v="0"/>
    <x v="74"/>
    <d v="1900-01-27T00:00:00"/>
    <n v="18"/>
    <x v="10"/>
    <x v="4"/>
  </r>
  <r>
    <x v="1070"/>
    <n v="-75.680000000000007"/>
    <x v="2300"/>
    <n v="254.49"/>
    <s v="Complete Access"/>
    <x v="1"/>
    <x v="1"/>
    <x v="1"/>
    <d v="1900-01-27T00:00:00"/>
    <n v="18"/>
    <x v="10"/>
    <x v="4"/>
  </r>
  <r>
    <x v="1070"/>
    <n v="-245"/>
    <x v="2301"/>
    <n v="335.77"/>
    <s v="Complete Access"/>
    <x v="575"/>
    <x v="17"/>
    <x v="43"/>
    <d v="1900-01-27T00:00:00"/>
    <n v="18"/>
    <x v="10"/>
    <x v="4"/>
  </r>
  <r>
    <x v="1070"/>
    <n v="-5.6"/>
    <x v="2302"/>
    <n v="330.17"/>
    <s v="Complete Access"/>
    <x v="91"/>
    <x v="9"/>
    <x v="12"/>
    <d v="1900-01-27T00:00:00"/>
    <n v="18"/>
    <x v="10"/>
    <x v="4"/>
  </r>
  <r>
    <x v="1071"/>
    <n v="-11.5"/>
    <x v="2303"/>
    <n v="421.37"/>
    <s v="Complete Access"/>
    <x v="576"/>
    <x v="20"/>
    <x v="63"/>
    <d v="1900-01-26T00:00:00"/>
    <n v="18"/>
    <x v="10"/>
    <x v="4"/>
  </r>
  <r>
    <x v="1071"/>
    <n v="200"/>
    <x v="2304"/>
    <n v="705.37"/>
    <s v="Complete Access"/>
    <x v="577"/>
    <x v="0"/>
    <x v="69"/>
    <d v="1900-01-26T00:00:00"/>
    <n v="18"/>
    <x v="10"/>
    <x v="4"/>
  </r>
  <r>
    <x v="1071"/>
    <n v="84"/>
    <x v="2305"/>
    <n v="505.37"/>
    <s v="Complete Access"/>
    <x v="0"/>
    <x v="0"/>
    <x v="0"/>
    <d v="1900-01-26T00:00:00"/>
    <n v="18"/>
    <x v="10"/>
    <x v="4"/>
  </r>
  <r>
    <x v="1071"/>
    <n v="-32.44"/>
    <x v="2306"/>
    <n v="552.87"/>
    <s v="Complete Access"/>
    <x v="578"/>
    <x v="8"/>
    <x v="29"/>
    <d v="1900-01-26T00:00:00"/>
    <n v="18"/>
    <x v="10"/>
    <x v="4"/>
  </r>
  <r>
    <x v="1071"/>
    <n v="-120"/>
    <x v="2307"/>
    <n v="432.87"/>
    <s v="Complete Access"/>
    <x v="579"/>
    <x v="8"/>
    <x v="29"/>
    <d v="1900-01-26T00:00:00"/>
    <n v="18"/>
    <x v="10"/>
    <x v="4"/>
  </r>
  <r>
    <x v="1071"/>
    <n v="-3"/>
    <x v="2308"/>
    <n v="585.30999999999995"/>
    <s v="Complete Access"/>
    <x v="580"/>
    <x v="9"/>
    <x v="12"/>
    <d v="1900-01-26T00:00:00"/>
    <n v="18"/>
    <x v="10"/>
    <x v="4"/>
  </r>
  <r>
    <x v="1071"/>
    <n v="-15.5"/>
    <x v="2308"/>
    <n v="588.30999999999995"/>
    <s v="Complete Access"/>
    <x v="580"/>
    <x v="9"/>
    <x v="12"/>
    <d v="1900-01-26T00:00:00"/>
    <n v="18"/>
    <x v="10"/>
    <x v="4"/>
  </r>
  <r>
    <x v="1072"/>
    <n v="-15"/>
    <x v="2309"/>
    <n v="603.80999999999995"/>
    <s v="Complete Access"/>
    <x v="263"/>
    <x v="0"/>
    <x v="0"/>
    <d v="1900-01-23T00:00:00"/>
    <n v="17"/>
    <x v="10"/>
    <x v="4"/>
  </r>
  <r>
    <x v="1072"/>
    <n v="300"/>
    <x v="2305"/>
    <n v="618.80999999999995"/>
    <s v="Complete Access"/>
    <x v="0"/>
    <x v="0"/>
    <x v="0"/>
    <d v="1900-01-23T00:00:00"/>
    <n v="17"/>
    <x v="10"/>
    <x v="4"/>
  </r>
  <r>
    <x v="1072"/>
    <n v="-13.2"/>
    <x v="2310"/>
    <n v="350.8"/>
    <s v="Complete Access"/>
    <x v="581"/>
    <x v="1"/>
    <x v="5"/>
    <d v="1900-01-23T00:00:00"/>
    <n v="17"/>
    <x v="10"/>
    <x v="4"/>
  </r>
  <r>
    <x v="1072"/>
    <n v="-31.99"/>
    <x v="2311"/>
    <n v="318.81"/>
    <s v="Complete Access"/>
    <x v="34"/>
    <x v="9"/>
    <x v="12"/>
    <d v="1900-01-23T00:00:00"/>
    <n v="17"/>
    <x v="10"/>
    <x v="4"/>
  </r>
  <r>
    <x v="1073"/>
    <n v="-22.49"/>
    <x v="2312"/>
    <n v="372.8"/>
    <s v="Complete Access"/>
    <x v="343"/>
    <x v="1"/>
    <x v="5"/>
    <d v="1900-01-22T00:00:00"/>
    <n v="17"/>
    <x v="10"/>
    <x v="4"/>
  </r>
  <r>
    <x v="1073"/>
    <n v="-8.8000000000000007"/>
    <x v="2313"/>
    <n v="364"/>
    <s v="Complete Access"/>
    <x v="277"/>
    <x v="8"/>
    <x v="29"/>
    <d v="1900-01-22T00:00:00"/>
    <n v="17"/>
    <x v="10"/>
    <x v="4"/>
  </r>
  <r>
    <x v="1074"/>
    <n v="-586.99"/>
    <x v="2314"/>
    <n v="395.29"/>
    <s v="Complete Access"/>
    <x v="582"/>
    <x v="3"/>
    <x v="77"/>
    <d v="1900-01-21T00:00:00"/>
    <n v="17"/>
    <x v="10"/>
    <x v="4"/>
  </r>
  <r>
    <x v="1075"/>
    <n v="-59"/>
    <x v="2315"/>
    <n v="870.74"/>
    <s v="Complete Access"/>
    <x v="207"/>
    <x v="7"/>
    <x v="11"/>
    <d v="1900-01-20T00:00:00"/>
    <n v="17"/>
    <x v="10"/>
    <x v="4"/>
  </r>
  <r>
    <x v="1075"/>
    <n v="195.6"/>
    <x v="2316"/>
    <n v="982.28"/>
    <s v="Complete Access"/>
    <x v="577"/>
    <x v="0"/>
    <x v="69"/>
    <d v="1900-01-20T00:00:00"/>
    <n v="17"/>
    <x v="10"/>
    <x v="4"/>
  </r>
  <r>
    <x v="1075"/>
    <n v="-23.4"/>
    <x v="2317"/>
    <n v="847.34"/>
    <s v="Complete Access"/>
    <x v="343"/>
    <x v="1"/>
    <x v="5"/>
    <d v="1900-01-20T00:00:00"/>
    <n v="17"/>
    <x v="10"/>
    <x v="4"/>
  </r>
  <r>
    <x v="1075"/>
    <n v="-60.66"/>
    <x v="2318"/>
    <n v="786.68"/>
    <s v="Complete Access"/>
    <x v="1"/>
    <x v="1"/>
    <x v="1"/>
    <d v="1900-01-20T00:00:00"/>
    <n v="17"/>
    <x v="10"/>
    <x v="4"/>
  </r>
  <r>
    <x v="1076"/>
    <n v="-4.1500000000000004"/>
    <x v="2319"/>
    <n v="733.14"/>
    <s v="Complete Access"/>
    <x v="188"/>
    <x v="1"/>
    <x v="1"/>
    <d v="1900-01-19T00:00:00"/>
    <n v="17"/>
    <x v="10"/>
    <x v="4"/>
  </r>
  <r>
    <x v="1076"/>
    <n v="-3"/>
    <x v="2320"/>
    <n v="830.68"/>
    <s v="Complete Access"/>
    <x v="8"/>
    <x v="1"/>
    <x v="5"/>
    <d v="1900-01-19T00:00:00"/>
    <n v="17"/>
    <x v="10"/>
    <x v="4"/>
  </r>
  <r>
    <x v="1076"/>
    <n v="-69.400000000000006"/>
    <x v="2321"/>
    <n v="761.28"/>
    <s v="Complete Access"/>
    <x v="8"/>
    <x v="1"/>
    <x v="5"/>
    <d v="1900-01-19T00:00:00"/>
    <n v="17"/>
    <x v="10"/>
    <x v="4"/>
  </r>
  <r>
    <x v="1076"/>
    <n v="-23.99"/>
    <x v="2322"/>
    <n v="737.29"/>
    <s v="Complete Access"/>
    <x v="8"/>
    <x v="1"/>
    <x v="5"/>
    <d v="1900-01-19T00:00:00"/>
    <n v="17"/>
    <x v="10"/>
    <x v="4"/>
  </r>
  <r>
    <x v="1076"/>
    <n v="-102.99"/>
    <x v="2323"/>
    <n v="833.68"/>
    <s v="Complete Access"/>
    <x v="8"/>
    <x v="1"/>
    <x v="5"/>
    <d v="1900-01-19T00:00:00"/>
    <n v="17"/>
    <x v="10"/>
    <x v="4"/>
  </r>
  <r>
    <x v="1076"/>
    <n v="-214"/>
    <x v="2324"/>
    <n v="936.67"/>
    <s v="Complete Access"/>
    <x v="454"/>
    <x v="3"/>
    <x v="60"/>
    <d v="1900-01-19T00:00:00"/>
    <n v="17"/>
    <x v="10"/>
    <x v="4"/>
  </r>
  <r>
    <x v="1076"/>
    <n v="196.6"/>
    <x v="2325"/>
    <n v="929.74"/>
    <s v="Complete Access"/>
    <x v="583"/>
    <x v="0"/>
    <x v="69"/>
    <d v="1900-01-19T00:00:00"/>
    <n v="17"/>
    <x v="10"/>
    <x v="4"/>
  </r>
  <r>
    <x v="1077"/>
    <n v="-1000"/>
    <x v="2326"/>
    <n v="1150.67"/>
    <s v="Complete Access"/>
    <x v="504"/>
    <x v="0"/>
    <x v="72"/>
    <d v="1900-01-17T00:00:00"/>
    <n v="17"/>
    <x v="10"/>
    <x v="4"/>
  </r>
  <r>
    <x v="1078"/>
    <n v="-12"/>
    <x v="2327"/>
    <n v="2250.67"/>
    <s v="Complete Access"/>
    <x v="16"/>
    <x v="1"/>
    <x v="5"/>
    <d v="1900-01-16T00:00:00"/>
    <n v="16"/>
    <x v="10"/>
    <x v="4"/>
  </r>
  <r>
    <x v="1078"/>
    <n v="-100"/>
    <x v="2274"/>
    <n v="2150.67"/>
    <s v="Complete Access"/>
    <x v="552"/>
    <x v="0"/>
    <x v="74"/>
    <d v="1900-01-16T00:00:00"/>
    <n v="16"/>
    <x v="10"/>
    <x v="4"/>
  </r>
  <r>
    <x v="1079"/>
    <n v="-40"/>
    <x v="2328"/>
    <n v="2259.56"/>
    <s v="Complete Access"/>
    <x v="12"/>
    <x v="5"/>
    <x v="8"/>
    <d v="1900-01-15T00:00:00"/>
    <n v="16"/>
    <x v="10"/>
    <x v="4"/>
  </r>
  <r>
    <x v="1079"/>
    <n v="-16"/>
    <x v="2329"/>
    <n v="2190.67"/>
    <s v="Complete Access"/>
    <x v="562"/>
    <x v="1"/>
    <x v="5"/>
    <d v="1900-01-15T00:00:00"/>
    <n v="16"/>
    <x v="10"/>
    <x v="4"/>
  </r>
  <r>
    <x v="1079"/>
    <n v="72"/>
    <x v="2266"/>
    <n v="2262.67"/>
    <s v="Complete Access"/>
    <x v="27"/>
    <x v="1"/>
    <x v="5"/>
    <d v="1900-01-15T00:00:00"/>
    <n v="16"/>
    <x v="10"/>
    <x v="4"/>
  </r>
  <r>
    <x v="1079"/>
    <n v="-43.89"/>
    <x v="2330"/>
    <n v="2215.67"/>
    <s v="Complete Access"/>
    <x v="343"/>
    <x v="1"/>
    <x v="5"/>
    <d v="1900-01-15T00:00:00"/>
    <n v="16"/>
    <x v="10"/>
    <x v="4"/>
  </r>
  <r>
    <x v="1079"/>
    <n v="-9"/>
    <x v="2331"/>
    <n v="2206.67"/>
    <s v="Complete Access"/>
    <x v="277"/>
    <x v="8"/>
    <x v="29"/>
    <d v="1900-01-15T00:00:00"/>
    <n v="16"/>
    <x v="10"/>
    <x v="4"/>
  </r>
  <r>
    <x v="1080"/>
    <n v="2143.4699999999998"/>
    <x v="2332"/>
    <n v="2806.06"/>
    <s v="Complete Access"/>
    <x v="14"/>
    <x v="6"/>
    <x v="9"/>
    <d v="1900-01-14T00:00:00"/>
    <n v="16"/>
    <x v="10"/>
    <x v="4"/>
  </r>
  <r>
    <x v="1080"/>
    <n v="-500"/>
    <x v="2294"/>
    <n v="2306.06"/>
    <s v="Complete Access"/>
    <x v="571"/>
    <x v="19"/>
    <x v="61"/>
    <d v="1900-01-14T00:00:00"/>
    <n v="16"/>
    <x v="10"/>
    <x v="4"/>
  </r>
  <r>
    <x v="1080"/>
    <n v="-6.5"/>
    <x v="436"/>
    <n v="2299.56"/>
    <s v="Complete Access"/>
    <x v="186"/>
    <x v="1"/>
    <x v="5"/>
    <d v="1900-01-14T00:00:00"/>
    <n v="16"/>
    <x v="10"/>
    <x v="4"/>
  </r>
  <r>
    <x v="1081"/>
    <n v="-23.99"/>
    <x v="2333"/>
    <n v="680.66"/>
    <s v="Complete Access"/>
    <x v="8"/>
    <x v="1"/>
    <x v="5"/>
    <d v="1900-01-13T00:00:00"/>
    <n v="16"/>
    <x v="10"/>
    <x v="4"/>
  </r>
  <r>
    <x v="1081"/>
    <n v="-27.98"/>
    <x v="2334"/>
    <n v="704.65"/>
    <s v="Complete Access"/>
    <x v="8"/>
    <x v="1"/>
    <x v="5"/>
    <d v="1900-01-13T00:00:00"/>
    <n v="16"/>
    <x v="10"/>
    <x v="4"/>
  </r>
  <r>
    <x v="1081"/>
    <n v="-18.07"/>
    <x v="2135"/>
    <n v="662.59"/>
    <s v="Complete Access"/>
    <x v="215"/>
    <x v="1"/>
    <x v="1"/>
    <d v="1900-01-13T00:00:00"/>
    <n v="16"/>
    <x v="10"/>
    <x v="4"/>
  </r>
  <r>
    <x v="1081"/>
    <n v="-16.12"/>
    <x v="2335"/>
    <n v="732.63"/>
    <s v="Complete Access"/>
    <x v="1"/>
    <x v="1"/>
    <x v="1"/>
    <d v="1900-01-13T00:00:00"/>
    <n v="16"/>
    <x v="10"/>
    <x v="4"/>
  </r>
  <r>
    <x v="1082"/>
    <n v="-37.200000000000003"/>
    <x v="2336"/>
    <n v="727.75"/>
    <s v="Complete Access"/>
    <x v="8"/>
    <x v="1"/>
    <x v="5"/>
    <d v="1900-01-12T00:00:00"/>
    <n v="16"/>
    <x v="10"/>
    <x v="4"/>
  </r>
  <r>
    <x v="1082"/>
    <n v="15"/>
    <x v="2337"/>
    <n v="742.75"/>
    <s v="Complete Access"/>
    <x v="27"/>
    <x v="1"/>
    <x v="5"/>
    <d v="1900-01-12T00:00:00"/>
    <n v="16"/>
    <x v="10"/>
    <x v="4"/>
  </r>
  <r>
    <x v="1082"/>
    <n v="6"/>
    <x v="2338"/>
    <n v="748.75"/>
    <s v="Complete Access"/>
    <x v="583"/>
    <x v="0"/>
    <x v="69"/>
    <d v="1900-01-12T00:00:00"/>
    <n v="16"/>
    <x v="10"/>
    <x v="4"/>
  </r>
  <r>
    <x v="1083"/>
    <n v="-17.68"/>
    <x v="2135"/>
    <n v="764.95"/>
    <s v="Complete Access"/>
    <x v="215"/>
    <x v="1"/>
    <x v="1"/>
    <d v="1900-01-11T00:00:00"/>
    <n v="16"/>
    <x v="10"/>
    <x v="4"/>
  </r>
  <r>
    <x v="1083"/>
    <n v="1000"/>
    <x v="2339"/>
    <n v="1782.63"/>
    <s v="Complete Access"/>
    <x v="566"/>
    <x v="0"/>
    <x v="69"/>
    <d v="1900-01-11T00:00:00"/>
    <n v="16"/>
    <x v="10"/>
    <x v="4"/>
  </r>
  <r>
    <x v="1083"/>
    <n v="-1000"/>
    <x v="2340"/>
    <n v="782.63"/>
    <s v="Complete Access"/>
    <x v="504"/>
    <x v="0"/>
    <x v="72"/>
    <d v="1900-01-11T00:00:00"/>
    <n v="16"/>
    <x v="10"/>
    <x v="4"/>
  </r>
  <r>
    <x v="1084"/>
    <n v="1000"/>
    <x v="2341"/>
    <n v="1782.63"/>
    <s v="Complete Access"/>
    <x v="584"/>
    <x v="0"/>
    <x v="69"/>
    <d v="1900-01-10T00:00:00"/>
    <n v="16"/>
    <x v="10"/>
    <x v="4"/>
  </r>
  <r>
    <x v="1084"/>
    <n v="300"/>
    <x v="2342"/>
    <n v="782.63"/>
    <s v="Complete Access"/>
    <x v="584"/>
    <x v="0"/>
    <x v="69"/>
    <d v="1900-01-10T00:00:00"/>
    <n v="16"/>
    <x v="10"/>
    <x v="4"/>
  </r>
  <r>
    <x v="1084"/>
    <n v="700"/>
    <x v="2343"/>
    <n v="1482.63"/>
    <s v="Complete Access"/>
    <x v="584"/>
    <x v="0"/>
    <x v="69"/>
    <d v="1900-01-10T00:00:00"/>
    <n v="16"/>
    <x v="10"/>
    <x v="4"/>
  </r>
  <r>
    <x v="1084"/>
    <n v="-1000"/>
    <x v="2344"/>
    <n v="482.63"/>
    <s v="Complete Access"/>
    <x v="504"/>
    <x v="0"/>
    <x v="72"/>
    <d v="1900-01-10T00:00:00"/>
    <n v="16"/>
    <x v="10"/>
    <x v="4"/>
  </r>
  <r>
    <x v="1084"/>
    <n v="-1000"/>
    <x v="2345"/>
    <n v="782.63"/>
    <s v="Complete Access"/>
    <x v="504"/>
    <x v="0"/>
    <x v="72"/>
    <d v="1900-01-10T00:00:00"/>
    <n v="16"/>
    <x v="10"/>
    <x v="4"/>
  </r>
  <r>
    <x v="1085"/>
    <n v="-12"/>
    <x v="2346"/>
    <n v="1532.63"/>
    <s v="Complete Access"/>
    <x v="0"/>
    <x v="0"/>
    <x v="0"/>
    <d v="1900-01-09T00:00:00"/>
    <n v="15"/>
    <x v="10"/>
    <x v="4"/>
  </r>
  <r>
    <x v="1085"/>
    <n v="-75"/>
    <x v="2346"/>
    <n v="1544.63"/>
    <s v="Complete Access"/>
    <x v="0"/>
    <x v="0"/>
    <x v="0"/>
    <d v="1900-01-09T00:00:00"/>
    <n v="15"/>
    <x v="10"/>
    <x v="4"/>
  </r>
  <r>
    <x v="1085"/>
    <n v="-100"/>
    <x v="2274"/>
    <n v="1619.63"/>
    <s v="Complete Access"/>
    <x v="552"/>
    <x v="0"/>
    <x v="74"/>
    <d v="1900-01-09T00:00:00"/>
    <n v="15"/>
    <x v="10"/>
    <x v="4"/>
  </r>
  <r>
    <x v="1085"/>
    <n v="-750"/>
    <x v="2347"/>
    <n v="782.63"/>
    <s v="Complete Access"/>
    <x v="504"/>
    <x v="0"/>
    <x v="72"/>
    <d v="1900-01-09T00:00:00"/>
    <n v="15"/>
    <x v="10"/>
    <x v="4"/>
  </r>
  <r>
    <x v="1086"/>
    <n v="-16"/>
    <x v="2329"/>
    <n v="1719.63"/>
    <s v="Complete Access"/>
    <x v="562"/>
    <x v="1"/>
    <x v="5"/>
    <d v="1900-01-08T00:00:00"/>
    <n v="15"/>
    <x v="10"/>
    <x v="4"/>
  </r>
  <r>
    <x v="1086"/>
    <n v="-8.9"/>
    <x v="2348"/>
    <n v="1735.63"/>
    <s v="Complete Access"/>
    <x v="277"/>
    <x v="8"/>
    <x v="29"/>
    <d v="1900-01-08T00:00:00"/>
    <n v="15"/>
    <x v="10"/>
    <x v="4"/>
  </r>
  <r>
    <x v="1087"/>
    <n v="-25.13"/>
    <x v="2349"/>
    <n v="1968.07"/>
    <s v="Complete Access"/>
    <x v="8"/>
    <x v="1"/>
    <x v="5"/>
    <d v="1900-01-07T00:00:00"/>
    <n v="15"/>
    <x v="10"/>
    <x v="4"/>
  </r>
  <r>
    <x v="1087"/>
    <n v="-29.42"/>
    <x v="2350"/>
    <n v="1938.65"/>
    <s v="Complete Access"/>
    <x v="8"/>
    <x v="1"/>
    <x v="5"/>
    <d v="1900-01-07T00:00:00"/>
    <n v="15"/>
    <x v="10"/>
    <x v="4"/>
  </r>
  <r>
    <x v="1087"/>
    <n v="-11.06"/>
    <x v="2351"/>
    <n v="1744.53"/>
    <s v="Complete Access"/>
    <x v="423"/>
    <x v="1"/>
    <x v="5"/>
    <d v="1900-01-07T00:00:00"/>
    <n v="15"/>
    <x v="10"/>
    <x v="4"/>
  </r>
  <r>
    <x v="1087"/>
    <n v="841.68"/>
    <x v="2352"/>
    <n v="1993.2"/>
    <s v="Complete Access"/>
    <x v="585"/>
    <x v="0"/>
    <x v="78"/>
    <d v="1900-01-07T00:00:00"/>
    <n v="15"/>
    <x v="10"/>
    <x v="4"/>
  </r>
  <r>
    <x v="1087"/>
    <n v="-129"/>
    <x v="2353"/>
    <n v="1755.59"/>
    <s v="Complete Access"/>
    <x v="214"/>
    <x v="4"/>
    <x v="52"/>
    <d v="1900-01-07T00:00:00"/>
    <n v="15"/>
    <x v="10"/>
    <x v="4"/>
  </r>
  <r>
    <x v="1087"/>
    <n v="-54.06"/>
    <x v="2354"/>
    <n v="1884.59"/>
    <s v="Complete Access"/>
    <x v="1"/>
    <x v="1"/>
    <x v="1"/>
    <d v="1900-01-07T00:00:00"/>
    <n v="15"/>
    <x v="10"/>
    <x v="4"/>
  </r>
  <r>
    <x v="1088"/>
    <n v="-46.99"/>
    <x v="2350"/>
    <n v="1151.52"/>
    <s v="Complete Access"/>
    <x v="8"/>
    <x v="1"/>
    <x v="5"/>
    <d v="1900-01-06T00:00:00"/>
    <n v="15"/>
    <x v="10"/>
    <x v="4"/>
  </r>
  <r>
    <x v="1088"/>
    <n v="-36.520000000000003"/>
    <x v="2355"/>
    <n v="1198.51"/>
    <s v="Complete Access"/>
    <x v="8"/>
    <x v="1"/>
    <x v="5"/>
    <d v="1900-01-06T00:00:00"/>
    <n v="15"/>
    <x v="10"/>
    <x v="4"/>
  </r>
  <r>
    <x v="1088"/>
    <n v="-1.61"/>
    <x v="2355"/>
    <n v="1235.03"/>
    <s v="Complete Access"/>
    <x v="8"/>
    <x v="1"/>
    <x v="5"/>
    <d v="1900-01-06T00:00:00"/>
    <n v="15"/>
    <x v="10"/>
    <x v="4"/>
  </r>
  <r>
    <x v="1089"/>
    <n v="2474.94"/>
    <x v="2356"/>
    <n v="3736.64"/>
    <s v="Complete Access"/>
    <x v="586"/>
    <x v="4"/>
    <x v="78"/>
    <d v="1900-01-05T00:00:00"/>
    <n v="15"/>
    <x v="10"/>
    <x v="4"/>
  </r>
  <r>
    <x v="1089"/>
    <n v="-2500"/>
    <x v="2357"/>
    <n v="1236.6400000000001"/>
    <s v="Complete Access"/>
    <x v="504"/>
    <x v="0"/>
    <x v="72"/>
    <d v="1900-01-05T00:00:00"/>
    <n v="15"/>
    <x v="10"/>
    <x v="4"/>
  </r>
  <r>
    <x v="1090"/>
    <n v="-36"/>
    <x v="2358"/>
    <n v="1261.7"/>
    <s v="Complete Access"/>
    <x v="0"/>
    <x v="0"/>
    <x v="0"/>
    <d v="1900-01-02T00:00:00"/>
    <n v="14"/>
    <x v="10"/>
    <x v="4"/>
  </r>
  <r>
    <x v="1090"/>
    <n v="-100"/>
    <x v="2274"/>
    <n v="1297.7"/>
    <s v="Complete Access"/>
    <x v="552"/>
    <x v="0"/>
    <x v="74"/>
    <d v="1900-01-02T00:00:00"/>
    <n v="14"/>
    <x v="10"/>
    <x v="4"/>
  </r>
  <r>
    <x v="1091"/>
    <n v="-45"/>
    <x v="2359"/>
    <n v="1595.51"/>
    <s v="Complete Access"/>
    <x v="0"/>
    <x v="0"/>
    <x v="0"/>
    <d v="1900-01-01T00:00:00"/>
    <n v="14"/>
    <x v="10"/>
    <x v="4"/>
  </r>
  <r>
    <x v="1091"/>
    <n v="-197.81"/>
    <x v="2360"/>
    <n v="1397.7"/>
    <s v="Complete Access"/>
    <x v="0"/>
    <x v="0"/>
    <x v="0"/>
    <d v="1900-01-01T00:00:00"/>
    <n v="14"/>
    <x v="10"/>
    <x v="4"/>
  </r>
  <r>
    <x v="1092"/>
    <n v="-23.99"/>
    <x v="2361"/>
    <n v="2339.9899999999998"/>
    <s v="Complete Access"/>
    <x v="8"/>
    <x v="1"/>
    <x v="5"/>
    <d v="1899-12-31T00:00:00"/>
    <n v="14"/>
    <x v="10"/>
    <x v="4"/>
  </r>
  <r>
    <x v="1092"/>
    <n v="-40"/>
    <x v="2362"/>
    <n v="2407.56"/>
    <s v="Complete Access"/>
    <x v="12"/>
    <x v="5"/>
    <x v="8"/>
    <d v="1899-12-31T00:00:00"/>
    <n v="14"/>
    <x v="10"/>
    <x v="4"/>
  </r>
  <r>
    <x v="1092"/>
    <n v="2143.4699999999998"/>
    <x v="728"/>
    <n v="2447.56"/>
    <s v="Complete Access"/>
    <x v="14"/>
    <x v="6"/>
    <x v="9"/>
    <d v="1899-12-31T00:00:00"/>
    <n v="14"/>
    <x v="10"/>
    <x v="4"/>
  </r>
  <r>
    <x v="1092"/>
    <n v="-500"/>
    <x v="2294"/>
    <n v="1839.99"/>
    <s v="Complete Access"/>
    <x v="571"/>
    <x v="19"/>
    <x v="61"/>
    <d v="1899-12-31T00:00:00"/>
    <n v="14"/>
    <x v="10"/>
    <x v="4"/>
  </r>
  <r>
    <x v="1092"/>
    <n v="-20"/>
    <x v="2229"/>
    <n v="1819.99"/>
    <s v="Complete Access"/>
    <x v="557"/>
    <x v="7"/>
    <x v="53"/>
    <d v="1899-12-31T00:00:00"/>
    <n v="14"/>
    <x v="10"/>
    <x v="4"/>
  </r>
  <r>
    <x v="1092"/>
    <n v="-179.45"/>
    <x v="2363"/>
    <n v="1640.51"/>
    <s v="Complete Access"/>
    <x v="76"/>
    <x v="2"/>
    <x v="2"/>
    <d v="1899-12-31T00:00:00"/>
    <n v="14"/>
    <x v="10"/>
    <x v="4"/>
  </r>
  <r>
    <x v="1092"/>
    <n v="-0.03"/>
    <x v="655"/>
    <n v="1819.96"/>
    <s v="Complete Access"/>
    <x v="249"/>
    <x v="0"/>
    <x v="0"/>
    <d v="1899-12-31T00:00:00"/>
    <n v="14"/>
    <x v="10"/>
    <x v="4"/>
  </r>
  <r>
    <x v="1092"/>
    <n v="-43.58"/>
    <x v="2364"/>
    <n v="2363.98"/>
    <s v="Complete Access"/>
    <x v="1"/>
    <x v="1"/>
    <x v="1"/>
    <d v="1899-12-31T00:00:00"/>
    <n v="14"/>
    <x v="10"/>
    <x v="4"/>
  </r>
  <r>
    <x v="1093"/>
    <n v="350"/>
    <x v="2365"/>
    <n v="431.72"/>
    <s v="Complete Access"/>
    <x v="0"/>
    <x v="0"/>
    <x v="0"/>
    <d v="1900-01-30T00:00:00"/>
    <n v="14"/>
    <x v="11"/>
    <x v="4"/>
  </r>
  <r>
    <x v="1093"/>
    <n v="-53.99"/>
    <x v="2366"/>
    <n v="114.22"/>
    <s v="Complete Access"/>
    <x v="8"/>
    <x v="1"/>
    <x v="5"/>
    <d v="1900-01-30T00:00:00"/>
    <n v="14"/>
    <x v="11"/>
    <x v="4"/>
  </r>
  <r>
    <x v="1093"/>
    <n v="-32.5"/>
    <x v="2367"/>
    <n v="81.72"/>
    <s v="Complete Access"/>
    <x v="8"/>
    <x v="1"/>
    <x v="5"/>
    <d v="1900-01-30T00:00:00"/>
    <n v="14"/>
    <x v="11"/>
    <x v="4"/>
  </r>
  <r>
    <x v="1093"/>
    <n v="-16"/>
    <x v="2329"/>
    <n v="615.72"/>
    <s v="Complete Access"/>
    <x v="562"/>
    <x v="1"/>
    <x v="5"/>
    <d v="1900-01-30T00:00:00"/>
    <n v="14"/>
    <x v="11"/>
    <x v="4"/>
  </r>
  <r>
    <x v="1093"/>
    <n v="200"/>
    <x v="2305"/>
    <n v="631.72"/>
    <s v="Complete Access"/>
    <x v="0"/>
    <x v="0"/>
    <x v="0"/>
    <d v="1900-01-30T00:00:00"/>
    <n v="14"/>
    <x v="11"/>
    <x v="4"/>
  </r>
  <r>
    <x v="1093"/>
    <n v="-20"/>
    <x v="2346"/>
    <n v="652.28"/>
    <s v="Complete Access"/>
    <x v="0"/>
    <x v="0"/>
    <x v="0"/>
    <d v="1900-01-30T00:00:00"/>
    <n v="14"/>
    <x v="11"/>
    <x v="4"/>
  </r>
  <r>
    <x v="1093"/>
    <n v="56.56"/>
    <x v="2282"/>
    <n v="672.28"/>
    <s v="Complete Access"/>
    <x v="567"/>
    <x v="0"/>
    <x v="69"/>
    <d v="1900-01-30T00:00:00"/>
    <n v="14"/>
    <x v="11"/>
    <x v="4"/>
  </r>
  <r>
    <x v="1093"/>
    <n v="-348.19"/>
    <x v="2368"/>
    <n v="304.08999999999997"/>
    <s v="Complete Access"/>
    <x v="438"/>
    <x v="12"/>
    <x v="21"/>
    <d v="1900-01-30T00:00:00"/>
    <n v="14"/>
    <x v="11"/>
    <x v="4"/>
  </r>
  <r>
    <x v="1094"/>
    <n v="-1000"/>
    <x v="2369"/>
    <n v="182.11"/>
    <s v="Complete Access"/>
    <x v="585"/>
    <x v="0"/>
    <x v="78"/>
    <d v="1900-01-29T00:00:00"/>
    <n v="14"/>
    <x v="11"/>
    <x v="4"/>
  </r>
  <r>
    <x v="1094"/>
    <n v="-5"/>
    <x v="2370"/>
    <n v="177.11"/>
    <s v="Complete Access"/>
    <x v="587"/>
    <x v="8"/>
    <x v="22"/>
    <d v="1900-01-29T00:00:00"/>
    <n v="14"/>
    <x v="11"/>
    <x v="4"/>
  </r>
  <r>
    <x v="1094"/>
    <n v="-8.9"/>
    <x v="2371"/>
    <n v="168.21"/>
    <s v="Complete Access"/>
    <x v="277"/>
    <x v="8"/>
    <x v="29"/>
    <d v="1900-01-29T00:00:00"/>
    <n v="14"/>
    <x v="11"/>
    <x v="4"/>
  </r>
  <r>
    <x v="1095"/>
    <n v="-100"/>
    <x v="2274"/>
    <n v="1182.1099999999999"/>
    <s v="Complete Access"/>
    <x v="552"/>
    <x v="0"/>
    <x v="74"/>
    <d v="1900-01-26T00:00:00"/>
    <n v="13"/>
    <x v="11"/>
    <x v="4"/>
  </r>
  <r>
    <x v="1095"/>
    <n v="-56.56"/>
    <x v="2372"/>
    <n v="1282.1099999999999"/>
    <s v="Complete Access"/>
    <x v="1"/>
    <x v="1"/>
    <x v="1"/>
    <d v="1900-01-26T00:00:00"/>
    <n v="13"/>
    <x v="11"/>
    <x v="4"/>
  </r>
  <r>
    <x v="1096"/>
    <n v="-2.2799999999999998"/>
    <x v="2373"/>
    <n v="1338.67"/>
    <s v="Complete Access"/>
    <x v="188"/>
    <x v="1"/>
    <x v="1"/>
    <d v="1900-01-25T00:00:00"/>
    <n v="13"/>
    <x v="11"/>
    <x v="4"/>
  </r>
  <r>
    <x v="1097"/>
    <n v="-8.8000000000000007"/>
    <x v="2374"/>
    <n v="1340.95"/>
    <s v="Complete Access"/>
    <x v="588"/>
    <x v="1"/>
    <x v="5"/>
    <d v="1900-01-24T00:00:00"/>
    <n v="13"/>
    <x v="11"/>
    <x v="4"/>
  </r>
  <r>
    <x v="1098"/>
    <n v="-23.89"/>
    <x v="2375"/>
    <n v="1240.75"/>
    <s v="Complete Access"/>
    <x v="8"/>
    <x v="1"/>
    <x v="5"/>
    <d v="1900-01-23T00:00:00"/>
    <n v="13"/>
    <x v="11"/>
    <x v="4"/>
  </r>
  <r>
    <x v="1098"/>
    <n v="-16"/>
    <x v="2329"/>
    <n v="1224.75"/>
    <s v="Complete Access"/>
    <x v="562"/>
    <x v="1"/>
    <x v="5"/>
    <d v="1900-01-23T00:00:00"/>
    <n v="13"/>
    <x v="11"/>
    <x v="4"/>
  </r>
  <r>
    <x v="1098"/>
    <n v="462.12"/>
    <x v="2376"/>
    <n v="1264.6400000000001"/>
    <s v="Complete Access"/>
    <x v="160"/>
    <x v="17"/>
    <x v="43"/>
    <d v="1900-01-23T00:00:00"/>
    <n v="13"/>
    <x v="11"/>
    <x v="4"/>
  </r>
  <r>
    <x v="1098"/>
    <n v="125"/>
    <x v="2377"/>
    <n v="1349.75"/>
    <s v="Complete Access"/>
    <x v="583"/>
    <x v="0"/>
    <x v="69"/>
    <d v="1900-01-23T00:00:00"/>
    <n v="13"/>
    <x v="11"/>
    <x v="4"/>
  </r>
  <r>
    <x v="1099"/>
    <n v="-59"/>
    <x v="2378"/>
    <n v="1264.6400000000001"/>
    <s v="Complete Access"/>
    <x v="207"/>
    <x v="7"/>
    <x v="11"/>
    <d v="1900-01-22T00:00:00"/>
    <n v="13"/>
    <x v="11"/>
    <x v="4"/>
  </r>
  <r>
    <x v="1099"/>
    <n v="-242.35"/>
    <x v="2379"/>
    <n v="1323.64"/>
    <s v="Complete Access"/>
    <x v="589"/>
    <x v="4"/>
    <x v="30"/>
    <d v="1900-01-22T00:00:00"/>
    <n v="13"/>
    <x v="11"/>
    <x v="4"/>
  </r>
  <r>
    <x v="1099"/>
    <n v="-462.12"/>
    <x v="2380"/>
    <n v="802.52"/>
    <s v="Complete Access"/>
    <x v="160"/>
    <x v="17"/>
    <x v="43"/>
    <d v="1900-01-22T00:00:00"/>
    <n v="13"/>
    <x v="11"/>
    <x v="4"/>
  </r>
  <r>
    <x v="1100"/>
    <n v="-0.92"/>
    <x v="2381"/>
    <n v="1691.98"/>
    <s v="Complete Access"/>
    <x v="188"/>
    <x v="1"/>
    <x v="1"/>
    <d v="1900-01-19T00:00:00"/>
    <n v="12"/>
    <x v="11"/>
    <x v="4"/>
  </r>
  <r>
    <x v="1100"/>
    <n v="-10"/>
    <x v="2382"/>
    <n v="1681.98"/>
    <s v="Complete Access"/>
    <x v="16"/>
    <x v="1"/>
    <x v="5"/>
    <d v="1900-01-19T00:00:00"/>
    <n v="12"/>
    <x v="11"/>
    <x v="4"/>
  </r>
  <r>
    <x v="1100"/>
    <n v="-15.99"/>
    <x v="2383"/>
    <n v="1665.99"/>
    <s v="Complete Access"/>
    <x v="373"/>
    <x v="8"/>
    <x v="7"/>
    <d v="1900-01-19T00:00:00"/>
    <n v="12"/>
    <x v="11"/>
    <x v="4"/>
  </r>
  <r>
    <x v="1100"/>
    <n v="-100"/>
    <x v="2274"/>
    <n v="1565.99"/>
    <s v="Complete Access"/>
    <x v="552"/>
    <x v="0"/>
    <x v="74"/>
    <d v="1900-01-19T00:00:00"/>
    <n v="12"/>
    <x v="11"/>
    <x v="4"/>
  </r>
  <r>
    <x v="1101"/>
    <n v="-40"/>
    <x v="2384"/>
    <n v="1710.3"/>
    <s v="Complete Access"/>
    <x v="12"/>
    <x v="5"/>
    <x v="8"/>
    <d v="1900-01-18T00:00:00"/>
    <n v="12"/>
    <x v="11"/>
    <x v="4"/>
  </r>
  <r>
    <x v="1101"/>
    <n v="-17.399999999999999"/>
    <x v="436"/>
    <n v="1692.9"/>
    <s v="Complete Access"/>
    <x v="186"/>
    <x v="1"/>
    <x v="5"/>
    <d v="1900-01-18T00:00:00"/>
    <n v="12"/>
    <x v="11"/>
    <x v="4"/>
  </r>
  <r>
    <x v="1102"/>
    <n v="2143.4699999999998"/>
    <x v="2385"/>
    <n v="2250.3000000000002"/>
    <s v="Complete Access"/>
    <x v="14"/>
    <x v="6"/>
    <x v="9"/>
    <d v="1900-01-17T00:00:00"/>
    <n v="12"/>
    <x v="11"/>
    <x v="4"/>
  </r>
  <r>
    <x v="1102"/>
    <n v="-500"/>
    <x v="2294"/>
    <n v="1750.3"/>
    <s v="Complete Access"/>
    <x v="571"/>
    <x v="19"/>
    <x v="61"/>
    <d v="1900-01-17T00:00:00"/>
    <n v="12"/>
    <x v="11"/>
    <x v="4"/>
  </r>
  <r>
    <x v="1103"/>
    <n v="150"/>
    <x v="2365"/>
    <n v="106.83"/>
    <s v="Complete Access"/>
    <x v="0"/>
    <x v="0"/>
    <x v="0"/>
    <d v="1900-01-16T00:00:00"/>
    <n v="12"/>
    <x v="11"/>
    <x v="4"/>
  </r>
  <r>
    <x v="1103"/>
    <n v="-24"/>
    <x v="2386"/>
    <n v="28.59"/>
    <s v="Complete Access"/>
    <x v="590"/>
    <x v="20"/>
    <x v="63"/>
    <d v="1900-01-16T00:00:00"/>
    <n v="12"/>
    <x v="11"/>
    <x v="4"/>
  </r>
  <r>
    <x v="1103"/>
    <n v="-8.6999999999999993"/>
    <x v="2386"/>
    <n v="52.59"/>
    <s v="Complete Access"/>
    <x v="590"/>
    <x v="20"/>
    <x v="63"/>
    <d v="1900-01-16T00:00:00"/>
    <n v="12"/>
    <x v="11"/>
    <x v="4"/>
  </r>
  <r>
    <x v="1103"/>
    <n v="-8.6999999999999993"/>
    <x v="2386"/>
    <n v="61.29"/>
    <s v="Complete Access"/>
    <x v="590"/>
    <x v="20"/>
    <x v="63"/>
    <d v="1900-01-16T00:00:00"/>
    <n v="12"/>
    <x v="11"/>
    <x v="4"/>
  </r>
  <r>
    <x v="1103"/>
    <n v="-33.29"/>
    <x v="2387"/>
    <n v="-4.7"/>
    <s v="Complete Access"/>
    <x v="8"/>
    <x v="1"/>
    <x v="5"/>
    <d v="1900-01-16T00:00:00"/>
    <n v="12"/>
    <x v="11"/>
    <x v="4"/>
  </r>
  <r>
    <x v="1103"/>
    <n v="-38.47"/>
    <x v="2388"/>
    <n v="-43.17"/>
    <s v="Complete Access"/>
    <x v="1"/>
    <x v="1"/>
    <x v="1"/>
    <d v="1900-01-16T00:00:00"/>
    <n v="12"/>
    <x v="11"/>
    <x v="4"/>
  </r>
  <r>
    <x v="1104"/>
    <n v="-5"/>
    <x v="2389"/>
    <n v="84.99"/>
    <s v="Complete Access"/>
    <x v="591"/>
    <x v="0"/>
    <x v="0"/>
    <d v="1900-01-15T00:00:00"/>
    <n v="12"/>
    <x v="11"/>
    <x v="4"/>
  </r>
  <r>
    <x v="1104"/>
    <n v="198.5"/>
    <x v="2390"/>
    <n v="89.99"/>
    <s v="Complete Access"/>
    <x v="438"/>
    <x v="12"/>
    <x v="21"/>
    <d v="1900-01-15T00:00:00"/>
    <n v="12"/>
    <x v="11"/>
    <x v="4"/>
  </r>
  <r>
    <x v="1104"/>
    <n v="-15"/>
    <x v="2391"/>
    <n v="69.989999999999995"/>
    <s v="Complete Access"/>
    <x v="263"/>
    <x v="0"/>
    <x v="0"/>
    <d v="1900-01-15T00:00:00"/>
    <n v="12"/>
    <x v="11"/>
    <x v="4"/>
  </r>
  <r>
    <x v="1104"/>
    <n v="-59.99"/>
    <x v="2392"/>
    <n v="-97.11"/>
    <s v="Complete Access"/>
    <x v="343"/>
    <x v="1"/>
    <x v="5"/>
    <d v="1900-01-15T00:00:00"/>
    <n v="12"/>
    <x v="11"/>
    <x v="4"/>
  </r>
  <r>
    <x v="1104"/>
    <n v="-3.2"/>
    <x v="2393"/>
    <n v="-108.51"/>
    <s v="Complete Access"/>
    <x v="592"/>
    <x v="3"/>
    <x v="26"/>
    <d v="1900-01-15T00:00:00"/>
    <n v="12"/>
    <x v="11"/>
    <x v="4"/>
  </r>
  <r>
    <x v="1104"/>
    <n v="-8.1999999999999993"/>
    <x v="2394"/>
    <n v="-105.31"/>
    <s v="Complete Access"/>
    <x v="277"/>
    <x v="8"/>
    <x v="29"/>
    <d v="1900-01-15T00:00:00"/>
    <n v="12"/>
    <x v="11"/>
    <x v="4"/>
  </r>
  <r>
    <x v="1105"/>
    <n v="-198.5"/>
    <x v="2395"/>
    <n v="-37.119999999999997"/>
    <s v="Complete Access"/>
    <x v="438"/>
    <x v="12"/>
    <x v="21"/>
    <d v="1900-01-14T00:00:00"/>
    <n v="12"/>
    <x v="11"/>
    <x v="4"/>
  </r>
  <r>
    <x v="1106"/>
    <n v="-10"/>
    <x v="2396"/>
    <n v="101.38"/>
    <s v="Complete Access"/>
    <x v="16"/>
    <x v="1"/>
    <x v="5"/>
    <d v="1900-01-12T00:00:00"/>
    <n v="11"/>
    <x v="11"/>
    <x v="4"/>
  </r>
  <r>
    <x v="1106"/>
    <n v="60"/>
    <x v="2305"/>
    <n v="161.38"/>
    <s v="Complete Access"/>
    <x v="0"/>
    <x v="0"/>
    <x v="0"/>
    <d v="1900-01-12T00:00:00"/>
    <n v="11"/>
    <x v="11"/>
    <x v="4"/>
  </r>
  <r>
    <x v="1106"/>
    <n v="-100"/>
    <x v="2274"/>
    <n v="111.38"/>
    <s v="Complete Access"/>
    <x v="552"/>
    <x v="0"/>
    <x v="74"/>
    <d v="1900-01-12T00:00:00"/>
    <n v="11"/>
    <x v="11"/>
    <x v="4"/>
  </r>
  <r>
    <x v="1107"/>
    <n v="-10"/>
    <x v="2397"/>
    <n v="211.38"/>
    <s v="Complete Access"/>
    <x v="188"/>
    <x v="1"/>
    <x v="1"/>
    <d v="1900-01-11T00:00:00"/>
    <n v="11"/>
    <x v="11"/>
    <x v="4"/>
  </r>
  <r>
    <x v="1108"/>
    <n v="200"/>
    <x v="2305"/>
    <n v="221.38"/>
    <s v="Complete Access"/>
    <x v="0"/>
    <x v="0"/>
    <x v="0"/>
    <d v="1900-01-10T00:00:00"/>
    <n v="11"/>
    <x v="11"/>
    <x v="4"/>
  </r>
  <r>
    <x v="1108"/>
    <n v="-30.02"/>
    <x v="2398"/>
    <n v="24.38"/>
    <s v="Complete Access"/>
    <x v="1"/>
    <x v="1"/>
    <x v="1"/>
    <d v="1900-01-10T00:00:00"/>
    <n v="11"/>
    <x v="11"/>
    <x v="4"/>
  </r>
  <r>
    <x v="1108"/>
    <n v="-3"/>
    <x v="2399"/>
    <n v="21.38"/>
    <s v="Complete Access"/>
    <x v="34"/>
    <x v="9"/>
    <x v="12"/>
    <d v="1900-01-10T00:00:00"/>
    <n v="11"/>
    <x v="11"/>
    <x v="4"/>
  </r>
  <r>
    <x v="1109"/>
    <n v="-16"/>
    <x v="2329"/>
    <n v="54.4"/>
    <s v="Complete Access"/>
    <x v="562"/>
    <x v="1"/>
    <x v="5"/>
    <d v="1900-01-09T00:00:00"/>
    <n v="11"/>
    <x v="11"/>
    <x v="4"/>
  </r>
  <r>
    <x v="1109"/>
    <n v="2000"/>
    <x v="2305"/>
    <n v="6970.4"/>
    <s v="Complete Access"/>
    <x v="0"/>
    <x v="0"/>
    <x v="0"/>
    <d v="1900-01-09T00:00:00"/>
    <n v="11"/>
    <x v="11"/>
    <x v="4"/>
  </r>
  <r>
    <x v="1109"/>
    <n v="-6900"/>
    <x v="2400"/>
    <n v="70.400000000000006"/>
    <s v="Complete Access"/>
    <x v="504"/>
    <x v="0"/>
    <x v="72"/>
    <d v="1900-01-09T00:00:00"/>
    <n v="11"/>
    <x v="11"/>
    <x v="4"/>
  </r>
  <r>
    <x v="1110"/>
    <n v="-1.1599999999999999"/>
    <x v="2401"/>
    <n v="4980.3999999999996"/>
    <s v="Complete Access"/>
    <x v="188"/>
    <x v="1"/>
    <x v="1"/>
    <d v="1900-01-08T00:00:00"/>
    <n v="11"/>
    <x v="11"/>
    <x v="4"/>
  </r>
  <r>
    <x v="1110"/>
    <n v="-11.03"/>
    <x v="2402"/>
    <n v="4981.5600000000004"/>
    <s v="Complete Access"/>
    <x v="8"/>
    <x v="1"/>
    <x v="5"/>
    <d v="1900-01-08T00:00:00"/>
    <n v="11"/>
    <x v="11"/>
    <x v="4"/>
  </r>
  <r>
    <x v="1110"/>
    <n v="-40"/>
    <x v="2403"/>
    <n v="4992.59"/>
    <s v="Complete Access"/>
    <x v="12"/>
    <x v="5"/>
    <x v="8"/>
    <d v="1900-01-08T00:00:00"/>
    <n v="11"/>
    <x v="11"/>
    <x v="4"/>
  </r>
  <r>
    <x v="1110"/>
    <n v="-10"/>
    <x v="2404"/>
    <n v="4970.3999999999996"/>
    <s v="Complete Access"/>
    <x v="16"/>
    <x v="1"/>
    <x v="5"/>
    <d v="1900-01-08T00:00:00"/>
    <n v="11"/>
    <x v="11"/>
    <x v="4"/>
  </r>
  <r>
    <x v="1111"/>
    <n v="-69.77"/>
    <x v="2105"/>
    <n v="5032.59"/>
    <s v="Complete Access"/>
    <x v="4"/>
    <x v="1"/>
    <x v="1"/>
    <d v="1900-01-07T00:00:00"/>
    <n v="11"/>
    <x v="11"/>
    <x v="4"/>
  </r>
  <r>
    <x v="1112"/>
    <n v="-16"/>
    <x v="2405"/>
    <n v="5102.3599999999997"/>
    <s v="Complete Access"/>
    <x v="0"/>
    <x v="0"/>
    <x v="0"/>
    <d v="1900-01-05T00:00:00"/>
    <n v="10"/>
    <x v="11"/>
    <x v="4"/>
  </r>
  <r>
    <x v="1112"/>
    <n v="-100"/>
    <x v="2274"/>
    <n v="5118.3599999999997"/>
    <s v="Complete Access"/>
    <x v="552"/>
    <x v="0"/>
    <x v="74"/>
    <d v="1900-01-05T00:00:00"/>
    <n v="10"/>
    <x v="11"/>
    <x v="4"/>
  </r>
  <r>
    <x v="1113"/>
    <n v="-22.04"/>
    <x v="2135"/>
    <n v="5218.3599999999997"/>
    <s v="Complete Access"/>
    <x v="215"/>
    <x v="1"/>
    <x v="1"/>
    <d v="1900-01-04T00:00:00"/>
    <n v="10"/>
    <x v="11"/>
    <x v="4"/>
  </r>
  <r>
    <x v="1114"/>
    <n v="2143.4699999999998"/>
    <x v="2109"/>
    <n v="5685.3"/>
    <s v="Complete Access"/>
    <x v="14"/>
    <x v="6"/>
    <x v="9"/>
    <d v="1900-01-03T00:00:00"/>
    <n v="10"/>
    <x v="11"/>
    <x v="4"/>
  </r>
  <r>
    <x v="1114"/>
    <n v="-500"/>
    <x v="2294"/>
    <n v="5185.3"/>
    <s v="Complete Access"/>
    <x v="571"/>
    <x v="19"/>
    <x v="61"/>
    <d v="1900-01-03T00:00:00"/>
    <n v="10"/>
    <x v="11"/>
    <x v="4"/>
  </r>
  <r>
    <x v="1114"/>
    <n v="-10.9"/>
    <x v="2406"/>
    <n v="5174.3999999999996"/>
    <s v="Complete Access"/>
    <x v="27"/>
    <x v="1"/>
    <x v="5"/>
    <d v="1900-01-03T00:00:00"/>
    <n v="10"/>
    <x v="11"/>
    <x v="4"/>
  </r>
  <r>
    <x v="1114"/>
    <n v="66"/>
    <x v="2282"/>
    <n v="5240.3999999999996"/>
    <s v="Complete Access"/>
    <x v="567"/>
    <x v="0"/>
    <x v="69"/>
    <d v="1900-01-03T00:00:00"/>
    <n v="10"/>
    <x v="11"/>
    <x v="4"/>
  </r>
  <r>
    <x v="1115"/>
    <n v="-28.29"/>
    <x v="2407"/>
    <n v="3557.83"/>
    <s v="Complete Access"/>
    <x v="8"/>
    <x v="1"/>
    <x v="5"/>
    <d v="1900-01-02T00:00:00"/>
    <n v="10"/>
    <x v="11"/>
    <x v="4"/>
  </r>
  <r>
    <x v="1115"/>
    <n v="-16"/>
    <x v="2329"/>
    <n v="3541.83"/>
    <s v="Complete Access"/>
    <x v="562"/>
    <x v="1"/>
    <x v="5"/>
    <d v="1900-01-02T00:00:00"/>
    <n v="10"/>
    <x v="11"/>
    <x v="4"/>
  </r>
  <r>
    <x v="1116"/>
    <n v="-2.12"/>
    <x v="2408"/>
    <n v="3599.12"/>
    <s v="Complete Access"/>
    <x v="188"/>
    <x v="1"/>
    <x v="1"/>
    <d v="1900-01-01T00:00:00"/>
    <n v="10"/>
    <x v="11"/>
    <x v="4"/>
  </r>
  <r>
    <x v="1116"/>
    <n v="-13"/>
    <x v="2409"/>
    <n v="3586.12"/>
    <s v="Complete Access"/>
    <x v="0"/>
    <x v="0"/>
    <x v="0"/>
    <d v="1900-01-01T00:00:00"/>
    <n v="10"/>
    <x v="11"/>
    <x v="4"/>
  </r>
  <r>
    <x v="1117"/>
    <n v="-20"/>
    <x v="2229"/>
    <n v="3810.05"/>
    <s v="Complete Access"/>
    <x v="557"/>
    <x v="7"/>
    <x v="53"/>
    <d v="1899-12-31T00:00:00"/>
    <n v="10"/>
    <x v="11"/>
    <x v="4"/>
  </r>
  <r>
    <x v="1117"/>
    <n v="-32.21"/>
    <x v="2135"/>
    <n v="3777.84"/>
    <s v="Complete Access"/>
    <x v="215"/>
    <x v="1"/>
    <x v="1"/>
    <d v="1899-12-31T00:00:00"/>
    <n v="10"/>
    <x v="11"/>
    <x v="4"/>
  </r>
  <r>
    <x v="1117"/>
    <n v="-176.6"/>
    <x v="2410"/>
    <n v="3601.24"/>
    <s v="Complete Access"/>
    <x v="76"/>
    <x v="2"/>
    <x v="2"/>
    <d v="1899-12-31T00:00:00"/>
    <n v="10"/>
    <x v="11"/>
    <x v="4"/>
  </r>
  <r>
    <x v="1118"/>
    <n v="-24"/>
    <x v="2409"/>
    <n v="3830.05"/>
    <s v="Complete Access"/>
    <x v="0"/>
    <x v="0"/>
    <x v="0"/>
    <d v="1900-01-27T00:00:00"/>
    <n v="10"/>
    <x v="0"/>
    <x v="4"/>
  </r>
  <r>
    <x v="1119"/>
    <n v="-2.84"/>
    <x v="2411"/>
    <n v="3864.05"/>
    <s v="Complete Access"/>
    <x v="188"/>
    <x v="1"/>
    <x v="1"/>
    <d v="1900-01-26T00:00:00"/>
    <n v="9"/>
    <x v="0"/>
    <x v="4"/>
  </r>
  <r>
    <x v="1119"/>
    <n v="-10"/>
    <x v="2412"/>
    <n v="3854.05"/>
    <s v="Complete Access"/>
    <x v="16"/>
    <x v="1"/>
    <x v="5"/>
    <d v="1900-01-26T00:00:00"/>
    <n v="9"/>
    <x v="0"/>
    <x v="4"/>
  </r>
  <r>
    <x v="1119"/>
    <n v="-100"/>
    <x v="2274"/>
    <n v="3866.89"/>
    <s v="Complete Access"/>
    <x v="552"/>
    <x v="0"/>
    <x v="74"/>
    <d v="1900-01-26T00:00:00"/>
    <n v="9"/>
    <x v="0"/>
    <x v="4"/>
  </r>
  <r>
    <x v="1120"/>
    <n v="-40"/>
    <x v="2413"/>
    <n v="3982.89"/>
    <s v="Complete Access"/>
    <x v="12"/>
    <x v="5"/>
    <x v="8"/>
    <d v="1900-01-25T00:00:00"/>
    <n v="9"/>
    <x v="0"/>
    <x v="4"/>
  </r>
  <r>
    <x v="1120"/>
    <n v="-16"/>
    <x v="436"/>
    <n v="3966.89"/>
    <s v="Complete Access"/>
    <x v="186"/>
    <x v="1"/>
    <x v="5"/>
    <d v="1900-01-25T00:00:00"/>
    <n v="9"/>
    <x v="0"/>
    <x v="4"/>
  </r>
  <r>
    <x v="1121"/>
    <n v="3412.26"/>
    <x v="2414"/>
    <n v="4022.89"/>
    <s v="Complete Access"/>
    <x v="384"/>
    <x v="14"/>
    <x v="68"/>
    <d v="1900-01-24T00:00:00"/>
    <n v="9"/>
    <x v="0"/>
    <x v="4"/>
  </r>
  <r>
    <x v="1122"/>
    <n v="-23.89"/>
    <x v="2415"/>
    <n v="738.66"/>
    <s v="Complete Access"/>
    <x v="8"/>
    <x v="1"/>
    <x v="5"/>
    <d v="1900-01-23T00:00:00"/>
    <n v="9"/>
    <x v="0"/>
    <x v="4"/>
  </r>
  <r>
    <x v="1122"/>
    <n v="-49.09"/>
    <x v="2416"/>
    <n v="689.57"/>
    <s v="Complete Access"/>
    <x v="8"/>
    <x v="1"/>
    <x v="5"/>
    <d v="1900-01-23T00:00:00"/>
    <n v="9"/>
    <x v="0"/>
    <x v="4"/>
  </r>
  <r>
    <x v="1122"/>
    <n v="-18.600000000000001"/>
    <x v="2417"/>
    <n v="651.97"/>
    <s v="Complete Access"/>
    <x v="218"/>
    <x v="8"/>
    <x v="29"/>
    <d v="1900-01-23T00:00:00"/>
    <n v="9"/>
    <x v="0"/>
    <x v="4"/>
  </r>
  <r>
    <x v="1122"/>
    <n v="-19"/>
    <x v="2417"/>
    <n v="670.57"/>
    <s v="Complete Access"/>
    <x v="218"/>
    <x v="8"/>
    <x v="29"/>
    <d v="1900-01-23T00:00:00"/>
    <n v="9"/>
    <x v="0"/>
    <x v="4"/>
  </r>
  <r>
    <x v="1122"/>
    <n v="-21.34"/>
    <x v="2418"/>
    <n v="610.63"/>
    <s v="Complete Access"/>
    <x v="1"/>
    <x v="1"/>
    <x v="1"/>
    <d v="1900-01-23T00:00:00"/>
    <n v="9"/>
    <x v="0"/>
    <x v="4"/>
  </r>
  <r>
    <x v="1122"/>
    <n v="-20"/>
    <x v="2419"/>
    <n v="631.97"/>
    <s v="Complete Access"/>
    <x v="34"/>
    <x v="9"/>
    <x v="12"/>
    <d v="1900-01-23T00:00:00"/>
    <n v="9"/>
    <x v="0"/>
    <x v="4"/>
  </r>
  <r>
    <x v="1123"/>
    <n v="-1.75"/>
    <x v="2420"/>
    <n v="1462.55"/>
    <s v="Complete Access"/>
    <x v="188"/>
    <x v="1"/>
    <x v="1"/>
    <d v="1900-01-22T00:00:00"/>
    <n v="9"/>
    <x v="0"/>
    <x v="4"/>
  </r>
  <r>
    <x v="1123"/>
    <n v="-700"/>
    <x v="2305"/>
    <n v="762.55"/>
    <s v="Complete Access"/>
    <x v="0"/>
    <x v="0"/>
    <x v="0"/>
    <d v="1900-01-22T00:00:00"/>
    <n v="9"/>
    <x v="0"/>
    <x v="4"/>
  </r>
  <r>
    <x v="1124"/>
    <n v="-53.51"/>
    <x v="2105"/>
    <n v="1464.3"/>
    <s v="Complete Access"/>
    <x v="4"/>
    <x v="1"/>
    <x v="1"/>
    <d v="1900-01-21T00:00:00"/>
    <n v="9"/>
    <x v="0"/>
    <x v="4"/>
  </r>
  <r>
    <x v="1125"/>
    <n v="-100"/>
    <x v="2274"/>
    <n v="1493.81"/>
    <s v="Complete Access"/>
    <x v="552"/>
    <x v="0"/>
    <x v="74"/>
    <d v="1900-01-19T00:00:00"/>
    <n v="8"/>
    <x v="0"/>
    <x v="4"/>
  </r>
  <r>
    <x v="1125"/>
    <n v="24"/>
    <x v="2421"/>
    <n v="1517.81"/>
    <s v="Complete Access"/>
    <x v="583"/>
    <x v="0"/>
    <x v="69"/>
    <d v="1900-01-19T00:00:00"/>
    <n v="8"/>
    <x v="0"/>
    <x v="4"/>
  </r>
  <r>
    <x v="1126"/>
    <n v="-3.08"/>
    <x v="2422"/>
    <n v="1617.71"/>
    <s v="Complete Access"/>
    <x v="188"/>
    <x v="1"/>
    <x v="1"/>
    <d v="1900-01-18T00:00:00"/>
    <n v="8"/>
    <x v="0"/>
    <x v="4"/>
  </r>
  <r>
    <x v="1126"/>
    <n v="-40"/>
    <x v="2423"/>
    <n v="1620.79"/>
    <s v="Complete Access"/>
    <x v="12"/>
    <x v="5"/>
    <x v="8"/>
    <d v="1900-01-18T00:00:00"/>
    <n v="8"/>
    <x v="0"/>
    <x v="4"/>
  </r>
  <r>
    <x v="1126"/>
    <n v="-13.9"/>
    <x v="2406"/>
    <n v="1593.81"/>
    <s v="Complete Access"/>
    <x v="27"/>
    <x v="1"/>
    <x v="5"/>
    <d v="1900-01-18T00:00:00"/>
    <n v="8"/>
    <x v="0"/>
    <x v="4"/>
  </r>
  <r>
    <x v="1126"/>
    <n v="-10"/>
    <x v="2424"/>
    <n v="1607.71"/>
    <s v="Complete Access"/>
    <x v="16"/>
    <x v="1"/>
    <x v="5"/>
    <d v="1900-01-18T00:00:00"/>
    <n v="8"/>
    <x v="0"/>
    <x v="4"/>
  </r>
  <r>
    <x v="1127"/>
    <n v="-24.99"/>
    <x v="2425"/>
    <n v="2271.56"/>
    <s v="Complete Access"/>
    <x v="8"/>
    <x v="1"/>
    <x v="5"/>
    <d v="1900-01-17T00:00:00"/>
    <n v="8"/>
    <x v="0"/>
    <x v="4"/>
  </r>
  <r>
    <x v="1127"/>
    <n v="-59.2"/>
    <x v="2426"/>
    <n v="2212.36"/>
    <s v="Complete Access"/>
    <x v="207"/>
    <x v="7"/>
    <x v="11"/>
    <d v="1900-01-17T00:00:00"/>
    <n v="8"/>
    <x v="0"/>
    <x v="4"/>
  </r>
  <r>
    <x v="1127"/>
    <n v="-16"/>
    <x v="2329"/>
    <n v="1696.36"/>
    <s v="Complete Access"/>
    <x v="562"/>
    <x v="1"/>
    <x v="5"/>
    <d v="1900-01-17T00:00:00"/>
    <n v="8"/>
    <x v="0"/>
    <x v="4"/>
  </r>
  <r>
    <x v="1127"/>
    <n v="2143.4699999999998"/>
    <x v="2427"/>
    <n v="2296.5500000000002"/>
    <s v="Complete Access"/>
    <x v="14"/>
    <x v="6"/>
    <x v="9"/>
    <d v="1900-01-17T00:00:00"/>
    <n v="8"/>
    <x v="0"/>
    <x v="4"/>
  </r>
  <r>
    <x v="1127"/>
    <n v="-500"/>
    <x v="2294"/>
    <n v="1712.36"/>
    <s v="Complete Access"/>
    <x v="571"/>
    <x v="19"/>
    <x v="61"/>
    <d v="1900-01-17T00:00:00"/>
    <n v="8"/>
    <x v="0"/>
    <x v="4"/>
  </r>
  <r>
    <x v="1127"/>
    <n v="-35.57"/>
    <x v="2105"/>
    <n v="1660.79"/>
    <s v="Complete Access"/>
    <x v="4"/>
    <x v="1"/>
    <x v="1"/>
    <d v="1900-01-17T00:00:00"/>
    <n v="8"/>
    <x v="0"/>
    <x v="4"/>
  </r>
  <r>
    <x v="1128"/>
    <n v="-23.89"/>
    <x v="2428"/>
    <n v="153.08000000000001"/>
    <s v="Complete Access"/>
    <x v="8"/>
    <x v="1"/>
    <x v="5"/>
    <d v="1900-01-16T00:00:00"/>
    <n v="8"/>
    <x v="0"/>
    <x v="4"/>
  </r>
  <r>
    <x v="1129"/>
    <n v="-2.41"/>
    <x v="2429"/>
    <n v="239.16"/>
    <s v="Complete Access"/>
    <x v="188"/>
    <x v="1"/>
    <x v="1"/>
    <d v="1900-01-15T00:00:00"/>
    <n v="8"/>
    <x v="0"/>
    <x v="4"/>
  </r>
  <r>
    <x v="1129"/>
    <n v="-31.99"/>
    <x v="2135"/>
    <n v="176.97"/>
    <s v="Complete Access"/>
    <x v="215"/>
    <x v="1"/>
    <x v="1"/>
    <d v="1900-01-15T00:00:00"/>
    <n v="8"/>
    <x v="0"/>
    <x v="4"/>
  </r>
  <r>
    <x v="1129"/>
    <n v="-22"/>
    <x v="2430"/>
    <n v="208.96"/>
    <s v="Complete Access"/>
    <x v="190"/>
    <x v="8"/>
    <x v="29"/>
    <d v="1900-01-15T00:00:00"/>
    <n v="8"/>
    <x v="0"/>
    <x v="4"/>
  </r>
  <r>
    <x v="1129"/>
    <n v="-8.1999999999999993"/>
    <x v="2430"/>
    <n v="230.96"/>
    <s v="Complete Access"/>
    <x v="190"/>
    <x v="8"/>
    <x v="29"/>
    <d v="1900-01-15T00:00:00"/>
    <n v="8"/>
    <x v="0"/>
    <x v="4"/>
  </r>
  <r>
    <x v="1130"/>
    <n v="-500"/>
    <x v="2431"/>
    <n v="241.57"/>
    <s v="Complete Access"/>
    <x v="0"/>
    <x v="0"/>
    <x v="0"/>
    <d v="1900-01-12T00:00:00"/>
    <n v="7"/>
    <x v="0"/>
    <x v="4"/>
  </r>
  <r>
    <x v="1130"/>
    <n v="-3.08"/>
    <x v="2432"/>
    <n v="3254.92"/>
    <s v="Complete Access"/>
    <x v="188"/>
    <x v="1"/>
    <x v="1"/>
    <d v="1900-01-12T00:00:00"/>
    <n v="7"/>
    <x v="0"/>
    <x v="4"/>
  </r>
  <r>
    <x v="1130"/>
    <n v="-13.35"/>
    <x v="2135"/>
    <n v="3241.57"/>
    <s v="Complete Access"/>
    <x v="215"/>
    <x v="1"/>
    <x v="1"/>
    <d v="1900-01-12T00:00:00"/>
    <n v="7"/>
    <x v="0"/>
    <x v="4"/>
  </r>
  <r>
    <x v="1130"/>
    <n v="-100"/>
    <x v="2274"/>
    <n v="3258"/>
    <s v="Complete Access"/>
    <x v="552"/>
    <x v="0"/>
    <x v="74"/>
    <d v="1900-01-12T00:00:00"/>
    <n v="7"/>
    <x v="0"/>
    <x v="4"/>
  </r>
  <r>
    <x v="1130"/>
    <n v="-2500"/>
    <x v="2433"/>
    <n v="741.57"/>
    <s v="Complete Access"/>
    <x v="504"/>
    <x v="0"/>
    <x v="72"/>
    <d v="1900-01-12T00:00:00"/>
    <n v="7"/>
    <x v="0"/>
    <x v="4"/>
  </r>
  <r>
    <x v="1131"/>
    <n v="-2.36"/>
    <x v="2434"/>
    <n v="3381"/>
    <s v="Complete Access"/>
    <x v="188"/>
    <x v="1"/>
    <x v="1"/>
    <d v="1900-01-11T00:00:00"/>
    <n v="7"/>
    <x v="0"/>
    <x v="4"/>
  </r>
  <r>
    <x v="1131"/>
    <n v="-7"/>
    <x v="2435"/>
    <n v="3374"/>
    <s v="Complete Access"/>
    <x v="16"/>
    <x v="1"/>
    <x v="5"/>
    <d v="1900-01-11T00:00:00"/>
    <n v="7"/>
    <x v="0"/>
    <x v="4"/>
  </r>
  <r>
    <x v="1131"/>
    <n v="-16"/>
    <x v="436"/>
    <n v="3358"/>
    <s v="Complete Access"/>
    <x v="186"/>
    <x v="1"/>
    <x v="5"/>
    <d v="1900-01-11T00:00:00"/>
    <n v="7"/>
    <x v="0"/>
    <x v="4"/>
  </r>
  <r>
    <x v="1132"/>
    <n v="-40"/>
    <x v="2436"/>
    <n v="3556.14"/>
    <s v="Complete Access"/>
    <x v="12"/>
    <x v="5"/>
    <x v="8"/>
    <d v="1900-01-10T00:00:00"/>
    <n v="7"/>
    <x v="0"/>
    <x v="4"/>
  </r>
  <r>
    <x v="1132"/>
    <n v="-16"/>
    <x v="2329"/>
    <n v="3521.64"/>
    <s v="Complete Access"/>
    <x v="562"/>
    <x v="1"/>
    <x v="5"/>
    <d v="1900-01-10T00:00:00"/>
    <n v="7"/>
    <x v="0"/>
    <x v="4"/>
  </r>
  <r>
    <x v="1132"/>
    <n v="-138.28"/>
    <x v="2437"/>
    <n v="3383.36"/>
    <s v="Complete Access"/>
    <x v="438"/>
    <x v="12"/>
    <x v="21"/>
    <d v="1900-01-10T00:00:00"/>
    <n v="7"/>
    <x v="0"/>
    <x v="4"/>
  </r>
  <r>
    <x v="1132"/>
    <n v="-18.5"/>
    <x v="2438"/>
    <n v="3537.64"/>
    <s v="Complete Access"/>
    <x v="1"/>
    <x v="1"/>
    <x v="1"/>
    <d v="1900-01-10T00:00:00"/>
    <n v="7"/>
    <x v="0"/>
    <x v="4"/>
  </r>
  <r>
    <x v="1133"/>
    <n v="-50.74"/>
    <x v="2439"/>
    <n v="3627.64"/>
    <s v="Complete Access"/>
    <x v="8"/>
    <x v="1"/>
    <x v="5"/>
    <d v="1900-01-09T00:00:00"/>
    <n v="7"/>
    <x v="0"/>
    <x v="4"/>
  </r>
  <r>
    <x v="1133"/>
    <n v="-31.5"/>
    <x v="1633"/>
    <n v="3596.14"/>
    <s v="Complete Access"/>
    <x v="434"/>
    <x v="8"/>
    <x v="29"/>
    <d v="1900-01-09T00:00:00"/>
    <n v="7"/>
    <x v="0"/>
    <x v="4"/>
  </r>
  <r>
    <x v="1134"/>
    <n v="-2.61"/>
    <x v="2440"/>
    <n v="3722.39"/>
    <s v="Complete Access"/>
    <x v="188"/>
    <x v="1"/>
    <x v="1"/>
    <d v="1900-01-08T00:00:00"/>
    <n v="7"/>
    <x v="0"/>
    <x v="4"/>
  </r>
  <r>
    <x v="1134"/>
    <n v="-44.01"/>
    <x v="2105"/>
    <n v="3678.38"/>
    <s v="Complete Access"/>
    <x v="4"/>
    <x v="1"/>
    <x v="1"/>
    <d v="1900-01-08T00:00:00"/>
    <n v="7"/>
    <x v="0"/>
    <x v="4"/>
  </r>
  <r>
    <x v="1135"/>
    <n v="-1.79"/>
    <x v="2441"/>
    <n v="3853"/>
    <s v="Complete Access"/>
    <x v="188"/>
    <x v="1"/>
    <x v="1"/>
    <d v="1900-01-05T00:00:00"/>
    <n v="6"/>
    <x v="0"/>
    <x v="4"/>
  </r>
  <r>
    <x v="1135"/>
    <n v="-18.5"/>
    <x v="2442"/>
    <n v="3725"/>
    <s v="Complete Access"/>
    <x v="593"/>
    <x v="1"/>
    <x v="5"/>
    <d v="1900-01-05T00:00:00"/>
    <n v="6"/>
    <x v="0"/>
    <x v="4"/>
  </r>
  <r>
    <x v="1135"/>
    <n v="-9.5"/>
    <x v="2443"/>
    <n v="3843.5"/>
    <s v="Complete Access"/>
    <x v="16"/>
    <x v="1"/>
    <x v="5"/>
    <d v="1900-01-05T00:00:00"/>
    <n v="6"/>
    <x v="0"/>
    <x v="4"/>
  </r>
  <r>
    <x v="1135"/>
    <n v="-100"/>
    <x v="2274"/>
    <n v="3743.5"/>
    <s v="Complete Access"/>
    <x v="552"/>
    <x v="0"/>
    <x v="74"/>
    <d v="1900-01-05T00:00:00"/>
    <n v="6"/>
    <x v="0"/>
    <x v="4"/>
  </r>
  <r>
    <x v="1136"/>
    <n v="-11.65"/>
    <x v="2444"/>
    <n v="3870.79"/>
    <s v="Complete Access"/>
    <x v="188"/>
    <x v="1"/>
    <x v="1"/>
    <d v="1900-01-04T00:00:00"/>
    <n v="6"/>
    <x v="0"/>
    <x v="4"/>
  </r>
  <r>
    <x v="1136"/>
    <n v="-16"/>
    <x v="436"/>
    <n v="3854.79"/>
    <s v="Complete Access"/>
    <x v="186"/>
    <x v="1"/>
    <x v="5"/>
    <d v="1900-01-04T00:00:00"/>
    <n v="6"/>
    <x v="0"/>
    <x v="4"/>
  </r>
  <r>
    <x v="1137"/>
    <n v="2223.19"/>
    <x v="2445"/>
    <n v="4382.4399999999996"/>
    <s v="Complete Access"/>
    <x v="14"/>
    <x v="6"/>
    <x v="9"/>
    <d v="1900-01-03T00:00:00"/>
    <n v="6"/>
    <x v="0"/>
    <x v="4"/>
  </r>
  <r>
    <x v="1137"/>
    <n v="-500"/>
    <x v="2294"/>
    <n v="3882.44"/>
    <s v="Complete Access"/>
    <x v="571"/>
    <x v="19"/>
    <x v="61"/>
    <d v="1900-01-03T00:00:00"/>
    <n v="6"/>
    <x v="0"/>
    <x v="4"/>
  </r>
  <r>
    <x v="1138"/>
    <n v="-60.99"/>
    <x v="2446"/>
    <n v="2220.13"/>
    <s v="Complete Access"/>
    <x v="8"/>
    <x v="1"/>
    <x v="5"/>
    <d v="1900-01-02T00:00:00"/>
    <n v="6"/>
    <x v="0"/>
    <x v="4"/>
  </r>
  <r>
    <x v="1138"/>
    <n v="-21.89"/>
    <x v="2447"/>
    <n v="2162.25"/>
    <s v="Complete Access"/>
    <x v="8"/>
    <x v="1"/>
    <x v="5"/>
    <d v="1900-01-02T00:00:00"/>
    <n v="6"/>
    <x v="0"/>
    <x v="4"/>
  </r>
  <r>
    <x v="1138"/>
    <n v="-35.99"/>
    <x v="2448"/>
    <n v="2184.14"/>
    <s v="Complete Access"/>
    <x v="8"/>
    <x v="1"/>
    <x v="5"/>
    <d v="1900-01-02T00:00:00"/>
    <n v="6"/>
    <x v="0"/>
    <x v="4"/>
  </r>
  <r>
    <x v="1138"/>
    <n v="-3"/>
    <x v="2449"/>
    <n v="2159.25"/>
    <s v="Complete Access"/>
    <x v="1"/>
    <x v="1"/>
    <x v="1"/>
    <d v="1900-01-02T00:00:00"/>
    <n v="6"/>
    <x v="0"/>
    <x v="4"/>
  </r>
  <r>
    <x v="1139"/>
    <n v="-7.9"/>
    <x v="2450"/>
    <n v="2301.11"/>
    <s v="Complete Access"/>
    <x v="277"/>
    <x v="8"/>
    <x v="29"/>
    <d v="1900-01-01T00:00:00"/>
    <n v="6"/>
    <x v="0"/>
    <x v="4"/>
  </r>
  <r>
    <x v="1139"/>
    <n v="-19.989999999999998"/>
    <x v="2451"/>
    <n v="2281.12"/>
    <s v="Complete Access"/>
    <x v="34"/>
    <x v="9"/>
    <x v="12"/>
    <d v="1900-01-01T00:00:00"/>
    <n v="6"/>
    <x v="0"/>
    <x v="4"/>
  </r>
  <r>
    <x v="1140"/>
    <n v="5000"/>
    <x v="2305"/>
    <n v="6485.61"/>
    <s v="Complete Access"/>
    <x v="0"/>
    <x v="0"/>
    <x v="0"/>
    <d v="1899-12-31T00:00:00"/>
    <n v="6"/>
    <x v="0"/>
    <x v="4"/>
  </r>
  <r>
    <x v="1140"/>
    <n v="-20"/>
    <x v="2229"/>
    <n v="1530.64"/>
    <s v="Complete Access"/>
    <x v="557"/>
    <x v="7"/>
    <x v="53"/>
    <d v="1899-12-31T00:00:00"/>
    <n v="6"/>
    <x v="0"/>
    <x v="4"/>
  </r>
  <r>
    <x v="1140"/>
    <n v="-176.6"/>
    <x v="2452"/>
    <n v="2309.0100000000002"/>
    <s v="Complete Access"/>
    <x v="76"/>
    <x v="2"/>
    <x v="2"/>
    <d v="1899-12-31T00:00:00"/>
    <n v="6"/>
    <x v="0"/>
    <x v="4"/>
  </r>
  <r>
    <x v="1140"/>
    <n v="-2000"/>
    <x v="2453"/>
    <n v="2485.61"/>
    <s v="Complete Access"/>
    <x v="504"/>
    <x v="0"/>
    <x v="72"/>
    <d v="1899-12-31T00:00:00"/>
    <n v="6"/>
    <x v="0"/>
    <x v="4"/>
  </r>
  <r>
    <x v="1140"/>
    <n v="-2000"/>
    <x v="2454"/>
    <n v="4485.6099999999997"/>
    <s v="Complete Access"/>
    <x v="504"/>
    <x v="0"/>
    <x v="72"/>
    <d v="1899-12-31T00:00:00"/>
    <n v="6"/>
    <x v="0"/>
    <x v="4"/>
  </r>
  <r>
    <x v="1140"/>
    <n v="-45.03"/>
    <x v="2105"/>
    <n v="1485.61"/>
    <s v="Complete Access"/>
    <x v="4"/>
    <x v="1"/>
    <x v="1"/>
    <d v="1899-12-31T00:00:00"/>
    <n v="6"/>
    <x v="0"/>
    <x v="4"/>
  </r>
  <r>
    <x v="1141"/>
    <n v="36"/>
    <x v="2266"/>
    <n v="1550.64"/>
    <s v="Complete Access"/>
    <x v="27"/>
    <x v="1"/>
    <x v="5"/>
    <d v="1900-01-30T00:00:00"/>
    <n v="6"/>
    <x v="1"/>
    <x v="4"/>
  </r>
  <r>
    <x v="1142"/>
    <n v="-1.9"/>
    <x v="2455"/>
    <n v="1514.64"/>
    <s v="Complete Access"/>
    <x v="188"/>
    <x v="1"/>
    <x v="1"/>
    <d v="1900-01-29T00:00:00"/>
    <n v="5"/>
    <x v="1"/>
    <x v="4"/>
  </r>
  <r>
    <x v="1142"/>
    <n v="-100"/>
    <x v="2274"/>
    <n v="1516.54"/>
    <s v="Complete Access"/>
    <x v="552"/>
    <x v="0"/>
    <x v="74"/>
    <d v="1900-01-29T00:00:00"/>
    <n v="5"/>
    <x v="1"/>
    <x v="4"/>
  </r>
  <r>
    <x v="1143"/>
    <n v="-8.0500000000000007"/>
    <x v="2456"/>
    <n v="1627.54"/>
    <s v="Complete Access"/>
    <x v="188"/>
    <x v="1"/>
    <x v="1"/>
    <d v="1900-01-28T00:00:00"/>
    <n v="5"/>
    <x v="1"/>
    <x v="4"/>
  </r>
  <r>
    <x v="1143"/>
    <n v="-2.81"/>
    <x v="2456"/>
    <n v="1635.59"/>
    <s v="Complete Access"/>
    <x v="188"/>
    <x v="1"/>
    <x v="1"/>
    <d v="1900-01-28T00:00:00"/>
    <n v="5"/>
    <x v="1"/>
    <x v="4"/>
  </r>
  <r>
    <x v="1143"/>
    <n v="-40"/>
    <x v="2457"/>
    <n v="1638.4"/>
    <s v="Complete Access"/>
    <x v="12"/>
    <x v="5"/>
    <x v="8"/>
    <d v="1900-01-28T00:00:00"/>
    <n v="5"/>
    <x v="1"/>
    <x v="4"/>
  </r>
  <r>
    <x v="1143"/>
    <n v="-11"/>
    <x v="2458"/>
    <n v="1616.54"/>
    <s v="Complete Access"/>
    <x v="16"/>
    <x v="1"/>
    <x v="5"/>
    <d v="1900-01-28T00:00:00"/>
    <n v="5"/>
    <x v="1"/>
    <x v="4"/>
  </r>
  <r>
    <x v="1144"/>
    <n v="-16"/>
    <x v="2329"/>
    <n v="1724.54"/>
    <s v="Complete Access"/>
    <x v="562"/>
    <x v="1"/>
    <x v="5"/>
    <d v="1900-01-27T00:00:00"/>
    <n v="5"/>
    <x v="1"/>
    <x v="4"/>
  </r>
  <r>
    <x v="1144"/>
    <n v="-655"/>
    <x v="2459"/>
    <n v="1778.08"/>
    <s v="Complete Access"/>
    <x v="524"/>
    <x v="3"/>
    <x v="15"/>
    <d v="1900-01-27T00:00:00"/>
    <n v="5"/>
    <x v="1"/>
    <x v="4"/>
  </r>
  <r>
    <x v="1144"/>
    <n v="-5.05"/>
    <x v="2460"/>
    <n v="1773.03"/>
    <s v="Complete Access"/>
    <x v="594"/>
    <x v="1"/>
    <x v="5"/>
    <d v="1900-01-27T00:00:00"/>
    <n v="5"/>
    <x v="1"/>
    <x v="4"/>
  </r>
  <r>
    <x v="1144"/>
    <n v="-8.49"/>
    <x v="2461"/>
    <n v="1764.54"/>
    <s v="Complete Access"/>
    <x v="543"/>
    <x v="3"/>
    <x v="15"/>
    <d v="1900-01-27T00:00:00"/>
    <n v="5"/>
    <x v="1"/>
    <x v="4"/>
  </r>
  <r>
    <x v="1144"/>
    <n v="-24"/>
    <x v="2462"/>
    <n v="1740.54"/>
    <s v="Complete Access"/>
    <x v="595"/>
    <x v="9"/>
    <x v="12"/>
    <d v="1900-01-27T00:00:00"/>
    <n v="5"/>
    <x v="1"/>
    <x v="4"/>
  </r>
  <r>
    <x v="1144"/>
    <n v="-46.14"/>
    <x v="2105"/>
    <n v="1678.4"/>
    <s v="Complete Access"/>
    <x v="4"/>
    <x v="1"/>
    <x v="1"/>
    <d v="1900-01-27T00:00:00"/>
    <n v="5"/>
    <x v="1"/>
    <x v="4"/>
  </r>
  <r>
    <x v="1145"/>
    <n v="-11.73"/>
    <x v="2463"/>
    <n v="2483.1799999999998"/>
    <s v="Complete Access"/>
    <x v="188"/>
    <x v="1"/>
    <x v="1"/>
    <d v="1900-01-25T00:00:00"/>
    <n v="5"/>
    <x v="1"/>
    <x v="4"/>
  </r>
  <r>
    <x v="1145"/>
    <n v="-74.59"/>
    <x v="2464"/>
    <n v="2494.91"/>
    <s v="Complete Access"/>
    <x v="8"/>
    <x v="1"/>
    <x v="5"/>
    <d v="1900-01-25T00:00:00"/>
    <n v="5"/>
    <x v="1"/>
    <x v="4"/>
  </r>
  <r>
    <x v="1145"/>
    <n v="-20"/>
    <x v="2465"/>
    <n v="2569.5"/>
    <s v="Complete Access"/>
    <x v="438"/>
    <x v="12"/>
    <x v="21"/>
    <d v="1900-01-25T00:00:00"/>
    <n v="5"/>
    <x v="1"/>
    <x v="4"/>
  </r>
  <r>
    <x v="1145"/>
    <n v="-188.83"/>
    <x v="2466"/>
    <n v="2589.5"/>
    <s v="Complete Access"/>
    <x v="95"/>
    <x v="14"/>
    <x v="38"/>
    <d v="1900-01-25T00:00:00"/>
    <n v="5"/>
    <x v="1"/>
    <x v="4"/>
  </r>
  <r>
    <x v="1145"/>
    <n v="-9.1"/>
    <x v="2467"/>
    <n v="2474.08"/>
    <s v="Complete Access"/>
    <x v="596"/>
    <x v="8"/>
    <x v="29"/>
    <d v="1900-01-25T00:00:00"/>
    <n v="5"/>
    <x v="1"/>
    <x v="4"/>
  </r>
  <r>
    <x v="1145"/>
    <n v="-41"/>
    <x v="2468"/>
    <n v="2433.08"/>
    <s v="Complete Access"/>
    <x v="0"/>
    <x v="0"/>
    <x v="0"/>
    <d v="1900-01-25T00:00:00"/>
    <n v="5"/>
    <x v="1"/>
    <x v="4"/>
  </r>
  <r>
    <x v="1146"/>
    <n v="-15.23"/>
    <x v="2469"/>
    <n v="2880.23"/>
    <s v="Complete Access"/>
    <x v="597"/>
    <x v="20"/>
    <x v="63"/>
    <d v="1900-01-23T00:00:00"/>
    <n v="5"/>
    <x v="1"/>
    <x v="4"/>
  </r>
  <r>
    <x v="1146"/>
    <n v="-26"/>
    <x v="2467"/>
    <n v="2778.33"/>
    <s v="Complete Access"/>
    <x v="596"/>
    <x v="8"/>
    <x v="29"/>
    <d v="1900-01-23T00:00:00"/>
    <n v="5"/>
    <x v="1"/>
    <x v="4"/>
  </r>
  <r>
    <x v="1146"/>
    <n v="-59"/>
    <x v="2467"/>
    <n v="2804.33"/>
    <s v="Complete Access"/>
    <x v="596"/>
    <x v="8"/>
    <x v="29"/>
    <d v="1900-01-23T00:00:00"/>
    <n v="5"/>
    <x v="1"/>
    <x v="4"/>
  </r>
  <r>
    <x v="1146"/>
    <n v="-16.899999999999999"/>
    <x v="2467"/>
    <n v="2863.33"/>
    <s v="Complete Access"/>
    <x v="596"/>
    <x v="8"/>
    <x v="29"/>
    <d v="1900-01-23T00:00:00"/>
    <n v="5"/>
    <x v="1"/>
    <x v="4"/>
  </r>
  <r>
    <x v="1146"/>
    <n v="-9"/>
    <x v="2470"/>
    <n v="2895.46"/>
    <s v="Complete Access"/>
    <x v="598"/>
    <x v="1"/>
    <x v="5"/>
    <d v="1900-01-23T00:00:00"/>
    <n v="5"/>
    <x v="1"/>
    <x v="4"/>
  </r>
  <r>
    <x v="1147"/>
    <n v="-100"/>
    <x v="2274"/>
    <n v="2918.46"/>
    <s v="Complete Access"/>
    <x v="552"/>
    <x v="0"/>
    <x v="74"/>
    <d v="1900-01-22T00:00:00"/>
    <n v="4"/>
    <x v="1"/>
    <x v="4"/>
  </r>
  <r>
    <x v="1147"/>
    <n v="-14"/>
    <x v="2471"/>
    <n v="2904.46"/>
    <s v="Complete Access"/>
    <x v="186"/>
    <x v="1"/>
    <x v="5"/>
    <d v="1900-01-22T00:00:00"/>
    <n v="4"/>
    <x v="1"/>
    <x v="4"/>
  </r>
  <r>
    <x v="1148"/>
    <n v="-11.85"/>
    <x v="2472"/>
    <n v="3027.96"/>
    <s v="Complete Access"/>
    <x v="188"/>
    <x v="1"/>
    <x v="1"/>
    <d v="1900-01-21T00:00:00"/>
    <n v="4"/>
    <x v="1"/>
    <x v="4"/>
  </r>
  <r>
    <x v="1148"/>
    <n v="-9.5"/>
    <x v="2473"/>
    <n v="3018.46"/>
    <s v="Complete Access"/>
    <x v="16"/>
    <x v="1"/>
    <x v="5"/>
    <d v="1900-01-21T00:00:00"/>
    <n v="4"/>
    <x v="1"/>
    <x v="4"/>
  </r>
  <r>
    <x v="1149"/>
    <n v="-40"/>
    <x v="2474"/>
    <n v="3182.4"/>
    <s v="Complete Access"/>
    <x v="12"/>
    <x v="5"/>
    <x v="8"/>
    <d v="1900-01-20T00:00:00"/>
    <n v="4"/>
    <x v="1"/>
    <x v="4"/>
  </r>
  <r>
    <x v="1149"/>
    <n v="-5"/>
    <x v="2475"/>
    <n v="2964.81"/>
    <s v="Complete Access"/>
    <x v="507"/>
    <x v="1"/>
    <x v="1"/>
    <d v="1900-01-20T00:00:00"/>
    <n v="4"/>
    <x v="1"/>
    <x v="4"/>
  </r>
  <r>
    <x v="1149"/>
    <n v="-59"/>
    <x v="2476"/>
    <n v="3123.4"/>
    <s v="Complete Access"/>
    <x v="207"/>
    <x v="7"/>
    <x v="11"/>
    <d v="1900-01-20T00:00:00"/>
    <n v="4"/>
    <x v="1"/>
    <x v="4"/>
  </r>
  <r>
    <x v="1149"/>
    <n v="-118.73"/>
    <x v="2477"/>
    <n v="3004.67"/>
    <s v="Complete Access"/>
    <x v="438"/>
    <x v="12"/>
    <x v="21"/>
    <d v="1900-01-20T00:00:00"/>
    <n v="4"/>
    <x v="1"/>
    <x v="4"/>
  </r>
  <r>
    <x v="1149"/>
    <n v="2248.8000000000002"/>
    <x v="2478"/>
    <n v="3722.4"/>
    <s v="Complete Access"/>
    <x v="14"/>
    <x v="6"/>
    <x v="9"/>
    <d v="1900-01-20T00:00:00"/>
    <n v="4"/>
    <x v="1"/>
    <x v="4"/>
  </r>
  <r>
    <x v="1149"/>
    <n v="-500"/>
    <x v="2294"/>
    <n v="3222.4"/>
    <s v="Complete Access"/>
    <x v="571"/>
    <x v="19"/>
    <x v="61"/>
    <d v="1900-01-20T00:00:00"/>
    <n v="4"/>
    <x v="1"/>
    <x v="4"/>
  </r>
  <r>
    <x v="1149"/>
    <n v="75"/>
    <x v="2479"/>
    <n v="3039.81"/>
    <s v="Complete Access"/>
    <x v="584"/>
    <x v="0"/>
    <x v="69"/>
    <d v="1900-01-20T00:00:00"/>
    <n v="4"/>
    <x v="1"/>
    <x v="4"/>
  </r>
  <r>
    <x v="1149"/>
    <n v="-34.86"/>
    <x v="2480"/>
    <n v="2969.81"/>
    <s v="Complete Access"/>
    <x v="237"/>
    <x v="15"/>
    <x v="34"/>
    <d v="1900-01-20T00:00:00"/>
    <n v="4"/>
    <x v="1"/>
    <x v="4"/>
  </r>
  <r>
    <x v="1150"/>
    <n v="-11.66"/>
    <x v="2481"/>
    <n v="1484.6"/>
    <s v="Complete Access"/>
    <x v="599"/>
    <x v="15"/>
    <x v="34"/>
    <d v="1900-01-19T00:00:00"/>
    <n v="4"/>
    <x v="1"/>
    <x v="4"/>
  </r>
  <r>
    <x v="1150"/>
    <n v="-11"/>
    <x v="2482"/>
    <n v="1473.6"/>
    <s v="Complete Access"/>
    <x v="600"/>
    <x v="8"/>
    <x v="29"/>
    <d v="1900-01-19T00:00:00"/>
    <n v="4"/>
    <x v="1"/>
    <x v="4"/>
  </r>
  <r>
    <x v="1151"/>
    <n v="-35.94"/>
    <x v="2483"/>
    <n v="1588.79"/>
    <s v="Complete Access"/>
    <x v="8"/>
    <x v="1"/>
    <x v="5"/>
    <d v="1900-01-18T00:00:00"/>
    <n v="4"/>
    <x v="1"/>
    <x v="4"/>
  </r>
  <r>
    <x v="1151"/>
    <n v="-10.59"/>
    <x v="2135"/>
    <n v="1578.2"/>
    <s v="Complete Access"/>
    <x v="215"/>
    <x v="1"/>
    <x v="1"/>
    <d v="1900-01-18T00:00:00"/>
    <n v="4"/>
    <x v="1"/>
    <x v="4"/>
  </r>
  <r>
    <x v="1151"/>
    <n v="-81.94"/>
    <x v="2105"/>
    <n v="1496.26"/>
    <s v="Complete Access"/>
    <x v="4"/>
    <x v="1"/>
    <x v="1"/>
    <d v="1900-01-18T00:00:00"/>
    <n v="4"/>
    <x v="1"/>
    <x v="4"/>
  </r>
  <r>
    <x v="1152"/>
    <n v="-100"/>
    <x v="2484"/>
    <n v="1627.63"/>
    <s v="Complete Access"/>
    <x v="601"/>
    <x v="0"/>
    <x v="0"/>
    <d v="1900-01-15T00:00:00"/>
    <n v="3"/>
    <x v="1"/>
    <x v="4"/>
  </r>
  <r>
    <x v="1152"/>
    <n v="-2"/>
    <x v="2485"/>
    <n v="1798.33"/>
    <s v="Complete Access"/>
    <x v="602"/>
    <x v="11"/>
    <x v="14"/>
    <d v="1900-01-15T00:00:00"/>
    <n v="3"/>
    <x v="1"/>
    <x v="4"/>
  </r>
  <r>
    <x v="1152"/>
    <n v="-18.18"/>
    <x v="2486"/>
    <n v="1727.63"/>
    <s v="Complete Access"/>
    <x v="603"/>
    <x v="8"/>
    <x v="29"/>
    <d v="1900-01-15T00:00:00"/>
    <n v="3"/>
    <x v="1"/>
    <x v="4"/>
  </r>
  <r>
    <x v="1152"/>
    <n v="-52.52"/>
    <x v="2486"/>
    <n v="1745.81"/>
    <s v="Complete Access"/>
    <x v="603"/>
    <x v="8"/>
    <x v="29"/>
    <d v="1900-01-15T00:00:00"/>
    <n v="3"/>
    <x v="1"/>
    <x v="4"/>
  </r>
  <r>
    <x v="1152"/>
    <n v="-2.9"/>
    <x v="72"/>
    <n v="1624.73"/>
    <s v="Complete Access"/>
    <x v="37"/>
    <x v="0"/>
    <x v="0"/>
    <d v="1900-01-15T00:00:00"/>
    <n v="3"/>
    <x v="1"/>
    <x v="4"/>
  </r>
  <r>
    <x v="1152"/>
    <n v="-100"/>
    <x v="2274"/>
    <n v="1800.33"/>
    <s v="Complete Access"/>
    <x v="552"/>
    <x v="0"/>
    <x v="74"/>
    <d v="1900-01-15T00:00:00"/>
    <n v="3"/>
    <x v="1"/>
    <x v="4"/>
  </r>
  <r>
    <x v="1153"/>
    <n v="-23.48"/>
    <x v="2135"/>
    <n v="1900.33"/>
    <s v="Complete Access"/>
    <x v="215"/>
    <x v="1"/>
    <x v="1"/>
    <d v="1900-01-14T00:00:00"/>
    <n v="3"/>
    <x v="1"/>
    <x v="4"/>
  </r>
  <r>
    <x v="1154"/>
    <n v="-64.569999999999993"/>
    <x v="2487"/>
    <n v="1923.81"/>
    <s v="Complete Access"/>
    <x v="1"/>
    <x v="1"/>
    <x v="1"/>
    <d v="1900-01-13T00:00:00"/>
    <n v="3"/>
    <x v="1"/>
    <x v="4"/>
  </r>
  <r>
    <x v="1155"/>
    <n v="-2.4700000000000002"/>
    <x v="2488"/>
    <n v="1988.38"/>
    <s v="Complete Access"/>
    <x v="188"/>
    <x v="1"/>
    <x v="1"/>
    <d v="1900-01-12T00:00:00"/>
    <n v="3"/>
    <x v="1"/>
    <x v="4"/>
  </r>
  <r>
    <x v="1155"/>
    <n v="-22.49"/>
    <x v="2489"/>
    <n v="1990.85"/>
    <s v="Complete Access"/>
    <x v="8"/>
    <x v="1"/>
    <x v="5"/>
    <d v="1900-01-12T00:00:00"/>
    <n v="3"/>
    <x v="1"/>
    <x v="4"/>
  </r>
  <r>
    <x v="1156"/>
    <n v="-29.49"/>
    <x v="2490"/>
    <n v="2013.34"/>
    <s v="Complete Access"/>
    <x v="8"/>
    <x v="1"/>
    <x v="5"/>
    <d v="1900-01-11T00:00:00"/>
    <n v="3"/>
    <x v="1"/>
    <x v="4"/>
  </r>
  <r>
    <x v="1156"/>
    <n v="-1180"/>
    <x v="2491"/>
    <n v="2042.83"/>
    <s v="Complete Access"/>
    <x v="567"/>
    <x v="0"/>
    <x v="69"/>
    <d v="1900-01-11T00:00:00"/>
    <n v="3"/>
    <x v="1"/>
    <x v="4"/>
  </r>
  <r>
    <x v="1157"/>
    <n v="39.200000000000003"/>
    <x v="2492"/>
    <n v="3222.83"/>
    <s v="Complete Access"/>
    <x v="17"/>
    <x v="7"/>
    <x v="11"/>
    <d v="1900-01-10T00:00:00"/>
    <n v="3"/>
    <x v="1"/>
    <x v="4"/>
  </r>
  <r>
    <x v="1158"/>
    <n v="150.02000000000001"/>
    <x v="2493"/>
    <n v="3202.13"/>
    <s v="Complete Access"/>
    <x v="577"/>
    <x v="0"/>
    <x v="69"/>
    <d v="1900-01-09T00:00:00"/>
    <n v="3"/>
    <x v="1"/>
    <x v="4"/>
  </r>
  <r>
    <x v="1158"/>
    <n v="-18.5"/>
    <x v="2494"/>
    <n v="3183.63"/>
    <s v="Complete Access"/>
    <x v="27"/>
    <x v="1"/>
    <x v="5"/>
    <d v="1900-01-09T00:00:00"/>
    <n v="3"/>
    <x v="1"/>
    <x v="4"/>
  </r>
  <r>
    <x v="1159"/>
    <n v="-15.44"/>
    <x v="2495"/>
    <n v="3054.1"/>
    <s v="Complete Access"/>
    <x v="215"/>
    <x v="1"/>
    <x v="1"/>
    <d v="1900-01-08T00:00:00"/>
    <n v="2"/>
    <x v="1"/>
    <x v="4"/>
  </r>
  <r>
    <x v="1159"/>
    <n v="-61.94"/>
    <x v="2495"/>
    <n v="3069.54"/>
    <s v="Complete Access"/>
    <x v="215"/>
    <x v="1"/>
    <x v="1"/>
    <d v="1900-01-08T00:00:00"/>
    <n v="2"/>
    <x v="1"/>
    <x v="4"/>
  </r>
  <r>
    <x v="1159"/>
    <n v="-100"/>
    <x v="2274"/>
    <n v="3131.48"/>
    <s v="Complete Access"/>
    <x v="552"/>
    <x v="0"/>
    <x v="74"/>
    <d v="1900-01-08T00:00:00"/>
    <n v="2"/>
    <x v="1"/>
    <x v="4"/>
  </r>
  <r>
    <x v="1159"/>
    <n v="-1.99"/>
    <x v="2496"/>
    <n v="3052.11"/>
    <s v="Complete Access"/>
    <x v="604"/>
    <x v="11"/>
    <x v="14"/>
    <d v="1900-01-08T00:00:00"/>
    <n v="2"/>
    <x v="1"/>
    <x v="4"/>
  </r>
  <r>
    <x v="1160"/>
    <n v="2248.8000000000002"/>
    <x v="2497"/>
    <n v="3756.48"/>
    <s v="Complete Access"/>
    <x v="14"/>
    <x v="6"/>
    <x v="9"/>
    <d v="1900-01-06T00:00:00"/>
    <n v="2"/>
    <x v="1"/>
    <x v="4"/>
  </r>
  <r>
    <x v="1160"/>
    <n v="-500"/>
    <x v="2294"/>
    <n v="3231.48"/>
    <s v="Complete Access"/>
    <x v="571"/>
    <x v="19"/>
    <x v="61"/>
    <d v="1900-01-06T00:00:00"/>
    <n v="2"/>
    <x v="1"/>
    <x v="4"/>
  </r>
  <r>
    <x v="1160"/>
    <n v="-25"/>
    <x v="2498"/>
    <n v="3731.48"/>
    <s v="Complete Access"/>
    <x v="605"/>
    <x v="8"/>
    <x v="29"/>
    <d v="1900-01-06T00:00:00"/>
    <n v="2"/>
    <x v="1"/>
    <x v="4"/>
  </r>
  <r>
    <x v="1161"/>
    <n v="-31.06"/>
    <x v="2499"/>
    <n v="1746.68"/>
    <s v="Complete Access"/>
    <x v="8"/>
    <x v="1"/>
    <x v="5"/>
    <d v="1900-01-05T00:00:00"/>
    <n v="2"/>
    <x v="1"/>
    <x v="4"/>
  </r>
  <r>
    <x v="1161"/>
    <n v="-10.33"/>
    <x v="2499"/>
    <n v="1777.74"/>
    <s v="Complete Access"/>
    <x v="8"/>
    <x v="1"/>
    <x v="5"/>
    <d v="1900-01-05T00:00:00"/>
    <n v="2"/>
    <x v="1"/>
    <x v="4"/>
  </r>
  <r>
    <x v="1161"/>
    <n v="-239"/>
    <x v="2500"/>
    <n v="1507.68"/>
    <s v="Complete Access"/>
    <x v="347"/>
    <x v="3"/>
    <x v="62"/>
    <d v="1900-01-05T00:00:00"/>
    <n v="2"/>
    <x v="1"/>
    <x v="4"/>
  </r>
  <r>
    <x v="1162"/>
    <n v="46"/>
    <x v="2282"/>
    <n v="1788.07"/>
    <s v="Complete Access"/>
    <x v="567"/>
    <x v="0"/>
    <x v="69"/>
    <d v="1900-01-04T00:00:00"/>
    <n v="2"/>
    <x v="1"/>
    <x v="4"/>
  </r>
  <r>
    <x v="1163"/>
    <n v="-176.6"/>
    <x v="2501"/>
    <n v="1742.07"/>
    <s v="Complete Access"/>
    <x v="76"/>
    <x v="2"/>
    <x v="2"/>
    <d v="1900-01-03T00:00:00"/>
    <n v="2"/>
    <x v="1"/>
    <x v="4"/>
  </r>
  <r>
    <x v="1163"/>
    <n v="-1.99"/>
    <x v="2496"/>
    <n v="1918.67"/>
    <s v="Complete Access"/>
    <x v="604"/>
    <x v="11"/>
    <x v="14"/>
    <d v="1900-01-03T00:00:00"/>
    <n v="2"/>
    <x v="1"/>
    <x v="4"/>
  </r>
  <r>
    <x v="1164"/>
    <n v="-300"/>
    <x v="2502"/>
    <n v="1929.66"/>
    <s v="Complete Access"/>
    <x v="601"/>
    <x v="0"/>
    <x v="0"/>
    <d v="1900-01-01T00:00:00"/>
    <n v="1"/>
    <x v="1"/>
    <x v="4"/>
  </r>
  <r>
    <x v="1164"/>
    <n v="-9"/>
    <x v="2503"/>
    <n v="2250.86"/>
    <s v="Complete Access"/>
    <x v="606"/>
    <x v="8"/>
    <x v="29"/>
    <d v="1900-01-01T00:00:00"/>
    <n v="1"/>
    <x v="1"/>
    <x v="4"/>
  </r>
  <r>
    <x v="1164"/>
    <n v="-31"/>
    <x v="2503"/>
    <n v="2259.86"/>
    <s v="Complete Access"/>
    <x v="606"/>
    <x v="8"/>
    <x v="29"/>
    <d v="1900-01-01T00:00:00"/>
    <n v="1"/>
    <x v="1"/>
    <x v="4"/>
  </r>
  <r>
    <x v="1164"/>
    <n v="-9"/>
    <x v="2503"/>
    <n v="2290.86"/>
    <s v="Complete Access"/>
    <x v="606"/>
    <x v="8"/>
    <x v="29"/>
    <d v="1900-01-01T00:00:00"/>
    <n v="1"/>
    <x v="1"/>
    <x v="4"/>
  </r>
  <r>
    <x v="1164"/>
    <n v="-9"/>
    <x v="2503"/>
    <n v="2299.86"/>
    <s v="Complete Access"/>
    <x v="606"/>
    <x v="8"/>
    <x v="29"/>
    <d v="1900-01-01T00:00:00"/>
    <n v="1"/>
    <x v="1"/>
    <x v="4"/>
  </r>
  <r>
    <x v="1164"/>
    <n v="-9"/>
    <x v="72"/>
    <n v="1920.66"/>
    <s v="Complete Access"/>
    <x v="37"/>
    <x v="0"/>
    <x v="0"/>
    <d v="1900-01-01T00:00:00"/>
    <n v="1"/>
    <x v="1"/>
    <x v="4"/>
  </r>
  <r>
    <x v="1164"/>
    <n v="-100"/>
    <x v="2274"/>
    <n v="2308.86"/>
    <s v="Complete Access"/>
    <x v="552"/>
    <x v="0"/>
    <x v="74"/>
    <d v="1900-01-01T00:00:00"/>
    <n v="1"/>
    <x v="1"/>
    <x v="4"/>
  </r>
  <r>
    <x v="1164"/>
    <n v="-10.6"/>
    <x v="2504"/>
    <n v="2229.66"/>
    <s v="Complete Access"/>
    <x v="607"/>
    <x v="8"/>
    <x v="29"/>
    <d v="1900-01-01T00:00:00"/>
    <n v="1"/>
    <x v="1"/>
    <x v="4"/>
  </r>
  <r>
    <x v="1164"/>
    <n v="-10.6"/>
    <x v="2504"/>
    <n v="2240.2600000000002"/>
    <s v="Complete Access"/>
    <x v="607"/>
    <x v="8"/>
    <x v="29"/>
    <d v="1900-01-01T00:00:00"/>
    <n v="1"/>
    <x v="1"/>
    <x v="4"/>
  </r>
  <r>
    <x v="1165"/>
    <n v="-75.94"/>
    <x v="2505"/>
    <n v="2623.17"/>
    <s v="Complete Access"/>
    <x v="8"/>
    <x v="1"/>
    <x v="5"/>
    <d v="1899-12-31T00:00:00"/>
    <n v="1"/>
    <x v="1"/>
    <x v="4"/>
  </r>
  <r>
    <x v="1165"/>
    <n v="-59"/>
    <x v="2506"/>
    <n v="2428.86"/>
    <s v="Complete Access"/>
    <x v="207"/>
    <x v="7"/>
    <x v="11"/>
    <d v="1899-12-31T00:00:00"/>
    <n v="1"/>
    <x v="1"/>
    <x v="4"/>
  </r>
  <r>
    <x v="1165"/>
    <n v="-91"/>
    <x v="2507"/>
    <n v="2487.86"/>
    <s v="Complete Access"/>
    <x v="35"/>
    <x v="1"/>
    <x v="23"/>
    <d v="1899-12-31T00:00:00"/>
    <n v="1"/>
    <x v="1"/>
    <x v="4"/>
  </r>
  <r>
    <x v="1165"/>
    <n v="-20"/>
    <x v="2229"/>
    <n v="2408.86"/>
    <s v="Complete Access"/>
    <x v="557"/>
    <x v="7"/>
    <x v="53"/>
    <d v="1899-12-31T00:00:00"/>
    <n v="1"/>
    <x v="1"/>
    <x v="4"/>
  </r>
  <r>
    <x v="1165"/>
    <n v="-44.31"/>
    <x v="2508"/>
    <n v="2578.86"/>
    <s v="Complete Access"/>
    <x v="1"/>
    <x v="1"/>
    <x v="1"/>
    <d v="1899-12-31T00:00:00"/>
    <n v="1"/>
    <x v="1"/>
    <x v="4"/>
  </r>
  <r>
    <x v="1166"/>
    <n v="-41.99"/>
    <x v="2509"/>
    <n v="2826.24"/>
    <s v="Complete Access"/>
    <x v="8"/>
    <x v="1"/>
    <x v="5"/>
    <d v="1900-01-30T00:00:00"/>
    <n v="53"/>
    <x v="2"/>
    <x v="5"/>
  </r>
  <r>
    <x v="1166"/>
    <n v="-97"/>
    <x v="2510"/>
    <n v="2699.11"/>
    <s v="Complete Access"/>
    <x v="347"/>
    <x v="3"/>
    <x v="62"/>
    <d v="1900-01-30T00:00:00"/>
    <n v="53"/>
    <x v="2"/>
    <x v="5"/>
  </r>
  <r>
    <x v="1166"/>
    <n v="-30.13"/>
    <x v="2511"/>
    <n v="2796.11"/>
    <s v="Complete Access"/>
    <x v="34"/>
    <x v="9"/>
    <x v="12"/>
    <d v="1900-01-30T00:00:00"/>
    <n v="53"/>
    <x v="2"/>
    <x v="5"/>
  </r>
  <r>
    <x v="1167"/>
    <n v="-33.9"/>
    <x v="2512"/>
    <n v="5099.71"/>
    <s v="Complete Access"/>
    <x v="608"/>
    <x v="20"/>
    <x v="63"/>
    <d v="1900-01-29T00:00:00"/>
    <n v="53"/>
    <x v="2"/>
    <x v="5"/>
  </r>
  <r>
    <x v="1167"/>
    <n v="-150"/>
    <x v="2359"/>
    <n v="2868.23"/>
    <s v="Complete Access"/>
    <x v="0"/>
    <x v="0"/>
    <x v="0"/>
    <d v="1900-01-29T00:00:00"/>
    <n v="53"/>
    <x v="2"/>
    <x v="5"/>
  </r>
  <r>
    <x v="1167"/>
    <n v="-10.199999999999999"/>
    <x v="2513"/>
    <n v="5232.5600000000004"/>
    <s v="Complete Access"/>
    <x v="609"/>
    <x v="1"/>
    <x v="1"/>
    <d v="1900-01-29T00:00:00"/>
    <n v="53"/>
    <x v="2"/>
    <x v="5"/>
  </r>
  <r>
    <x v="1167"/>
    <n v="-1491.15"/>
    <x v="2514"/>
    <n v="3082.71"/>
    <s v="Complete Access"/>
    <x v="347"/>
    <x v="3"/>
    <x v="62"/>
    <d v="1900-01-29T00:00:00"/>
    <n v="53"/>
    <x v="2"/>
    <x v="5"/>
  </r>
  <r>
    <x v="1167"/>
    <n v="-98.95"/>
    <x v="2515"/>
    <n v="5133.6099999999997"/>
    <s v="Complete Access"/>
    <x v="582"/>
    <x v="3"/>
    <x v="77"/>
    <d v="1900-01-29T00:00:00"/>
    <n v="53"/>
    <x v="2"/>
    <x v="5"/>
  </r>
  <r>
    <x v="1167"/>
    <n v="-525.85"/>
    <x v="2516"/>
    <n v="4573.8599999999997"/>
    <s v="Complete Access"/>
    <x v="610"/>
    <x v="4"/>
    <x v="62"/>
    <d v="1900-01-29T00:00:00"/>
    <n v="53"/>
    <x v="2"/>
    <x v="5"/>
  </r>
  <r>
    <x v="1167"/>
    <n v="-64.48"/>
    <x v="2105"/>
    <n v="3018.23"/>
    <s v="Complete Access"/>
    <x v="4"/>
    <x v="1"/>
    <x v="1"/>
    <d v="1900-01-29T00:00:00"/>
    <n v="53"/>
    <x v="2"/>
    <x v="5"/>
  </r>
  <r>
    <x v="1168"/>
    <n v="-20"/>
    <x v="2494"/>
    <n v="5242.76"/>
    <s v="Complete Access"/>
    <x v="27"/>
    <x v="1"/>
    <x v="5"/>
    <d v="1900-01-28T00:00:00"/>
    <n v="53"/>
    <x v="2"/>
    <x v="5"/>
  </r>
  <r>
    <x v="1169"/>
    <n v="-100"/>
    <x v="2274"/>
    <n v="5262.76"/>
    <s v="Complete Access"/>
    <x v="552"/>
    <x v="0"/>
    <x v="74"/>
    <d v="1900-01-25T00:00:00"/>
    <n v="52"/>
    <x v="2"/>
    <x v="5"/>
  </r>
  <r>
    <x v="1170"/>
    <n v="-44.49"/>
    <x v="2517"/>
    <n v="5362.76"/>
    <s v="Complete Access"/>
    <x v="8"/>
    <x v="1"/>
    <x v="5"/>
    <d v="1900-01-24T00:00:00"/>
    <n v="52"/>
    <x v="2"/>
    <x v="5"/>
  </r>
  <r>
    <x v="1170"/>
    <n v="-4.9000000000000004"/>
    <x v="2518"/>
    <n v="5407.25"/>
    <s v="Complete Access"/>
    <x v="1"/>
    <x v="1"/>
    <x v="1"/>
    <d v="1900-01-24T00:00:00"/>
    <n v="52"/>
    <x v="2"/>
    <x v="5"/>
  </r>
  <r>
    <x v="1171"/>
    <n v="-194.78"/>
    <x v="2519"/>
    <n v="5412.15"/>
    <s v="Complete Access"/>
    <x v="295"/>
    <x v="14"/>
    <x v="66"/>
    <d v="1900-01-23T00:00:00"/>
    <n v="52"/>
    <x v="2"/>
    <x v="5"/>
  </r>
  <r>
    <x v="1171"/>
    <n v="2248.79"/>
    <x v="2520"/>
    <n v="6120.48"/>
    <s v="Complete Access"/>
    <x v="14"/>
    <x v="6"/>
    <x v="9"/>
    <d v="1900-01-23T00:00:00"/>
    <n v="52"/>
    <x v="2"/>
    <x v="5"/>
  </r>
  <r>
    <x v="1171"/>
    <n v="-123"/>
    <x v="2521"/>
    <n v="5412.15"/>
    <s v="Complete Access"/>
    <x v="91"/>
    <x v="9"/>
    <x v="12"/>
    <d v="1900-01-23T00:00:00"/>
    <n v="52"/>
    <x v="2"/>
    <x v="5"/>
  </r>
  <r>
    <x v="1171"/>
    <n v="-500"/>
    <x v="2294"/>
    <n v="5620.48"/>
    <s v="Complete Access"/>
    <x v="571"/>
    <x v="19"/>
    <x v="61"/>
    <d v="1900-01-23T00:00:00"/>
    <n v="52"/>
    <x v="2"/>
    <x v="5"/>
  </r>
  <r>
    <x v="1171"/>
    <n v="123"/>
    <x v="2522"/>
    <n v="5535.15"/>
    <s v="Complete Access"/>
    <x v="567"/>
    <x v="0"/>
    <x v="69"/>
    <d v="1900-01-23T00:00:00"/>
    <n v="52"/>
    <x v="2"/>
    <x v="5"/>
  </r>
  <r>
    <x v="1171"/>
    <n v="-4.25"/>
    <x v="2523"/>
    <n v="5616.23"/>
    <s v="Complete Access"/>
    <x v="611"/>
    <x v="4"/>
    <x v="20"/>
    <d v="1900-01-23T00:00:00"/>
    <n v="52"/>
    <x v="2"/>
    <x v="5"/>
  </r>
  <r>
    <x v="1171"/>
    <n v="-9.3000000000000007"/>
    <x v="2524"/>
    <n v="5606.93"/>
    <s v="Complete Access"/>
    <x v="98"/>
    <x v="9"/>
    <x v="32"/>
    <d v="1900-01-23T00:00:00"/>
    <n v="52"/>
    <x v="2"/>
    <x v="5"/>
  </r>
  <r>
    <x v="1172"/>
    <n v="-37.99"/>
    <x v="2525"/>
    <n v="1922.71"/>
    <s v="Complete Access"/>
    <x v="8"/>
    <x v="1"/>
    <x v="5"/>
    <d v="1900-01-22T00:00:00"/>
    <n v="52"/>
    <x v="2"/>
    <x v="5"/>
  </r>
  <r>
    <x v="1172"/>
    <n v="-23.89"/>
    <x v="2526"/>
    <n v="1898.82"/>
    <s v="Complete Access"/>
    <x v="8"/>
    <x v="1"/>
    <x v="5"/>
    <d v="1900-01-22T00:00:00"/>
    <n v="52"/>
    <x v="2"/>
    <x v="5"/>
  </r>
  <r>
    <x v="1172"/>
    <n v="2000"/>
    <x v="2305"/>
    <n v="3875.18"/>
    <s v="Complete Access"/>
    <x v="0"/>
    <x v="0"/>
    <x v="0"/>
    <d v="1900-01-22T00:00:00"/>
    <n v="52"/>
    <x v="2"/>
    <x v="5"/>
  </r>
  <r>
    <x v="1172"/>
    <n v="-3.49"/>
    <x v="2527"/>
    <n v="3871.69"/>
    <s v="Complete Access"/>
    <x v="177"/>
    <x v="1"/>
    <x v="1"/>
    <d v="1900-01-22T00:00:00"/>
    <n v="52"/>
    <x v="2"/>
    <x v="5"/>
  </r>
  <r>
    <x v="1172"/>
    <n v="-23.64"/>
    <x v="2528"/>
    <n v="1875.18"/>
    <s v="Complete Access"/>
    <x v="91"/>
    <x v="9"/>
    <x v="12"/>
    <d v="1900-01-22T00:00:00"/>
    <n v="52"/>
    <x v="2"/>
    <x v="5"/>
  </r>
  <r>
    <x v="1173"/>
    <n v="-140"/>
    <x v="2529"/>
    <n v="1960.7"/>
    <s v="Complete Access"/>
    <x v="0"/>
    <x v="0"/>
    <x v="0"/>
    <d v="1900-01-21T00:00:00"/>
    <n v="52"/>
    <x v="2"/>
    <x v="5"/>
  </r>
  <r>
    <x v="1173"/>
    <n v="-1"/>
    <x v="2530"/>
    <n v="2100.6999999999998"/>
    <s v="Complete Access"/>
    <x v="430"/>
    <x v="14"/>
    <x v="32"/>
    <d v="1900-01-21T00:00:00"/>
    <n v="52"/>
    <x v="2"/>
    <x v="5"/>
  </r>
  <r>
    <x v="1174"/>
    <n v="-300"/>
    <x v="2531"/>
    <n v="2104.1999999999998"/>
    <s v="Complete Access"/>
    <x v="601"/>
    <x v="0"/>
    <x v="0"/>
    <d v="1900-01-18T00:00:00"/>
    <n v="51"/>
    <x v="2"/>
    <x v="5"/>
  </r>
  <r>
    <x v="1174"/>
    <n v="-7"/>
    <x v="2532"/>
    <n v="2413.3000000000002"/>
    <s v="Complete Access"/>
    <x v="612"/>
    <x v="18"/>
    <x v="59"/>
    <d v="1900-01-18T00:00:00"/>
    <n v="51"/>
    <x v="2"/>
    <x v="5"/>
  </r>
  <r>
    <x v="1174"/>
    <n v="-2.5"/>
    <x v="72"/>
    <n v="2101.6999999999998"/>
    <s v="Complete Access"/>
    <x v="37"/>
    <x v="0"/>
    <x v="0"/>
    <d v="1900-01-18T00:00:00"/>
    <n v="51"/>
    <x v="2"/>
    <x v="5"/>
  </r>
  <r>
    <x v="1174"/>
    <n v="-9.1"/>
    <x v="96"/>
    <n v="2404.1999999999998"/>
    <s v="Complete Access"/>
    <x v="47"/>
    <x v="1"/>
    <x v="5"/>
    <d v="1900-01-18T00:00:00"/>
    <n v="51"/>
    <x v="2"/>
    <x v="5"/>
  </r>
  <r>
    <x v="1174"/>
    <n v="-274"/>
    <x v="2533"/>
    <n v="2420.3000000000002"/>
    <s v="Complete Access"/>
    <x v="191"/>
    <x v="10"/>
    <x v="13"/>
    <d v="1900-01-18T00:00:00"/>
    <n v="51"/>
    <x v="2"/>
    <x v="5"/>
  </r>
  <r>
    <x v="1174"/>
    <n v="-100"/>
    <x v="2274"/>
    <n v="2694.3"/>
    <s v="Complete Access"/>
    <x v="552"/>
    <x v="0"/>
    <x v="74"/>
    <d v="1900-01-18T00:00:00"/>
    <n v="51"/>
    <x v="2"/>
    <x v="5"/>
  </r>
  <r>
    <x v="1175"/>
    <n v="-60"/>
    <x v="2534"/>
    <n v="1794.3"/>
    <s v="Complete Access"/>
    <x v="612"/>
    <x v="18"/>
    <x v="59"/>
    <d v="1900-01-17T00:00:00"/>
    <n v="51"/>
    <x v="2"/>
    <x v="5"/>
  </r>
  <r>
    <x v="1175"/>
    <n v="1000"/>
    <x v="2535"/>
    <n v="2794.3"/>
    <s v="Complete Access"/>
    <x v="584"/>
    <x v="0"/>
    <x v="69"/>
    <d v="1900-01-17T00:00:00"/>
    <n v="51"/>
    <x v="2"/>
    <x v="5"/>
  </r>
  <r>
    <x v="1176"/>
    <n v="-33.89"/>
    <x v="2536"/>
    <n v="1854.3"/>
    <s v="Complete Access"/>
    <x v="8"/>
    <x v="1"/>
    <x v="5"/>
    <d v="1900-01-15T00:00:00"/>
    <n v="51"/>
    <x v="2"/>
    <x v="5"/>
  </r>
  <r>
    <x v="1177"/>
    <n v="-63.65"/>
    <x v="2105"/>
    <n v="1888.19"/>
    <s v="Complete Access"/>
    <x v="4"/>
    <x v="1"/>
    <x v="1"/>
    <d v="1900-01-13T00:00:00"/>
    <n v="51"/>
    <x v="2"/>
    <x v="5"/>
  </r>
  <r>
    <x v="1178"/>
    <n v="-100"/>
    <x v="2274"/>
    <n v="1951.84"/>
    <s v="Complete Access"/>
    <x v="552"/>
    <x v="0"/>
    <x v="74"/>
    <d v="1900-01-11T00:00:00"/>
    <n v="50"/>
    <x v="2"/>
    <x v="5"/>
  </r>
  <r>
    <x v="1179"/>
    <n v="-23.74"/>
    <x v="2537"/>
    <n v="2083.29"/>
    <s v="Complete Access"/>
    <x v="8"/>
    <x v="1"/>
    <x v="5"/>
    <d v="1900-01-10T00:00:00"/>
    <n v="50"/>
    <x v="2"/>
    <x v="5"/>
  </r>
  <r>
    <x v="1179"/>
    <n v="-12.4"/>
    <x v="2538"/>
    <n v="2064.69"/>
    <s v="Complete Access"/>
    <x v="613"/>
    <x v="10"/>
    <x v="79"/>
    <d v="1900-01-10T00:00:00"/>
    <n v="50"/>
    <x v="2"/>
    <x v="5"/>
  </r>
  <r>
    <x v="1179"/>
    <n v="-6.2"/>
    <x v="2538"/>
    <n v="2077.09"/>
    <s v="Complete Access"/>
    <x v="613"/>
    <x v="10"/>
    <x v="79"/>
    <d v="1900-01-10T00:00:00"/>
    <n v="50"/>
    <x v="2"/>
    <x v="5"/>
  </r>
  <r>
    <x v="1179"/>
    <n v="-12.85"/>
    <x v="96"/>
    <n v="2051.84"/>
    <s v="Complete Access"/>
    <x v="47"/>
    <x v="1"/>
    <x v="5"/>
    <d v="1900-01-10T00:00:00"/>
    <n v="50"/>
    <x v="2"/>
    <x v="5"/>
  </r>
  <r>
    <x v="1180"/>
    <n v="2237.73"/>
    <x v="2539"/>
    <n v="2607.0300000000002"/>
    <s v="Complete Access"/>
    <x v="14"/>
    <x v="6"/>
    <x v="9"/>
    <d v="1900-01-09T00:00:00"/>
    <n v="50"/>
    <x v="2"/>
    <x v="5"/>
  </r>
  <r>
    <x v="1180"/>
    <n v="-500"/>
    <x v="2294"/>
    <n v="2107.0300000000002"/>
    <s v="Complete Access"/>
    <x v="571"/>
    <x v="19"/>
    <x v="61"/>
    <d v="1900-01-09T00:00:00"/>
    <n v="50"/>
    <x v="2"/>
    <x v="5"/>
  </r>
  <r>
    <x v="1181"/>
    <n v="-1100"/>
    <x v="2540"/>
    <n v="415.58"/>
    <s v="Complete Access"/>
    <x v="601"/>
    <x v="0"/>
    <x v="0"/>
    <d v="1900-01-08T00:00:00"/>
    <n v="50"/>
    <x v="2"/>
    <x v="5"/>
  </r>
  <r>
    <x v="1181"/>
    <n v="-38.99"/>
    <x v="2541"/>
    <n v="515.58000000000004"/>
    <s v="Complete Access"/>
    <x v="8"/>
    <x v="1"/>
    <x v="5"/>
    <d v="1900-01-08T00:00:00"/>
    <n v="50"/>
    <x v="2"/>
    <x v="5"/>
  </r>
  <r>
    <x v="1181"/>
    <n v="1000"/>
    <x v="2542"/>
    <n v="1515.58"/>
    <s v="Complete Access"/>
    <x v="558"/>
    <x v="10"/>
    <x v="13"/>
    <d v="1900-01-08T00:00:00"/>
    <n v="50"/>
    <x v="2"/>
    <x v="5"/>
  </r>
  <r>
    <x v="1181"/>
    <n v="-46.28"/>
    <x v="2543"/>
    <n v="369.3"/>
    <s v="Complete Access"/>
    <x v="17"/>
    <x v="7"/>
    <x v="11"/>
    <d v="1900-01-08T00:00:00"/>
    <n v="50"/>
    <x v="2"/>
    <x v="5"/>
  </r>
  <r>
    <x v="1182"/>
    <n v="-4.1500000000000004"/>
    <x v="2544"/>
    <n v="554.57000000000005"/>
    <s v="Complete Access"/>
    <x v="1"/>
    <x v="1"/>
    <x v="1"/>
    <d v="1900-01-07T00:00:00"/>
    <n v="50"/>
    <x v="2"/>
    <x v="5"/>
  </r>
  <r>
    <x v="1183"/>
    <n v="-100"/>
    <x v="2274"/>
    <n v="633.79"/>
    <s v="Complete Access"/>
    <x v="552"/>
    <x v="0"/>
    <x v="74"/>
    <d v="1900-01-04T00:00:00"/>
    <n v="49"/>
    <x v="2"/>
    <x v="5"/>
  </r>
  <r>
    <x v="1183"/>
    <n v="-69.27"/>
    <x v="2105"/>
    <n v="558.72"/>
    <s v="Complete Access"/>
    <x v="4"/>
    <x v="1"/>
    <x v="1"/>
    <d v="1900-01-04T00:00:00"/>
    <n v="49"/>
    <x v="2"/>
    <x v="5"/>
  </r>
  <r>
    <x v="1183"/>
    <n v="-5.8"/>
    <x v="2545"/>
    <n v="627.99"/>
    <s v="Complete Access"/>
    <x v="34"/>
    <x v="9"/>
    <x v="12"/>
    <d v="1900-01-04T00:00:00"/>
    <n v="49"/>
    <x v="2"/>
    <x v="5"/>
  </r>
  <r>
    <x v="1184"/>
    <n v="-203.39"/>
    <x v="2546"/>
    <n v="585.66"/>
    <s v="Complete Access"/>
    <x v="438"/>
    <x v="12"/>
    <x v="21"/>
    <d v="1900-01-03T00:00:00"/>
    <n v="49"/>
    <x v="2"/>
    <x v="5"/>
  </r>
  <r>
    <x v="1184"/>
    <n v="148.13"/>
    <x v="2547"/>
    <n v="733.79"/>
    <s v="Complete Access"/>
    <x v="577"/>
    <x v="0"/>
    <x v="69"/>
    <d v="1900-01-03T00:00:00"/>
    <n v="49"/>
    <x v="2"/>
    <x v="5"/>
  </r>
  <r>
    <x v="1185"/>
    <n v="-61.6"/>
    <x v="2548"/>
    <n v="1126.9000000000001"/>
    <s v="Complete Access"/>
    <x v="8"/>
    <x v="1"/>
    <x v="5"/>
    <d v="1900-01-02T00:00:00"/>
    <n v="49"/>
    <x v="2"/>
    <x v="5"/>
  </r>
  <r>
    <x v="1185"/>
    <n v="-337.85"/>
    <x v="2549"/>
    <n v="789.05"/>
    <s v="Complete Access"/>
    <x v="614"/>
    <x v="1"/>
    <x v="5"/>
    <d v="1900-01-02T00:00:00"/>
    <n v="49"/>
    <x v="2"/>
    <x v="5"/>
  </r>
  <r>
    <x v="1186"/>
    <n v="-18.989999999999998"/>
    <x v="2550"/>
    <n v="1303.08"/>
    <s v="Complete Access"/>
    <x v="8"/>
    <x v="1"/>
    <x v="5"/>
    <d v="1900-01-01T00:00:00"/>
    <n v="49"/>
    <x v="2"/>
    <x v="5"/>
  </r>
  <r>
    <x v="1186"/>
    <n v="-22.49"/>
    <x v="2551"/>
    <n v="1247.7"/>
    <s v="Complete Access"/>
    <x v="8"/>
    <x v="1"/>
    <x v="5"/>
    <d v="1900-01-01T00:00:00"/>
    <n v="49"/>
    <x v="2"/>
    <x v="5"/>
  </r>
  <r>
    <x v="1186"/>
    <n v="-32.89"/>
    <x v="2551"/>
    <n v="1270.19"/>
    <s v="Complete Access"/>
    <x v="8"/>
    <x v="1"/>
    <x v="5"/>
    <d v="1900-01-01T00:00:00"/>
    <n v="49"/>
    <x v="2"/>
    <x v="5"/>
  </r>
  <r>
    <x v="1186"/>
    <n v="-38.200000000000003"/>
    <x v="2552"/>
    <n v="1209.5"/>
    <s v="Complete Access"/>
    <x v="343"/>
    <x v="1"/>
    <x v="5"/>
    <d v="1900-01-01T00:00:00"/>
    <n v="49"/>
    <x v="2"/>
    <x v="5"/>
  </r>
  <r>
    <x v="1186"/>
    <n v="-21"/>
    <x v="2273"/>
    <n v="1188.5"/>
    <s v="Complete Access"/>
    <x v="0"/>
    <x v="0"/>
    <x v="0"/>
    <d v="1900-01-01T00:00:00"/>
    <n v="49"/>
    <x v="2"/>
    <x v="5"/>
  </r>
  <r>
    <x v="1186"/>
    <n v="-21.99"/>
    <x v="2553"/>
    <n v="1322.07"/>
    <s v="Complete Access"/>
    <x v="104"/>
    <x v="1"/>
    <x v="5"/>
    <d v="1900-01-01T00:00:00"/>
    <n v="49"/>
    <x v="2"/>
    <x v="5"/>
  </r>
  <r>
    <x v="1187"/>
    <n v="-36.99"/>
    <x v="2554"/>
    <n v="1394.11"/>
    <s v="Complete Access"/>
    <x v="8"/>
    <x v="1"/>
    <x v="5"/>
    <d v="1899-12-31T00:00:00"/>
    <n v="49"/>
    <x v="2"/>
    <x v="5"/>
  </r>
  <r>
    <x v="1187"/>
    <n v="-11.65"/>
    <x v="2555"/>
    <n v="1382.46"/>
    <s v="Complete Access"/>
    <x v="47"/>
    <x v="1"/>
    <x v="5"/>
    <d v="1899-12-31T00:00:00"/>
    <n v="49"/>
    <x v="2"/>
    <x v="5"/>
  </r>
  <r>
    <x v="1187"/>
    <n v="-20"/>
    <x v="2229"/>
    <n v="1431.1"/>
    <s v="Complete Access"/>
    <x v="557"/>
    <x v="7"/>
    <x v="53"/>
    <d v="1899-12-31T00:00:00"/>
    <n v="49"/>
    <x v="2"/>
    <x v="5"/>
  </r>
  <r>
    <x v="1187"/>
    <n v="69"/>
    <x v="2282"/>
    <n v="1520.66"/>
    <s v="Complete Access"/>
    <x v="567"/>
    <x v="0"/>
    <x v="69"/>
    <d v="1899-12-31T00:00:00"/>
    <n v="49"/>
    <x v="2"/>
    <x v="5"/>
  </r>
  <r>
    <x v="1187"/>
    <n v="69.2"/>
    <x v="2556"/>
    <n v="1451.66"/>
    <s v="Complete Access"/>
    <x v="583"/>
    <x v="0"/>
    <x v="69"/>
    <d v="1899-12-31T00:00:00"/>
    <n v="49"/>
    <x v="2"/>
    <x v="5"/>
  </r>
  <r>
    <x v="1187"/>
    <n v="-176.6"/>
    <x v="2557"/>
    <n v="1344.06"/>
    <s v="Complete Access"/>
    <x v="76"/>
    <x v="2"/>
    <x v="2"/>
    <d v="1899-12-31T00:00:00"/>
    <n v="49"/>
    <x v="2"/>
    <x v="5"/>
  </r>
  <r>
    <x v="1188"/>
    <n v="22"/>
    <x v="2558"/>
    <n v="1451.1"/>
    <s v="Complete Access"/>
    <x v="583"/>
    <x v="0"/>
    <x v="69"/>
    <d v="1900-01-28T00:00:00"/>
    <n v="49"/>
    <x v="3"/>
    <x v="5"/>
  </r>
  <r>
    <x v="1188"/>
    <n v="1132.6300000000001"/>
    <x v="2559"/>
    <n v="1429.1"/>
    <s v="Complete Access"/>
    <x v="384"/>
    <x v="14"/>
    <x v="68"/>
    <d v="1900-01-28T00:00:00"/>
    <n v="49"/>
    <x v="3"/>
    <x v="5"/>
  </r>
  <r>
    <x v="1189"/>
    <n v="-60"/>
    <x v="2560"/>
    <n v="296.47000000000003"/>
    <s v="Complete Access"/>
    <x v="0"/>
    <x v="0"/>
    <x v="0"/>
    <d v="1900-01-27T00:00:00"/>
    <n v="48"/>
    <x v="3"/>
    <x v="5"/>
  </r>
  <r>
    <x v="1189"/>
    <n v="-10.59"/>
    <x v="2561"/>
    <n v="456.47"/>
    <s v="Complete Access"/>
    <x v="215"/>
    <x v="1"/>
    <x v="1"/>
    <d v="1900-01-27T00:00:00"/>
    <n v="48"/>
    <x v="3"/>
    <x v="5"/>
  </r>
  <r>
    <x v="1189"/>
    <n v="-100"/>
    <x v="2274"/>
    <n v="356.47"/>
    <s v="Complete Access"/>
    <x v="552"/>
    <x v="0"/>
    <x v="74"/>
    <d v="1900-01-27T00:00:00"/>
    <n v="48"/>
    <x v="3"/>
    <x v="5"/>
  </r>
  <r>
    <x v="1190"/>
    <n v="-17.48"/>
    <x v="2527"/>
    <n v="467.06"/>
    <s v="Complete Access"/>
    <x v="177"/>
    <x v="1"/>
    <x v="1"/>
    <d v="1900-01-26T00:00:00"/>
    <n v="48"/>
    <x v="3"/>
    <x v="5"/>
  </r>
  <r>
    <x v="1190"/>
    <n v="-5000"/>
    <x v="2562"/>
    <n v="484.54"/>
    <s v="Complete Access"/>
    <x v="504"/>
    <x v="0"/>
    <x v="72"/>
    <d v="1900-01-26T00:00:00"/>
    <n v="48"/>
    <x v="3"/>
    <x v="5"/>
  </r>
  <r>
    <x v="1191"/>
    <n v="2143.4699999999998"/>
    <x v="2563"/>
    <n v="8013.54"/>
    <s v="Complete Access"/>
    <x v="14"/>
    <x v="6"/>
    <x v="9"/>
    <d v="1900-01-25T00:00:00"/>
    <n v="48"/>
    <x v="3"/>
    <x v="5"/>
  </r>
  <r>
    <x v="1191"/>
    <n v="-500"/>
    <x v="2294"/>
    <n v="7513.54"/>
    <s v="Complete Access"/>
    <x v="571"/>
    <x v="19"/>
    <x v="61"/>
    <d v="1900-01-25T00:00:00"/>
    <n v="48"/>
    <x v="3"/>
    <x v="5"/>
  </r>
  <r>
    <x v="1191"/>
    <n v="-24"/>
    <x v="2564"/>
    <n v="7489.54"/>
    <s v="Complete Access"/>
    <x v="434"/>
    <x v="8"/>
    <x v="29"/>
    <d v="1900-01-25T00:00:00"/>
    <n v="48"/>
    <x v="3"/>
    <x v="5"/>
  </r>
  <r>
    <x v="1191"/>
    <n v="-5"/>
    <x v="2565"/>
    <n v="7484.54"/>
    <s v="Complete Access"/>
    <x v="1"/>
    <x v="1"/>
    <x v="1"/>
    <d v="1900-01-25T00:00:00"/>
    <n v="48"/>
    <x v="3"/>
    <x v="5"/>
  </r>
  <r>
    <x v="1191"/>
    <n v="-2000"/>
    <x v="2566"/>
    <n v="5484.54"/>
    <s v="Complete Access"/>
    <x v="504"/>
    <x v="0"/>
    <x v="72"/>
    <d v="1900-01-25T00:00:00"/>
    <n v="48"/>
    <x v="3"/>
    <x v="5"/>
  </r>
  <r>
    <x v="1192"/>
    <n v="-24.99"/>
    <x v="2567"/>
    <n v="5870.07"/>
    <s v="Complete Access"/>
    <x v="8"/>
    <x v="1"/>
    <x v="5"/>
    <d v="1900-01-24T00:00:00"/>
    <n v="48"/>
    <x v="3"/>
    <x v="5"/>
  </r>
  <r>
    <x v="1192"/>
    <n v="-22.49"/>
    <x v="2568"/>
    <n v="5938.85"/>
    <s v="Complete Access"/>
    <x v="8"/>
    <x v="1"/>
    <x v="5"/>
    <d v="1900-01-24T00:00:00"/>
    <n v="48"/>
    <x v="3"/>
    <x v="5"/>
  </r>
  <r>
    <x v="1192"/>
    <n v="-27.89"/>
    <x v="2568"/>
    <n v="5961.34"/>
    <s v="Complete Access"/>
    <x v="8"/>
    <x v="1"/>
    <x v="5"/>
    <d v="1900-01-24T00:00:00"/>
    <n v="48"/>
    <x v="3"/>
    <x v="5"/>
  </r>
  <r>
    <x v="1192"/>
    <n v="-43.79"/>
    <x v="2569"/>
    <n v="5895.06"/>
    <s v="Complete Access"/>
    <x v="8"/>
    <x v="1"/>
    <x v="5"/>
    <d v="1900-01-24T00:00:00"/>
    <n v="48"/>
    <x v="3"/>
    <x v="5"/>
  </r>
  <r>
    <x v="1193"/>
    <n v="-20.68"/>
    <x v="2570"/>
    <n v="5989.23"/>
    <s v="Complete Access"/>
    <x v="34"/>
    <x v="9"/>
    <x v="12"/>
    <d v="1900-01-23T00:00:00"/>
    <n v="48"/>
    <x v="3"/>
    <x v="5"/>
  </r>
  <r>
    <x v="1194"/>
    <n v="-22.01"/>
    <x v="2135"/>
    <n v="6009.91"/>
    <s v="Complete Access"/>
    <x v="215"/>
    <x v="1"/>
    <x v="1"/>
    <d v="1900-01-22T00:00:00"/>
    <n v="48"/>
    <x v="3"/>
    <x v="5"/>
  </r>
  <r>
    <x v="1195"/>
    <n v="-40"/>
    <x v="2571"/>
    <n v="6031.92"/>
    <s v="Complete Access"/>
    <x v="601"/>
    <x v="0"/>
    <x v="0"/>
    <d v="1900-01-20T00:00:00"/>
    <n v="47"/>
    <x v="3"/>
    <x v="5"/>
  </r>
  <r>
    <x v="1195"/>
    <n v="-100"/>
    <x v="2274"/>
    <n v="6071.92"/>
    <s v="Complete Access"/>
    <x v="552"/>
    <x v="0"/>
    <x v="74"/>
    <d v="1900-01-20T00:00:00"/>
    <n v="47"/>
    <x v="3"/>
    <x v="5"/>
  </r>
  <r>
    <x v="1196"/>
    <n v="-273.08999999999997"/>
    <x v="2572"/>
    <n v="6171.92"/>
    <s v="Complete Access"/>
    <x v="295"/>
    <x v="14"/>
    <x v="66"/>
    <d v="1900-01-19T00:00:00"/>
    <n v="47"/>
    <x v="3"/>
    <x v="5"/>
  </r>
  <r>
    <x v="1197"/>
    <n v="-50.4"/>
    <x v="2573"/>
    <n v="6462.01"/>
    <s v="Complete Access"/>
    <x v="237"/>
    <x v="15"/>
    <x v="34"/>
    <d v="1900-01-18T00:00:00"/>
    <n v="47"/>
    <x v="3"/>
    <x v="5"/>
  </r>
  <r>
    <x v="1197"/>
    <n v="-5"/>
    <x v="2574"/>
    <n v="6445.01"/>
    <s v="Complete Access"/>
    <x v="1"/>
    <x v="1"/>
    <x v="1"/>
    <d v="1900-01-18T00:00:00"/>
    <n v="47"/>
    <x v="3"/>
    <x v="5"/>
  </r>
  <r>
    <x v="1197"/>
    <n v="-12"/>
    <x v="2575"/>
    <n v="6450.01"/>
    <s v="Complete Access"/>
    <x v="1"/>
    <x v="1"/>
    <x v="1"/>
    <d v="1900-01-18T00:00:00"/>
    <n v="47"/>
    <x v="3"/>
    <x v="5"/>
  </r>
  <r>
    <x v="1198"/>
    <n v="-39.49"/>
    <x v="2576"/>
    <n v="6565.19"/>
    <s v="Complete Access"/>
    <x v="8"/>
    <x v="1"/>
    <x v="5"/>
    <d v="1900-01-17T00:00:00"/>
    <n v="47"/>
    <x v="3"/>
    <x v="5"/>
  </r>
  <r>
    <x v="1198"/>
    <n v="-28.89"/>
    <x v="2577"/>
    <n v="6512.41"/>
    <s v="Complete Access"/>
    <x v="8"/>
    <x v="1"/>
    <x v="5"/>
    <d v="1900-01-17T00:00:00"/>
    <n v="47"/>
    <x v="3"/>
    <x v="5"/>
  </r>
  <r>
    <x v="1198"/>
    <n v="-23.89"/>
    <x v="2578"/>
    <n v="6541.3"/>
    <s v="Complete Access"/>
    <x v="8"/>
    <x v="1"/>
    <x v="5"/>
    <d v="1900-01-17T00:00:00"/>
    <n v="47"/>
    <x v="3"/>
    <x v="5"/>
  </r>
  <r>
    <x v="1199"/>
    <n v="-240"/>
    <x v="2579"/>
    <n v="6630.66"/>
    <s v="Complete Access"/>
    <x v="601"/>
    <x v="0"/>
    <x v="0"/>
    <d v="1900-01-16T00:00:00"/>
    <n v="47"/>
    <x v="3"/>
    <x v="5"/>
  </r>
  <r>
    <x v="1199"/>
    <n v="-25.14"/>
    <x v="2580"/>
    <n v="7012.85"/>
    <s v="Complete Access"/>
    <x v="8"/>
    <x v="1"/>
    <x v="5"/>
    <d v="1900-01-16T00:00:00"/>
    <n v="47"/>
    <x v="3"/>
    <x v="5"/>
  </r>
  <r>
    <x v="1199"/>
    <n v="-2.5"/>
    <x v="72"/>
    <n v="6628.16"/>
    <s v="Complete Access"/>
    <x v="37"/>
    <x v="0"/>
    <x v="0"/>
    <d v="1900-01-16T00:00:00"/>
    <n v="47"/>
    <x v="3"/>
    <x v="5"/>
  </r>
  <r>
    <x v="1199"/>
    <n v="-4.1399999999999997"/>
    <x v="2581"/>
    <n v="6870.66"/>
    <s v="Complete Access"/>
    <x v="10"/>
    <x v="0"/>
    <x v="0"/>
    <d v="1900-01-16T00:00:00"/>
    <n v="47"/>
    <x v="3"/>
    <x v="5"/>
  </r>
  <r>
    <x v="1199"/>
    <n v="-138.05000000000001"/>
    <x v="2582"/>
    <n v="6874.8"/>
    <s v="Complete Access"/>
    <x v="615"/>
    <x v="4"/>
    <x v="73"/>
    <d v="1900-01-16T00:00:00"/>
    <n v="47"/>
    <x v="3"/>
    <x v="5"/>
  </r>
  <r>
    <x v="1199"/>
    <n v="-23.48"/>
    <x v="2105"/>
    <n v="6604.68"/>
    <s v="Complete Access"/>
    <x v="4"/>
    <x v="1"/>
    <x v="1"/>
    <d v="1900-01-16T00:00:00"/>
    <n v="47"/>
    <x v="3"/>
    <x v="5"/>
  </r>
  <r>
    <x v="1200"/>
    <n v="-10.1"/>
    <x v="2583"/>
    <n v="7086.51"/>
    <s v="Complete Access"/>
    <x v="616"/>
    <x v="1"/>
    <x v="1"/>
    <d v="1900-01-15T00:00:00"/>
    <n v="47"/>
    <x v="3"/>
    <x v="5"/>
  </r>
  <r>
    <x v="1200"/>
    <n v="-48.52"/>
    <x v="2135"/>
    <n v="7037.99"/>
    <s v="Complete Access"/>
    <x v="215"/>
    <x v="1"/>
    <x v="1"/>
    <d v="1900-01-15T00:00:00"/>
    <n v="47"/>
    <x v="3"/>
    <x v="5"/>
  </r>
  <r>
    <x v="1201"/>
    <n v="-40"/>
    <x v="2584"/>
    <n v="7099.11"/>
    <s v="Complete Access"/>
    <x v="601"/>
    <x v="0"/>
    <x v="0"/>
    <d v="1900-01-13T00:00:00"/>
    <n v="46"/>
    <x v="3"/>
    <x v="5"/>
  </r>
  <r>
    <x v="1201"/>
    <n v="-350"/>
    <x v="2584"/>
    <n v="7141.61"/>
    <s v="Complete Access"/>
    <x v="601"/>
    <x v="0"/>
    <x v="0"/>
    <d v="1900-01-13T00:00:00"/>
    <n v="46"/>
    <x v="3"/>
    <x v="5"/>
  </r>
  <r>
    <x v="1201"/>
    <n v="-2.5"/>
    <x v="72"/>
    <n v="7096.61"/>
    <s v="Complete Access"/>
    <x v="37"/>
    <x v="0"/>
    <x v="0"/>
    <d v="1900-01-13T00:00:00"/>
    <n v="46"/>
    <x v="3"/>
    <x v="5"/>
  </r>
  <r>
    <x v="1201"/>
    <n v="-2.5"/>
    <x v="72"/>
    <n v="7139.11"/>
    <s v="Complete Access"/>
    <x v="37"/>
    <x v="0"/>
    <x v="0"/>
    <d v="1900-01-13T00:00:00"/>
    <n v="46"/>
    <x v="3"/>
    <x v="5"/>
  </r>
  <r>
    <x v="1201"/>
    <n v="-100"/>
    <x v="2274"/>
    <n v="7491.61"/>
    <s v="Complete Access"/>
    <x v="552"/>
    <x v="0"/>
    <x v="74"/>
    <d v="1900-01-13T00:00:00"/>
    <n v="46"/>
    <x v="3"/>
    <x v="5"/>
  </r>
  <r>
    <x v="1202"/>
    <n v="-32.9"/>
    <x v="2585"/>
    <n v="7591.61"/>
    <s v="Complete Access"/>
    <x v="8"/>
    <x v="1"/>
    <x v="5"/>
    <d v="1900-01-12T00:00:00"/>
    <n v="46"/>
    <x v="3"/>
    <x v="5"/>
  </r>
  <r>
    <x v="1202"/>
    <n v="-174.2"/>
    <x v="2586"/>
    <n v="7624.51"/>
    <s v="Complete Access"/>
    <x v="438"/>
    <x v="12"/>
    <x v="21"/>
    <d v="1900-01-12T00:00:00"/>
    <n v="46"/>
    <x v="3"/>
    <x v="5"/>
  </r>
  <r>
    <x v="1203"/>
    <n v="2227.4699999999998"/>
    <x v="2520"/>
    <n v="8240.7099999999991"/>
    <s v="Complete Access"/>
    <x v="14"/>
    <x v="6"/>
    <x v="9"/>
    <d v="1900-01-11T00:00:00"/>
    <n v="46"/>
    <x v="3"/>
    <x v="5"/>
  </r>
  <r>
    <x v="1203"/>
    <n v="-500"/>
    <x v="2294"/>
    <n v="7740.71"/>
    <s v="Complete Access"/>
    <x v="571"/>
    <x v="19"/>
    <x v="61"/>
    <d v="1900-01-11T00:00:00"/>
    <n v="46"/>
    <x v="3"/>
    <x v="5"/>
  </r>
  <r>
    <x v="1203"/>
    <n v="58"/>
    <x v="2282"/>
    <n v="7798.71"/>
    <s v="Complete Access"/>
    <x v="567"/>
    <x v="0"/>
    <x v="69"/>
    <d v="1900-01-11T00:00:00"/>
    <n v="46"/>
    <x v="3"/>
    <x v="5"/>
  </r>
  <r>
    <x v="1204"/>
    <n v="-40.799999999999997"/>
    <x v="2587"/>
    <n v="5979.24"/>
    <s v="Complete Access"/>
    <x v="8"/>
    <x v="1"/>
    <x v="5"/>
    <d v="1900-01-10T00:00:00"/>
    <n v="46"/>
    <x v="3"/>
    <x v="5"/>
  </r>
  <r>
    <x v="1204"/>
    <n v="-32.799999999999997"/>
    <x v="2588"/>
    <n v="6020.04"/>
    <s v="Complete Access"/>
    <x v="8"/>
    <x v="1"/>
    <x v="5"/>
    <d v="1900-01-10T00:00:00"/>
    <n v="46"/>
    <x v="3"/>
    <x v="5"/>
  </r>
  <r>
    <x v="1204"/>
    <n v="34"/>
    <x v="2589"/>
    <n v="6013.24"/>
    <s v="Complete Access"/>
    <x v="0"/>
    <x v="0"/>
    <x v="0"/>
    <d v="1900-01-10T00:00:00"/>
    <n v="46"/>
    <x v="3"/>
    <x v="5"/>
  </r>
  <r>
    <x v="1205"/>
    <n v="-43.79"/>
    <x v="2590"/>
    <n v="6142.34"/>
    <s v="Complete Access"/>
    <x v="8"/>
    <x v="1"/>
    <x v="5"/>
    <d v="1900-01-09T00:00:00"/>
    <n v="46"/>
    <x v="3"/>
    <x v="5"/>
  </r>
  <r>
    <x v="1205"/>
    <n v="-33"/>
    <x v="2591"/>
    <n v="6109.34"/>
    <s v="Complete Access"/>
    <x v="8"/>
    <x v="1"/>
    <x v="5"/>
    <d v="1900-01-09T00:00:00"/>
    <n v="46"/>
    <x v="3"/>
    <x v="5"/>
  </r>
  <r>
    <x v="1205"/>
    <n v="-56.5"/>
    <x v="2135"/>
    <n v="6052.84"/>
    <s v="Complete Access"/>
    <x v="215"/>
    <x v="1"/>
    <x v="1"/>
    <d v="1900-01-09T00:00:00"/>
    <n v="46"/>
    <x v="3"/>
    <x v="5"/>
  </r>
  <r>
    <x v="1206"/>
    <n v="30"/>
    <x v="2589"/>
    <n v="6245.13"/>
    <s v="Complete Access"/>
    <x v="0"/>
    <x v="0"/>
    <x v="0"/>
    <d v="1900-01-08T00:00:00"/>
    <n v="46"/>
    <x v="3"/>
    <x v="5"/>
  </r>
  <r>
    <x v="1206"/>
    <n v="-20"/>
    <x v="2592"/>
    <n v="6215.13"/>
    <s v="Complete Access"/>
    <x v="0"/>
    <x v="0"/>
    <x v="0"/>
    <d v="1900-01-08T00:00:00"/>
    <n v="46"/>
    <x v="3"/>
    <x v="5"/>
  </r>
  <r>
    <x v="1206"/>
    <n v="-59"/>
    <x v="2543"/>
    <n v="6186.13"/>
    <s v="Complete Access"/>
    <x v="17"/>
    <x v="7"/>
    <x v="11"/>
    <d v="1900-01-08T00:00:00"/>
    <n v="46"/>
    <x v="3"/>
    <x v="5"/>
  </r>
  <r>
    <x v="1207"/>
    <n v="20"/>
    <x v="2593"/>
    <n v="6256.13"/>
    <s v="Complete Access"/>
    <x v="568"/>
    <x v="0"/>
    <x v="69"/>
    <d v="1900-01-07T00:00:00"/>
    <n v="46"/>
    <x v="3"/>
    <x v="5"/>
  </r>
  <r>
    <x v="1207"/>
    <n v="-20"/>
    <x v="2594"/>
    <n v="6236.13"/>
    <s v="Complete Access"/>
    <x v="0"/>
    <x v="0"/>
    <x v="0"/>
    <d v="1900-01-07T00:00:00"/>
    <n v="46"/>
    <x v="3"/>
    <x v="5"/>
  </r>
  <r>
    <x v="1207"/>
    <n v="-21"/>
    <x v="2346"/>
    <n v="6235.13"/>
    <s v="Complete Access"/>
    <x v="0"/>
    <x v="0"/>
    <x v="0"/>
    <d v="1900-01-07T00:00:00"/>
    <n v="46"/>
    <x v="3"/>
    <x v="5"/>
  </r>
  <r>
    <x v="1208"/>
    <n v="-10.99"/>
    <x v="2595"/>
    <n v="6357.99"/>
    <s v="Complete Access"/>
    <x v="373"/>
    <x v="8"/>
    <x v="7"/>
    <d v="1900-01-06T00:00:00"/>
    <n v="45"/>
    <x v="3"/>
    <x v="5"/>
  </r>
  <r>
    <x v="1208"/>
    <n v="-100"/>
    <x v="2274"/>
    <n v="6256.13"/>
    <s v="Complete Access"/>
    <x v="552"/>
    <x v="0"/>
    <x v="74"/>
    <d v="1900-01-06T00:00:00"/>
    <n v="45"/>
    <x v="3"/>
    <x v="5"/>
  </r>
  <r>
    <x v="1208"/>
    <n v="-1.86"/>
    <x v="2596"/>
    <n v="6356.13"/>
    <s v="Complete Access"/>
    <x v="44"/>
    <x v="4"/>
    <x v="27"/>
    <d v="1900-01-06T00:00:00"/>
    <n v="45"/>
    <x v="3"/>
    <x v="5"/>
  </r>
  <r>
    <x v="1209"/>
    <n v="-23.5"/>
    <x v="2597"/>
    <n v="6379.57"/>
    <s v="Complete Access"/>
    <x v="343"/>
    <x v="1"/>
    <x v="5"/>
    <d v="1900-01-03T00:00:00"/>
    <n v="45"/>
    <x v="3"/>
    <x v="5"/>
  </r>
  <r>
    <x v="1209"/>
    <n v="-10.59"/>
    <x v="2135"/>
    <n v="6368.98"/>
    <s v="Complete Access"/>
    <x v="215"/>
    <x v="1"/>
    <x v="1"/>
    <d v="1900-01-03T00:00:00"/>
    <n v="45"/>
    <x v="3"/>
    <x v="5"/>
  </r>
  <r>
    <x v="1210"/>
    <n v="-14.88"/>
    <x v="2135"/>
    <n v="6403.07"/>
    <s v="Complete Access"/>
    <x v="215"/>
    <x v="1"/>
    <x v="1"/>
    <d v="1900-01-02T00:00:00"/>
    <n v="45"/>
    <x v="3"/>
    <x v="5"/>
  </r>
  <r>
    <x v="1210"/>
    <n v="-14.99"/>
    <x v="2598"/>
    <n v="6417.95"/>
    <s v="Complete Access"/>
    <x v="222"/>
    <x v="11"/>
    <x v="14"/>
    <d v="1900-01-02T00:00:00"/>
    <n v="45"/>
    <x v="3"/>
    <x v="5"/>
  </r>
  <r>
    <x v="1211"/>
    <n v="-172.99"/>
    <x v="2599"/>
    <n v="6432.94"/>
    <s v="Complete Access"/>
    <x v="76"/>
    <x v="2"/>
    <x v="2"/>
    <d v="1900-01-01T00:00:00"/>
    <n v="45"/>
    <x v="3"/>
    <x v="5"/>
  </r>
  <r>
    <x v="1212"/>
    <n v="-20"/>
    <x v="2229"/>
    <n v="6642.39"/>
    <s v="Complete Access"/>
    <x v="557"/>
    <x v="7"/>
    <x v="53"/>
    <d v="1899-12-31T00:00:00"/>
    <n v="45"/>
    <x v="3"/>
    <x v="5"/>
  </r>
  <r>
    <x v="1212"/>
    <n v="-36.46"/>
    <x v="2135"/>
    <n v="6605.93"/>
    <s v="Complete Access"/>
    <x v="215"/>
    <x v="1"/>
    <x v="1"/>
    <d v="1899-12-31T00:00:00"/>
    <n v="45"/>
    <x v="3"/>
    <x v="5"/>
  </r>
  <r>
    <x v="1213"/>
    <n v="-31.15"/>
    <x v="2600"/>
    <n v="6662.39"/>
    <s v="Complete Access"/>
    <x v="551"/>
    <x v="1"/>
    <x v="5"/>
    <d v="1900-01-30T00:00:00"/>
    <n v="44"/>
    <x v="4"/>
    <x v="5"/>
  </r>
  <r>
    <x v="1213"/>
    <n v="-100"/>
    <x v="2274"/>
    <n v="6693.54"/>
    <s v="Complete Access"/>
    <x v="552"/>
    <x v="0"/>
    <x v="74"/>
    <d v="1900-01-30T00:00:00"/>
    <n v="44"/>
    <x v="4"/>
    <x v="5"/>
  </r>
  <r>
    <x v="1214"/>
    <n v="-7.53"/>
    <x v="2601"/>
    <n v="6793.54"/>
    <s v="Complete Access"/>
    <x v="1"/>
    <x v="1"/>
    <x v="1"/>
    <d v="1900-01-29T00:00:00"/>
    <n v="44"/>
    <x v="4"/>
    <x v="5"/>
  </r>
  <r>
    <x v="1215"/>
    <n v="2101.4699999999998"/>
    <x v="2602"/>
    <n v="7301.07"/>
    <s v="Complete Access"/>
    <x v="14"/>
    <x v="6"/>
    <x v="9"/>
    <d v="1900-01-28T00:00:00"/>
    <n v="44"/>
    <x v="4"/>
    <x v="5"/>
  </r>
  <r>
    <x v="1215"/>
    <n v="-500"/>
    <x v="2294"/>
    <n v="6801.07"/>
    <s v="Complete Access"/>
    <x v="571"/>
    <x v="19"/>
    <x v="61"/>
    <d v="1900-01-28T00:00:00"/>
    <n v="44"/>
    <x v="4"/>
    <x v="5"/>
  </r>
  <r>
    <x v="1216"/>
    <n v="-23.89"/>
    <x v="2603"/>
    <n v="5251.96"/>
    <s v="Complete Access"/>
    <x v="8"/>
    <x v="1"/>
    <x v="5"/>
    <d v="1900-01-27T00:00:00"/>
    <n v="44"/>
    <x v="4"/>
    <x v="5"/>
  </r>
  <r>
    <x v="1216"/>
    <n v="-23.89"/>
    <x v="2604"/>
    <n v="5275.85"/>
    <s v="Complete Access"/>
    <x v="8"/>
    <x v="1"/>
    <x v="5"/>
    <d v="1900-01-27T00:00:00"/>
    <n v="44"/>
    <x v="4"/>
    <x v="5"/>
  </r>
  <r>
    <x v="1216"/>
    <n v="-30"/>
    <x v="2605"/>
    <n v="5299.74"/>
    <s v="Complete Access"/>
    <x v="104"/>
    <x v="1"/>
    <x v="5"/>
    <d v="1900-01-27T00:00:00"/>
    <n v="44"/>
    <x v="4"/>
    <x v="5"/>
  </r>
  <r>
    <x v="1216"/>
    <n v="-52.36"/>
    <x v="2105"/>
    <n v="5199.6000000000004"/>
    <s v="Complete Access"/>
    <x v="4"/>
    <x v="1"/>
    <x v="1"/>
    <d v="1900-01-27T00:00:00"/>
    <n v="44"/>
    <x v="4"/>
    <x v="5"/>
  </r>
  <r>
    <x v="1217"/>
    <n v="-100"/>
    <x v="2359"/>
    <n v="5329.74"/>
    <s v="Complete Access"/>
    <x v="0"/>
    <x v="0"/>
    <x v="0"/>
    <d v="1900-01-25T00:00:00"/>
    <n v="44"/>
    <x v="4"/>
    <x v="5"/>
  </r>
  <r>
    <x v="1217"/>
    <n v="-28.63"/>
    <x v="2135"/>
    <n v="5429.74"/>
    <s v="Complete Access"/>
    <x v="215"/>
    <x v="1"/>
    <x v="1"/>
    <d v="1900-01-25T00:00:00"/>
    <n v="44"/>
    <x v="4"/>
    <x v="5"/>
  </r>
  <r>
    <x v="1218"/>
    <n v="-25.99"/>
    <x v="2606"/>
    <n v="5542.37"/>
    <s v="Complete Access"/>
    <x v="8"/>
    <x v="1"/>
    <x v="5"/>
    <d v="1900-01-23T00:00:00"/>
    <n v="43"/>
    <x v="4"/>
    <x v="5"/>
  </r>
  <r>
    <x v="1218"/>
    <n v="-100"/>
    <x v="2274"/>
    <n v="5442.37"/>
    <s v="Complete Access"/>
    <x v="552"/>
    <x v="0"/>
    <x v="74"/>
    <d v="1900-01-23T00:00:00"/>
    <n v="43"/>
    <x v="4"/>
    <x v="5"/>
  </r>
  <r>
    <x v="1218"/>
    <n v="16"/>
    <x v="2607"/>
    <n v="5458.37"/>
    <s v="Complete Access"/>
    <x v="0"/>
    <x v="0"/>
    <x v="0"/>
    <d v="1900-01-23T00:00:00"/>
    <n v="43"/>
    <x v="4"/>
    <x v="5"/>
  </r>
  <r>
    <x v="1219"/>
    <n v="-53.8"/>
    <x v="2608"/>
    <n v="5568.36"/>
    <s v="Complete Access"/>
    <x v="56"/>
    <x v="9"/>
    <x v="31"/>
    <d v="1900-01-20T00:00:00"/>
    <n v="43"/>
    <x v="4"/>
    <x v="5"/>
  </r>
  <r>
    <x v="1220"/>
    <n v="-23.89"/>
    <x v="2609"/>
    <n v="5586.22"/>
    <s v="Complete Access"/>
    <x v="8"/>
    <x v="1"/>
    <x v="5"/>
    <d v="1900-01-19T00:00:00"/>
    <n v="43"/>
    <x v="4"/>
    <x v="5"/>
  </r>
  <r>
    <x v="1220"/>
    <n v="20.12"/>
    <x v="2610"/>
    <n v="5610.11"/>
    <s v="Complete Access"/>
    <x v="617"/>
    <x v="4"/>
    <x v="73"/>
    <d v="1900-01-19T00:00:00"/>
    <n v="43"/>
    <x v="4"/>
    <x v="5"/>
  </r>
  <r>
    <x v="1220"/>
    <n v="63"/>
    <x v="2556"/>
    <n v="5622.16"/>
    <s v="Complete Access"/>
    <x v="583"/>
    <x v="0"/>
    <x v="69"/>
    <d v="1900-01-19T00:00:00"/>
    <n v="43"/>
    <x v="4"/>
    <x v="5"/>
  </r>
  <r>
    <x v="1220"/>
    <n v="-27.06"/>
    <x v="2611"/>
    <n v="5559.16"/>
    <s v="Complete Access"/>
    <x v="4"/>
    <x v="1"/>
    <x v="1"/>
    <d v="1900-01-19T00:00:00"/>
    <n v="43"/>
    <x v="4"/>
    <x v="5"/>
  </r>
  <r>
    <x v="1221"/>
    <n v="-22"/>
    <x v="2612"/>
    <n v="5754.99"/>
    <s v="Complete Access"/>
    <x v="0"/>
    <x v="0"/>
    <x v="0"/>
    <d v="1900-01-18T00:00:00"/>
    <n v="43"/>
    <x v="4"/>
    <x v="5"/>
  </r>
  <r>
    <x v="1221"/>
    <n v="-165"/>
    <x v="2613"/>
    <n v="5589.99"/>
    <s v="Complete Access"/>
    <x v="504"/>
    <x v="0"/>
    <x v="72"/>
    <d v="1900-01-18T00:00:00"/>
    <n v="43"/>
    <x v="4"/>
    <x v="5"/>
  </r>
  <r>
    <x v="1222"/>
    <n v="-22"/>
    <x v="2614"/>
    <n v="5776.99"/>
    <s v="Complete Access"/>
    <x v="0"/>
    <x v="0"/>
    <x v="0"/>
    <d v="1900-01-16T00:00:00"/>
    <n v="42"/>
    <x v="4"/>
    <x v="5"/>
  </r>
  <r>
    <x v="1222"/>
    <n v="-100"/>
    <x v="2274"/>
    <n v="5798.99"/>
    <s v="Complete Access"/>
    <x v="552"/>
    <x v="0"/>
    <x v="74"/>
    <d v="1900-01-16T00:00:00"/>
    <n v="42"/>
    <x v="4"/>
    <x v="5"/>
  </r>
  <r>
    <x v="1223"/>
    <n v="-67.08"/>
    <x v="2615"/>
    <n v="5927.99"/>
    <s v="Complete Access"/>
    <x v="8"/>
    <x v="1"/>
    <x v="5"/>
    <d v="1900-01-15T00:00:00"/>
    <n v="42"/>
    <x v="4"/>
    <x v="5"/>
  </r>
  <r>
    <x v="1223"/>
    <n v="-23.89"/>
    <x v="2615"/>
    <n v="5995.07"/>
    <s v="Complete Access"/>
    <x v="8"/>
    <x v="1"/>
    <x v="5"/>
    <d v="1900-01-15T00:00:00"/>
    <n v="42"/>
    <x v="4"/>
    <x v="5"/>
  </r>
  <r>
    <x v="1223"/>
    <n v="-29"/>
    <x v="2616"/>
    <n v="5898.99"/>
    <s v="Complete Access"/>
    <x v="1"/>
    <x v="1"/>
    <x v="1"/>
    <d v="1900-01-15T00:00:00"/>
    <n v="42"/>
    <x v="4"/>
    <x v="5"/>
  </r>
  <r>
    <x v="1224"/>
    <n v="2101.4699999999998"/>
    <x v="2617"/>
    <n v="6518.96"/>
    <s v="Complete Access"/>
    <x v="14"/>
    <x v="6"/>
    <x v="9"/>
    <d v="1900-01-14T00:00:00"/>
    <n v="42"/>
    <x v="4"/>
    <x v="5"/>
  </r>
  <r>
    <x v="1224"/>
    <n v="-500"/>
    <x v="2294"/>
    <n v="6018.96"/>
    <s v="Complete Access"/>
    <x v="571"/>
    <x v="19"/>
    <x v="61"/>
    <d v="1900-01-14T00:00:00"/>
    <n v="42"/>
    <x v="4"/>
    <x v="5"/>
  </r>
  <r>
    <x v="1225"/>
    <n v="-23.89"/>
    <x v="2618"/>
    <n v="4417.49"/>
    <s v="Complete Access"/>
    <x v="8"/>
    <x v="1"/>
    <x v="5"/>
    <d v="1900-01-13T00:00:00"/>
    <n v="42"/>
    <x v="4"/>
    <x v="5"/>
  </r>
  <r>
    <x v="1225"/>
    <n v="-28.49"/>
    <x v="2618"/>
    <n v="4441.38"/>
    <s v="Complete Access"/>
    <x v="8"/>
    <x v="1"/>
    <x v="5"/>
    <d v="1900-01-13T00:00:00"/>
    <n v="42"/>
    <x v="4"/>
    <x v="5"/>
  </r>
  <r>
    <x v="1226"/>
    <n v="-180"/>
    <x v="2619"/>
    <n v="4469.87"/>
    <s v="Complete Access"/>
    <x v="618"/>
    <x v="8"/>
    <x v="29"/>
    <d v="1900-01-12T00:00:00"/>
    <n v="42"/>
    <x v="4"/>
    <x v="5"/>
  </r>
  <r>
    <x v="1226"/>
    <n v="-117"/>
    <x v="2619"/>
    <n v="4649.87"/>
    <s v="Complete Access"/>
    <x v="618"/>
    <x v="8"/>
    <x v="29"/>
    <d v="1900-01-12T00:00:00"/>
    <n v="42"/>
    <x v="4"/>
    <x v="5"/>
  </r>
  <r>
    <x v="1227"/>
    <n v="-42.48"/>
    <x v="2135"/>
    <n v="4826.37"/>
    <s v="Complete Access"/>
    <x v="215"/>
    <x v="1"/>
    <x v="1"/>
    <d v="1900-01-11T00:00:00"/>
    <n v="42"/>
    <x v="4"/>
    <x v="5"/>
  </r>
  <r>
    <x v="1227"/>
    <n v="-59.5"/>
    <x v="2543"/>
    <n v="4766.87"/>
    <s v="Complete Access"/>
    <x v="17"/>
    <x v="7"/>
    <x v="11"/>
    <d v="1900-01-11T00:00:00"/>
    <n v="42"/>
    <x v="4"/>
    <x v="5"/>
  </r>
  <r>
    <x v="1228"/>
    <n v="-100"/>
    <x v="2274"/>
    <n v="4850.8500000000004"/>
    <s v="Complete Access"/>
    <x v="552"/>
    <x v="0"/>
    <x v="74"/>
    <d v="1900-01-09T00:00:00"/>
    <n v="41"/>
    <x v="4"/>
    <x v="5"/>
  </r>
  <r>
    <x v="1228"/>
    <n v="18"/>
    <x v="2620"/>
    <n v="4868.8500000000004"/>
    <s v="Complete Access"/>
    <x v="0"/>
    <x v="0"/>
    <x v="0"/>
    <d v="1900-01-09T00:00:00"/>
    <n v="41"/>
    <x v="4"/>
    <x v="5"/>
  </r>
  <r>
    <x v="1229"/>
    <n v="-8"/>
    <x v="2409"/>
    <n v="4950.8500000000004"/>
    <s v="Complete Access"/>
    <x v="0"/>
    <x v="0"/>
    <x v="0"/>
    <d v="1900-01-08T00:00:00"/>
    <n v="41"/>
    <x v="4"/>
    <x v="5"/>
  </r>
  <r>
    <x v="1229"/>
    <n v="-16.600000000000001"/>
    <x v="1965"/>
    <n v="4958.8500000000004"/>
    <s v="Complete Access"/>
    <x v="304"/>
    <x v="1"/>
    <x v="5"/>
    <d v="1900-01-08T00:00:00"/>
    <n v="41"/>
    <x v="4"/>
    <x v="5"/>
  </r>
  <r>
    <x v="1230"/>
    <n v="-33.5"/>
    <x v="2621"/>
    <n v="4975.45"/>
    <s v="Complete Access"/>
    <x v="61"/>
    <x v="1"/>
    <x v="1"/>
    <d v="1900-01-07T00:00:00"/>
    <n v="41"/>
    <x v="4"/>
    <x v="5"/>
  </r>
  <r>
    <x v="1230"/>
    <n v="-24.26"/>
    <x v="2621"/>
    <n v="5008.95"/>
    <s v="Complete Access"/>
    <x v="61"/>
    <x v="1"/>
    <x v="1"/>
    <d v="1900-01-07T00:00:00"/>
    <n v="41"/>
    <x v="4"/>
    <x v="5"/>
  </r>
  <r>
    <x v="1230"/>
    <n v="-33.5"/>
    <x v="2622"/>
    <n v="4975.45"/>
    <s v="Complete Access"/>
    <x v="61"/>
    <x v="1"/>
    <x v="1"/>
    <d v="1900-01-07T00:00:00"/>
    <n v="41"/>
    <x v="4"/>
    <x v="5"/>
  </r>
  <r>
    <x v="1230"/>
    <n v="-24.26"/>
    <x v="2622"/>
    <n v="5008.95"/>
    <s v="Complete Access"/>
    <x v="61"/>
    <x v="1"/>
    <x v="1"/>
    <d v="1900-01-07T00:00:00"/>
    <n v="41"/>
    <x v="4"/>
    <x v="5"/>
  </r>
  <r>
    <x v="1230"/>
    <n v="-9.99"/>
    <x v="2623"/>
    <n v="5033.21"/>
    <s v="Complete Access"/>
    <x v="373"/>
    <x v="8"/>
    <x v="7"/>
    <d v="1900-01-07T00:00:00"/>
    <n v="41"/>
    <x v="4"/>
    <x v="5"/>
  </r>
  <r>
    <x v="1230"/>
    <n v="-9.99"/>
    <x v="2624"/>
    <n v="5033.21"/>
    <s v="Complete Access"/>
    <x v="373"/>
    <x v="8"/>
    <x v="7"/>
    <d v="1900-01-07T00:00:00"/>
    <n v="41"/>
    <x v="4"/>
    <x v="5"/>
  </r>
  <r>
    <x v="1231"/>
    <n v="-23.29"/>
    <x v="2625"/>
    <n v="5271.54"/>
    <s v="Complete Access"/>
    <x v="8"/>
    <x v="1"/>
    <x v="5"/>
    <d v="1900-01-06T00:00:00"/>
    <n v="41"/>
    <x v="4"/>
    <x v="5"/>
  </r>
  <r>
    <x v="1231"/>
    <n v="-21.9"/>
    <x v="2625"/>
    <n v="5294.83"/>
    <s v="Complete Access"/>
    <x v="8"/>
    <x v="1"/>
    <x v="5"/>
    <d v="1900-01-06T00:00:00"/>
    <n v="41"/>
    <x v="4"/>
    <x v="5"/>
  </r>
  <r>
    <x v="1231"/>
    <n v="-23.89"/>
    <x v="2625"/>
    <n v="5316.73"/>
    <s v="Complete Access"/>
    <x v="8"/>
    <x v="1"/>
    <x v="5"/>
    <d v="1900-01-06T00:00:00"/>
    <n v="41"/>
    <x v="4"/>
    <x v="5"/>
  </r>
  <r>
    <x v="1231"/>
    <n v="-24.34"/>
    <x v="2626"/>
    <n v="5247.2"/>
    <s v="Complete Access"/>
    <x v="8"/>
    <x v="1"/>
    <x v="5"/>
    <d v="1900-01-06T00:00:00"/>
    <n v="41"/>
    <x v="4"/>
    <x v="5"/>
  </r>
  <r>
    <x v="1231"/>
    <n v="-54"/>
    <x v="2627"/>
    <n v="5113.2"/>
    <s v="Complete Access"/>
    <x v="35"/>
    <x v="1"/>
    <x v="23"/>
    <d v="1900-01-06T00:00:00"/>
    <n v="41"/>
    <x v="4"/>
    <x v="5"/>
  </r>
  <r>
    <x v="1231"/>
    <n v="-70"/>
    <x v="2628"/>
    <n v="5043.2"/>
    <s v="Complete Access"/>
    <x v="0"/>
    <x v="0"/>
    <x v="0"/>
    <d v="1900-01-06T00:00:00"/>
    <n v="41"/>
    <x v="4"/>
    <x v="5"/>
  </r>
  <r>
    <x v="1231"/>
    <n v="-60"/>
    <x v="2629"/>
    <n v="5167.2"/>
    <s v="Complete Access"/>
    <x v="619"/>
    <x v="3"/>
    <x v="15"/>
    <d v="1900-01-06T00:00:00"/>
    <n v="41"/>
    <x v="4"/>
    <x v="5"/>
  </r>
  <r>
    <x v="1231"/>
    <n v="-20"/>
    <x v="2630"/>
    <n v="5227.2"/>
    <s v="Complete Access"/>
    <x v="620"/>
    <x v="3"/>
    <x v="15"/>
    <d v="1900-01-06T00:00:00"/>
    <n v="41"/>
    <x v="4"/>
    <x v="5"/>
  </r>
  <r>
    <x v="1232"/>
    <n v="-36.29"/>
    <x v="2631"/>
    <n v="5347.62"/>
    <s v="Complete Access"/>
    <x v="8"/>
    <x v="1"/>
    <x v="5"/>
    <d v="1900-01-05T00:00:00"/>
    <n v="41"/>
    <x v="4"/>
    <x v="5"/>
  </r>
  <r>
    <x v="1232"/>
    <n v="-4"/>
    <x v="2632"/>
    <n v="5343.62"/>
    <s v="Complete Access"/>
    <x v="621"/>
    <x v="3"/>
    <x v="15"/>
    <d v="1900-01-05T00:00:00"/>
    <n v="41"/>
    <x v="4"/>
    <x v="5"/>
  </r>
  <r>
    <x v="1232"/>
    <n v="-186.15"/>
    <x v="2633"/>
    <n v="5383.91"/>
    <s v="Complete Access"/>
    <x v="438"/>
    <x v="12"/>
    <x v="21"/>
    <d v="1900-01-05T00:00:00"/>
    <n v="41"/>
    <x v="4"/>
    <x v="5"/>
  </r>
  <r>
    <x v="1232"/>
    <n v="-3"/>
    <x v="2634"/>
    <n v="5340.62"/>
    <s v="Complete Access"/>
    <x v="622"/>
    <x v="1"/>
    <x v="23"/>
    <d v="1900-01-05T00:00:00"/>
    <n v="41"/>
    <x v="4"/>
    <x v="5"/>
  </r>
  <r>
    <x v="1233"/>
    <n v="-35"/>
    <x v="2635"/>
    <n v="5623.58"/>
    <s v="Complete Access"/>
    <x v="623"/>
    <x v="1"/>
    <x v="5"/>
    <d v="1900-01-04T00:00:00"/>
    <n v="41"/>
    <x v="4"/>
    <x v="5"/>
  </r>
  <r>
    <x v="1233"/>
    <n v="-5"/>
    <x v="2636"/>
    <n v="5581.51"/>
    <s v="Complete Access"/>
    <x v="624"/>
    <x v="9"/>
    <x v="12"/>
    <d v="1900-01-04T00:00:00"/>
    <n v="41"/>
    <x v="4"/>
    <x v="5"/>
  </r>
  <r>
    <x v="1233"/>
    <n v="-37.07"/>
    <x v="2636"/>
    <n v="5586.51"/>
    <s v="Complete Access"/>
    <x v="624"/>
    <x v="9"/>
    <x v="12"/>
    <d v="1900-01-04T00:00:00"/>
    <n v="41"/>
    <x v="4"/>
    <x v="5"/>
  </r>
  <r>
    <x v="1233"/>
    <n v="-11.45"/>
    <x v="2637"/>
    <n v="5570.06"/>
    <s v="Complete Access"/>
    <x v="625"/>
    <x v="1"/>
    <x v="5"/>
    <d v="1900-01-04T00:00:00"/>
    <n v="41"/>
    <x v="4"/>
    <x v="5"/>
  </r>
  <r>
    <x v="1233"/>
    <n v="-6.5"/>
    <x v="2638"/>
    <n v="5718.58"/>
    <s v="Complete Access"/>
    <x v="304"/>
    <x v="1"/>
    <x v="5"/>
    <d v="1900-01-04T00:00:00"/>
    <n v="41"/>
    <x v="4"/>
    <x v="5"/>
  </r>
  <r>
    <x v="1233"/>
    <n v="-60"/>
    <x v="2639"/>
    <n v="5658.58"/>
    <s v="Complete Access"/>
    <x v="4"/>
    <x v="1"/>
    <x v="1"/>
    <d v="1900-01-04T00:00:00"/>
    <n v="41"/>
    <x v="4"/>
    <x v="5"/>
  </r>
  <r>
    <x v="1234"/>
    <n v="-90"/>
    <x v="2640"/>
    <n v="5733.27"/>
    <s v="Complete Access"/>
    <x v="601"/>
    <x v="0"/>
    <x v="0"/>
    <d v="1900-01-02T00:00:00"/>
    <n v="40"/>
    <x v="4"/>
    <x v="5"/>
  </r>
  <r>
    <x v="1234"/>
    <n v="-5"/>
    <x v="2641"/>
    <n v="5881.17"/>
    <s v="Complete Access"/>
    <x v="507"/>
    <x v="1"/>
    <x v="1"/>
    <d v="1900-01-02T00:00:00"/>
    <n v="40"/>
    <x v="4"/>
    <x v="5"/>
  </r>
  <r>
    <x v="1234"/>
    <n v="-55"/>
    <x v="2642"/>
    <n v="5823.27"/>
    <s v="Complete Access"/>
    <x v="626"/>
    <x v="3"/>
    <x v="15"/>
    <d v="1900-01-02T00:00:00"/>
    <n v="40"/>
    <x v="4"/>
    <x v="5"/>
  </r>
  <r>
    <x v="1234"/>
    <n v="-8.19"/>
    <x v="2643"/>
    <n v="5725.08"/>
    <s v="Complete Access"/>
    <x v="215"/>
    <x v="1"/>
    <x v="1"/>
    <d v="1900-01-02T00:00:00"/>
    <n v="40"/>
    <x v="4"/>
    <x v="5"/>
  </r>
  <r>
    <x v="1234"/>
    <n v="-100"/>
    <x v="2274"/>
    <n v="5886.17"/>
    <s v="Complete Access"/>
    <x v="552"/>
    <x v="0"/>
    <x v="74"/>
    <d v="1900-01-02T00:00:00"/>
    <n v="40"/>
    <x v="4"/>
    <x v="5"/>
  </r>
  <r>
    <x v="1234"/>
    <n v="-2.9"/>
    <x v="2644"/>
    <n v="5878.27"/>
    <s v="Complete Access"/>
    <x v="1"/>
    <x v="1"/>
    <x v="1"/>
    <d v="1900-01-02T00:00:00"/>
    <n v="40"/>
    <x v="4"/>
    <x v="5"/>
  </r>
  <r>
    <x v="1235"/>
    <n v="62"/>
    <x v="2282"/>
    <n v="5986.17"/>
    <s v="Complete Access"/>
    <x v="567"/>
    <x v="0"/>
    <x v="69"/>
    <d v="1900-01-01T00:00:00"/>
    <n v="40"/>
    <x v="4"/>
    <x v="5"/>
  </r>
  <r>
    <x v="1236"/>
    <n v="-31.4"/>
    <x v="2645"/>
    <n v="6635.86"/>
    <s v="Complete Access"/>
    <x v="8"/>
    <x v="1"/>
    <x v="5"/>
    <d v="1899-12-31T00:00:00"/>
    <n v="40"/>
    <x v="4"/>
    <x v="5"/>
  </r>
  <r>
    <x v="1236"/>
    <n v="2101.4699999999998"/>
    <x v="2646"/>
    <n v="6756.75"/>
    <s v="Complete Access"/>
    <x v="14"/>
    <x v="6"/>
    <x v="9"/>
    <d v="1899-12-31T00:00:00"/>
    <n v="40"/>
    <x v="4"/>
    <x v="5"/>
  </r>
  <r>
    <x v="1236"/>
    <n v="-500"/>
    <x v="2294"/>
    <n v="6135.86"/>
    <s v="Complete Access"/>
    <x v="571"/>
    <x v="19"/>
    <x v="61"/>
    <d v="1899-12-31T00:00:00"/>
    <n v="40"/>
    <x v="4"/>
    <x v="5"/>
  </r>
  <r>
    <x v="1236"/>
    <n v="-26.8"/>
    <x v="2647"/>
    <n v="6667.26"/>
    <s v="Complete Access"/>
    <x v="627"/>
    <x v="8"/>
    <x v="29"/>
    <d v="1899-12-31T00:00:00"/>
    <n v="40"/>
    <x v="4"/>
    <x v="5"/>
  </r>
  <r>
    <x v="1236"/>
    <n v="-23"/>
    <x v="2647"/>
    <n v="6694.06"/>
    <s v="Complete Access"/>
    <x v="627"/>
    <x v="8"/>
    <x v="29"/>
    <d v="1899-12-31T00:00:00"/>
    <n v="40"/>
    <x v="4"/>
    <x v="5"/>
  </r>
  <r>
    <x v="1236"/>
    <n v="-20"/>
    <x v="2229"/>
    <n v="6115.86"/>
    <s v="Complete Access"/>
    <x v="557"/>
    <x v="7"/>
    <x v="53"/>
    <d v="1899-12-31T00:00:00"/>
    <n v="40"/>
    <x v="4"/>
    <x v="5"/>
  </r>
  <r>
    <x v="1236"/>
    <n v="-39.69"/>
    <x v="2648"/>
    <n v="6717.06"/>
    <s v="Complete Access"/>
    <x v="237"/>
    <x v="15"/>
    <x v="34"/>
    <d v="1899-12-31T00:00:00"/>
    <n v="40"/>
    <x v="4"/>
    <x v="5"/>
  </r>
  <r>
    <x v="1236"/>
    <n v="-172.3"/>
    <x v="2649"/>
    <n v="5924.17"/>
    <s v="Complete Access"/>
    <x v="76"/>
    <x v="2"/>
    <x v="2"/>
    <d v="1899-12-31T00:00:00"/>
    <n v="40"/>
    <x v="4"/>
    <x v="5"/>
  </r>
  <r>
    <x v="1236"/>
    <n v="-19.39"/>
    <x v="2639"/>
    <n v="6096.47"/>
    <s v="Complete Access"/>
    <x v="4"/>
    <x v="1"/>
    <x v="1"/>
    <d v="1899-12-31T00:00:00"/>
    <n v="40"/>
    <x v="4"/>
    <x v="5"/>
  </r>
  <r>
    <x v="1237"/>
    <n v="-30.64"/>
    <x v="2650"/>
    <n v="4679.17"/>
    <s v="Complete Access"/>
    <x v="8"/>
    <x v="1"/>
    <x v="5"/>
    <d v="1900-01-29T00:00:00"/>
    <n v="40"/>
    <x v="5"/>
    <x v="5"/>
  </r>
  <r>
    <x v="1237"/>
    <n v="-23.89"/>
    <x v="2651"/>
    <n v="4655.28"/>
    <s v="Complete Access"/>
    <x v="8"/>
    <x v="1"/>
    <x v="5"/>
    <d v="1900-01-29T00:00:00"/>
    <n v="40"/>
    <x v="5"/>
    <x v="5"/>
  </r>
  <r>
    <x v="1238"/>
    <n v="-27.79"/>
    <x v="2652"/>
    <n v="4776.51"/>
    <s v="Complete Access"/>
    <x v="8"/>
    <x v="1"/>
    <x v="5"/>
    <d v="1900-01-28T00:00:00"/>
    <n v="40"/>
    <x v="5"/>
    <x v="5"/>
  </r>
  <r>
    <x v="1238"/>
    <n v="-47.7"/>
    <x v="2643"/>
    <n v="4709.8100000000004"/>
    <s v="Complete Access"/>
    <x v="215"/>
    <x v="1"/>
    <x v="1"/>
    <d v="1900-01-28T00:00:00"/>
    <n v="40"/>
    <x v="5"/>
    <x v="5"/>
  </r>
  <r>
    <x v="1238"/>
    <n v="-19"/>
    <x v="2653"/>
    <n v="4757.51"/>
    <s v="Complete Access"/>
    <x v="34"/>
    <x v="9"/>
    <x v="12"/>
    <d v="1900-01-28T00:00:00"/>
    <n v="40"/>
    <x v="5"/>
    <x v="5"/>
  </r>
  <r>
    <x v="1239"/>
    <n v="-560"/>
    <x v="2654"/>
    <n v="4804.3"/>
    <s v="Complete Access"/>
    <x v="532"/>
    <x v="17"/>
    <x v="43"/>
    <d v="1900-01-26T00:00:00"/>
    <n v="40"/>
    <x v="5"/>
    <x v="5"/>
  </r>
  <r>
    <x v="1240"/>
    <n v="-100"/>
    <x v="2274"/>
    <n v="5364.3"/>
    <s v="Complete Access"/>
    <x v="552"/>
    <x v="0"/>
    <x v="74"/>
    <d v="1900-01-25T00:00:00"/>
    <n v="39"/>
    <x v="5"/>
    <x v="5"/>
  </r>
  <r>
    <x v="1241"/>
    <n v="-17.53"/>
    <x v="2643"/>
    <n v="5464.3"/>
    <s v="Complete Access"/>
    <x v="215"/>
    <x v="1"/>
    <x v="1"/>
    <d v="1900-01-23T00:00:00"/>
    <n v="39"/>
    <x v="5"/>
    <x v="5"/>
  </r>
  <r>
    <x v="1242"/>
    <n v="-22.89"/>
    <x v="2655"/>
    <n v="5481.83"/>
    <s v="Complete Access"/>
    <x v="8"/>
    <x v="1"/>
    <x v="5"/>
    <d v="1900-01-22T00:00:00"/>
    <n v="39"/>
    <x v="5"/>
    <x v="5"/>
  </r>
  <r>
    <x v="1242"/>
    <n v="-33.299999999999997"/>
    <x v="2656"/>
    <n v="5504.72"/>
    <s v="Complete Access"/>
    <x v="8"/>
    <x v="1"/>
    <x v="5"/>
    <d v="1900-01-22T00:00:00"/>
    <n v="39"/>
    <x v="5"/>
    <x v="5"/>
  </r>
  <r>
    <x v="1243"/>
    <n v="-47.49"/>
    <x v="2657"/>
    <n v="5538.02"/>
    <s v="Complete Access"/>
    <x v="8"/>
    <x v="1"/>
    <x v="5"/>
    <d v="1900-01-21T00:00:00"/>
    <n v="39"/>
    <x v="5"/>
    <x v="5"/>
  </r>
  <r>
    <x v="1244"/>
    <n v="-21"/>
    <x v="2612"/>
    <n v="5585.51"/>
    <s v="Complete Access"/>
    <x v="0"/>
    <x v="0"/>
    <x v="0"/>
    <d v="1900-01-20T00:00:00"/>
    <n v="39"/>
    <x v="5"/>
    <x v="5"/>
  </r>
  <r>
    <x v="1245"/>
    <n v="-100"/>
    <x v="2274"/>
    <n v="5606.51"/>
    <s v="Complete Access"/>
    <x v="552"/>
    <x v="0"/>
    <x v="74"/>
    <d v="1900-01-18T00:00:00"/>
    <n v="38"/>
    <x v="5"/>
    <x v="5"/>
  </r>
  <r>
    <x v="1246"/>
    <n v="30"/>
    <x v="2593"/>
    <n v="5706.51"/>
    <s v="Complete Access"/>
    <x v="568"/>
    <x v="0"/>
    <x v="69"/>
    <d v="1900-01-17T00:00:00"/>
    <n v="38"/>
    <x v="5"/>
    <x v="5"/>
  </r>
  <r>
    <x v="1246"/>
    <n v="-30"/>
    <x v="2658"/>
    <n v="5676.51"/>
    <s v="Complete Access"/>
    <x v="0"/>
    <x v="0"/>
    <x v="0"/>
    <d v="1900-01-17T00:00:00"/>
    <n v="38"/>
    <x v="5"/>
    <x v="5"/>
  </r>
  <r>
    <x v="1246"/>
    <n v="-13.98"/>
    <x v="2659"/>
    <n v="5706.51"/>
    <s v="Complete Access"/>
    <x v="1"/>
    <x v="1"/>
    <x v="1"/>
    <d v="1900-01-17T00:00:00"/>
    <n v="38"/>
    <x v="5"/>
    <x v="5"/>
  </r>
  <r>
    <x v="1247"/>
    <n v="-88.79"/>
    <x v="2660"/>
    <n v="6220.49"/>
    <s v="Complete Access"/>
    <x v="8"/>
    <x v="1"/>
    <x v="5"/>
    <d v="1900-01-16T00:00:00"/>
    <n v="38"/>
    <x v="5"/>
    <x v="5"/>
  </r>
  <r>
    <x v="1247"/>
    <n v="2101.4699999999998"/>
    <x v="2661"/>
    <n v="6309.28"/>
    <s v="Complete Access"/>
    <x v="14"/>
    <x v="6"/>
    <x v="9"/>
    <d v="1900-01-16T00:00:00"/>
    <n v="38"/>
    <x v="5"/>
    <x v="5"/>
  </r>
  <r>
    <x v="1247"/>
    <n v="-500"/>
    <x v="2294"/>
    <n v="5720.49"/>
    <s v="Complete Access"/>
    <x v="571"/>
    <x v="19"/>
    <x v="61"/>
    <d v="1900-01-16T00:00:00"/>
    <n v="38"/>
    <x v="5"/>
    <x v="5"/>
  </r>
  <r>
    <x v="1248"/>
    <n v="-31.69"/>
    <x v="2662"/>
    <n v="4267.78"/>
    <s v="Complete Access"/>
    <x v="8"/>
    <x v="1"/>
    <x v="5"/>
    <d v="1900-01-15T00:00:00"/>
    <n v="38"/>
    <x v="5"/>
    <x v="5"/>
  </r>
  <r>
    <x v="1248"/>
    <n v="-23.89"/>
    <x v="2663"/>
    <n v="4243.8900000000003"/>
    <s v="Complete Access"/>
    <x v="8"/>
    <x v="1"/>
    <x v="5"/>
    <d v="1900-01-15T00:00:00"/>
    <n v="38"/>
    <x v="5"/>
    <x v="5"/>
  </r>
  <r>
    <x v="1248"/>
    <n v="-4"/>
    <x v="2664"/>
    <n v="4239.8900000000003"/>
    <s v="Complete Access"/>
    <x v="1"/>
    <x v="1"/>
    <x v="1"/>
    <d v="1900-01-15T00:00:00"/>
    <n v="38"/>
    <x v="5"/>
    <x v="5"/>
  </r>
  <r>
    <x v="1248"/>
    <n v="-32.08"/>
    <x v="2639"/>
    <n v="4207.8100000000004"/>
    <s v="Complete Access"/>
    <x v="4"/>
    <x v="1"/>
    <x v="1"/>
    <d v="1900-01-15T00:00:00"/>
    <n v="38"/>
    <x v="5"/>
    <x v="5"/>
  </r>
  <r>
    <x v="1249"/>
    <n v="63.5"/>
    <x v="2556"/>
    <n v="4299.47"/>
    <s v="Complete Access"/>
    <x v="583"/>
    <x v="0"/>
    <x v="69"/>
    <d v="1900-01-13T00:00:00"/>
    <n v="38"/>
    <x v="5"/>
    <x v="5"/>
  </r>
  <r>
    <x v="1249"/>
    <n v="-11.15"/>
    <x v="2639"/>
    <n v="4235.97"/>
    <s v="Complete Access"/>
    <x v="4"/>
    <x v="1"/>
    <x v="1"/>
    <d v="1900-01-13T00:00:00"/>
    <n v="38"/>
    <x v="5"/>
    <x v="5"/>
  </r>
  <r>
    <x v="1250"/>
    <n v="-3.29"/>
    <x v="2643"/>
    <n v="4247.12"/>
    <s v="Complete Access"/>
    <x v="215"/>
    <x v="1"/>
    <x v="1"/>
    <d v="1900-01-11T00:00:00"/>
    <n v="37"/>
    <x v="5"/>
    <x v="5"/>
  </r>
  <r>
    <x v="1250"/>
    <n v="-100"/>
    <x v="2274"/>
    <n v="4250.41"/>
    <s v="Complete Access"/>
    <x v="552"/>
    <x v="0"/>
    <x v="74"/>
    <d v="1900-01-11T00:00:00"/>
    <n v="37"/>
    <x v="5"/>
    <x v="5"/>
  </r>
  <r>
    <x v="1251"/>
    <n v="-191.63"/>
    <x v="2665"/>
    <n v="4350.41"/>
    <s v="Complete Access"/>
    <x v="438"/>
    <x v="12"/>
    <x v="21"/>
    <d v="1900-01-09T00:00:00"/>
    <n v="37"/>
    <x v="5"/>
    <x v="5"/>
  </r>
  <r>
    <x v="1252"/>
    <n v="-32.99"/>
    <x v="2666"/>
    <n v="5021.12"/>
    <s v="Complete Access"/>
    <x v="8"/>
    <x v="1"/>
    <x v="5"/>
    <d v="1900-01-08T00:00:00"/>
    <n v="37"/>
    <x v="5"/>
    <x v="5"/>
  </r>
  <r>
    <x v="1252"/>
    <n v="-290"/>
    <x v="2543"/>
    <n v="4542.04"/>
    <s v="Complete Access"/>
    <x v="17"/>
    <x v="7"/>
    <x v="11"/>
    <d v="1900-01-08T00:00:00"/>
    <n v="37"/>
    <x v="5"/>
    <x v="5"/>
  </r>
  <r>
    <x v="1252"/>
    <n v="-84.38"/>
    <x v="2667"/>
    <n v="4936.74"/>
    <s v="Complete Access"/>
    <x v="222"/>
    <x v="11"/>
    <x v="14"/>
    <d v="1900-01-08T00:00:00"/>
    <n v="37"/>
    <x v="5"/>
    <x v="5"/>
  </r>
  <r>
    <x v="1252"/>
    <n v="-100"/>
    <x v="2668"/>
    <n v="4832.04"/>
    <s v="Complete Access"/>
    <x v="0"/>
    <x v="0"/>
    <x v="0"/>
    <d v="1900-01-08T00:00:00"/>
    <n v="37"/>
    <x v="5"/>
    <x v="5"/>
  </r>
  <r>
    <x v="1252"/>
    <n v="-4.7"/>
    <x v="2669"/>
    <n v="4932.04"/>
    <s v="Complete Access"/>
    <x v="1"/>
    <x v="1"/>
    <x v="1"/>
    <d v="1900-01-08T00:00:00"/>
    <n v="37"/>
    <x v="5"/>
    <x v="5"/>
  </r>
  <r>
    <x v="1252"/>
    <n v="-26.44"/>
    <x v="2670"/>
    <n v="5054.1099999999997"/>
    <s v="Complete Access"/>
    <x v="1"/>
    <x v="1"/>
    <x v="1"/>
    <d v="1900-01-08T00:00:00"/>
    <n v="37"/>
    <x v="5"/>
    <x v="5"/>
  </r>
  <r>
    <x v="1253"/>
    <n v="-9.99"/>
    <x v="2671"/>
    <n v="5032.55"/>
    <s v="Complete Access"/>
    <x v="373"/>
    <x v="8"/>
    <x v="7"/>
    <d v="1900-01-07T00:00:00"/>
    <n v="37"/>
    <x v="5"/>
    <x v="5"/>
  </r>
  <r>
    <x v="1253"/>
    <n v="48"/>
    <x v="2672"/>
    <n v="5080.55"/>
    <s v="Complete Access"/>
    <x v="584"/>
    <x v="0"/>
    <x v="69"/>
    <d v="1900-01-07T00:00:00"/>
    <n v="37"/>
    <x v="5"/>
    <x v="5"/>
  </r>
  <r>
    <x v="1254"/>
    <n v="-25.6"/>
    <x v="2639"/>
    <n v="5042.54"/>
    <s v="Complete Access"/>
    <x v="4"/>
    <x v="1"/>
    <x v="1"/>
    <d v="1900-01-06T00:00:00"/>
    <n v="37"/>
    <x v="5"/>
    <x v="5"/>
  </r>
  <r>
    <x v="1255"/>
    <n v="-10"/>
    <x v="2673"/>
    <n v="5068.1400000000003"/>
    <s v="Complete Access"/>
    <x v="213"/>
    <x v="1"/>
    <x v="23"/>
    <d v="1900-01-05T00:00:00"/>
    <n v="37"/>
    <x v="5"/>
    <x v="5"/>
  </r>
  <r>
    <x v="1255"/>
    <n v="-89.31"/>
    <x v="2639"/>
    <n v="5078.1400000000003"/>
    <s v="Complete Access"/>
    <x v="4"/>
    <x v="1"/>
    <x v="1"/>
    <d v="1900-01-05T00:00:00"/>
    <n v="37"/>
    <x v="5"/>
    <x v="5"/>
  </r>
  <r>
    <x v="1256"/>
    <n v="16"/>
    <x v="2674"/>
    <n v="5167.45"/>
    <s v="Complete Access"/>
    <x v="628"/>
    <x v="0"/>
    <x v="69"/>
    <d v="1900-01-04T00:00:00"/>
    <n v="36"/>
    <x v="5"/>
    <x v="5"/>
  </r>
  <r>
    <x v="1256"/>
    <n v="-100"/>
    <x v="2274"/>
    <n v="5466.59"/>
    <s v="Complete Access"/>
    <x v="552"/>
    <x v="0"/>
    <x v="74"/>
    <d v="1900-01-04T00:00:00"/>
    <n v="36"/>
    <x v="5"/>
    <x v="5"/>
  </r>
  <r>
    <x v="1256"/>
    <n v="-28"/>
    <x v="2675"/>
    <n v="5151.45"/>
    <s v="Complete Access"/>
    <x v="0"/>
    <x v="0"/>
    <x v="0"/>
    <d v="1900-01-04T00:00:00"/>
    <n v="36"/>
    <x v="5"/>
    <x v="5"/>
  </r>
  <r>
    <x v="1256"/>
    <n v="-277"/>
    <x v="2676"/>
    <n v="5179.45"/>
    <s v="Complete Access"/>
    <x v="629"/>
    <x v="1"/>
    <x v="5"/>
    <d v="1900-01-04T00:00:00"/>
    <n v="36"/>
    <x v="5"/>
    <x v="5"/>
  </r>
  <r>
    <x v="1256"/>
    <n v="-10.14"/>
    <x v="2677"/>
    <n v="5456.45"/>
    <s v="Complete Access"/>
    <x v="34"/>
    <x v="9"/>
    <x v="12"/>
    <d v="1900-01-04T00:00:00"/>
    <n v="36"/>
    <x v="5"/>
    <x v="5"/>
  </r>
  <r>
    <x v="1257"/>
    <n v="-21.95"/>
    <x v="2678"/>
    <n v="5566.59"/>
    <s v="Complete Access"/>
    <x v="617"/>
    <x v="4"/>
    <x v="73"/>
    <d v="1900-01-03T00:00:00"/>
    <n v="36"/>
    <x v="5"/>
    <x v="5"/>
  </r>
  <r>
    <x v="1258"/>
    <n v="2063.09"/>
    <x v="2679"/>
    <n v="5950.54"/>
    <s v="Complete Access"/>
    <x v="14"/>
    <x v="6"/>
    <x v="9"/>
    <d v="1900-01-02T00:00:00"/>
    <n v="36"/>
    <x v="5"/>
    <x v="5"/>
  </r>
  <r>
    <x v="1258"/>
    <n v="-500"/>
    <x v="2294"/>
    <n v="5450.54"/>
    <s v="Complete Access"/>
    <x v="571"/>
    <x v="19"/>
    <x v="61"/>
    <d v="1900-01-02T00:00:00"/>
    <n v="36"/>
    <x v="5"/>
    <x v="5"/>
  </r>
  <r>
    <x v="1258"/>
    <n v="138"/>
    <x v="2266"/>
    <n v="5588.54"/>
    <s v="Complete Access"/>
    <x v="27"/>
    <x v="1"/>
    <x v="5"/>
    <d v="1900-01-02T00:00:00"/>
    <n v="36"/>
    <x v="5"/>
    <x v="5"/>
  </r>
  <r>
    <x v="1259"/>
    <n v="-32.89"/>
    <x v="2680"/>
    <n v="3916.05"/>
    <s v="Complete Access"/>
    <x v="8"/>
    <x v="1"/>
    <x v="5"/>
    <d v="1900-01-01T00:00:00"/>
    <n v="36"/>
    <x v="5"/>
    <x v="5"/>
  </r>
  <r>
    <x v="1259"/>
    <n v="-3.21"/>
    <x v="2681"/>
    <n v="3887.45"/>
    <s v="Complete Access"/>
    <x v="8"/>
    <x v="1"/>
    <x v="5"/>
    <d v="1900-01-01T00:00:00"/>
    <n v="36"/>
    <x v="5"/>
    <x v="5"/>
  </r>
  <r>
    <x v="1259"/>
    <n v="-25.39"/>
    <x v="2681"/>
    <n v="3890.66"/>
    <s v="Complete Access"/>
    <x v="8"/>
    <x v="1"/>
    <x v="5"/>
    <d v="1900-01-01T00:00:00"/>
    <n v="36"/>
    <x v="5"/>
    <x v="5"/>
  </r>
  <r>
    <x v="1260"/>
    <n v="-20"/>
    <x v="2229"/>
    <n v="4171.24"/>
    <s v="Complete Access"/>
    <x v="557"/>
    <x v="7"/>
    <x v="53"/>
    <d v="1899-12-31T00:00:00"/>
    <n v="36"/>
    <x v="5"/>
    <x v="5"/>
  </r>
  <r>
    <x v="1260"/>
    <n v="-172.3"/>
    <x v="2682"/>
    <n v="3948.94"/>
    <s v="Complete Access"/>
    <x v="76"/>
    <x v="2"/>
    <x v="2"/>
    <d v="1899-12-31T00:00:00"/>
    <n v="36"/>
    <x v="5"/>
    <x v="5"/>
  </r>
  <r>
    <x v="1260"/>
    <n v="-50"/>
    <x v="2668"/>
    <n v="4121.24"/>
    <s v="Complete Access"/>
    <x v="0"/>
    <x v="0"/>
    <x v="0"/>
    <d v="1899-12-31T00:00:00"/>
    <n v="36"/>
    <x v="5"/>
    <x v="5"/>
  </r>
  <r>
    <x v="1261"/>
    <n v="-100"/>
    <x v="2274"/>
    <n v="4191.24"/>
    <s v="Complete Access"/>
    <x v="552"/>
    <x v="0"/>
    <x v="74"/>
    <d v="1900-01-28T00:00:00"/>
    <n v="35"/>
    <x v="6"/>
    <x v="5"/>
  </r>
  <r>
    <x v="1262"/>
    <n v="-31"/>
    <x v="2683"/>
    <n v="4291.24"/>
    <s v="Complete Access"/>
    <x v="1"/>
    <x v="1"/>
    <x v="1"/>
    <d v="1900-01-26T00:00:00"/>
    <n v="35"/>
    <x v="6"/>
    <x v="5"/>
  </r>
  <r>
    <x v="1263"/>
    <n v="-66.19"/>
    <x v="2684"/>
    <n v="4267.05"/>
    <s v="Complete Access"/>
    <x v="8"/>
    <x v="1"/>
    <x v="5"/>
    <d v="1900-01-25T00:00:00"/>
    <n v="35"/>
    <x v="6"/>
    <x v="5"/>
  </r>
  <r>
    <x v="1263"/>
    <n v="70"/>
    <x v="2685"/>
    <n v="4322.24"/>
    <s v="Complete Access"/>
    <x v="584"/>
    <x v="0"/>
    <x v="69"/>
    <d v="1900-01-25T00:00:00"/>
    <n v="35"/>
    <x v="6"/>
    <x v="5"/>
  </r>
  <r>
    <x v="1263"/>
    <n v="-14.81"/>
    <x v="2686"/>
    <n v="4252.24"/>
    <s v="Complete Access"/>
    <x v="34"/>
    <x v="9"/>
    <x v="12"/>
    <d v="1900-01-25T00:00:00"/>
    <n v="35"/>
    <x v="6"/>
    <x v="5"/>
  </r>
  <r>
    <x v="1264"/>
    <n v="-22.5"/>
    <x v="2687"/>
    <n v="4445.57"/>
    <s v="Complete Access"/>
    <x v="243"/>
    <x v="1"/>
    <x v="23"/>
    <d v="1900-01-24T00:00:00"/>
    <n v="35"/>
    <x v="6"/>
    <x v="5"/>
  </r>
  <r>
    <x v="1264"/>
    <n v="-112.33"/>
    <x v="2639"/>
    <n v="4333.24"/>
    <s v="Complete Access"/>
    <x v="4"/>
    <x v="1"/>
    <x v="1"/>
    <d v="1900-01-24T00:00:00"/>
    <n v="35"/>
    <x v="6"/>
    <x v="5"/>
  </r>
  <r>
    <x v="1265"/>
    <n v="-38.51"/>
    <x v="2688"/>
    <n v="4468.07"/>
    <s v="Complete Access"/>
    <x v="177"/>
    <x v="1"/>
    <x v="1"/>
    <d v="1900-01-22T00:00:00"/>
    <n v="35"/>
    <x v="6"/>
    <x v="5"/>
  </r>
  <r>
    <x v="1266"/>
    <n v="-100"/>
    <x v="2274"/>
    <n v="4506.58"/>
    <s v="Complete Access"/>
    <x v="552"/>
    <x v="0"/>
    <x v="74"/>
    <d v="1900-01-21T00:00:00"/>
    <n v="34"/>
    <x v="6"/>
    <x v="5"/>
  </r>
  <r>
    <x v="1267"/>
    <n v="2053.4899999999998"/>
    <x v="388"/>
    <n v="5106.58"/>
    <s v="Complete Access"/>
    <x v="14"/>
    <x v="6"/>
    <x v="9"/>
    <d v="1900-01-19T00:00:00"/>
    <n v="34"/>
    <x v="6"/>
    <x v="5"/>
  </r>
  <r>
    <x v="1267"/>
    <n v="-500"/>
    <x v="2294"/>
    <n v="4606.58"/>
    <s v="Complete Access"/>
    <x v="571"/>
    <x v="19"/>
    <x v="61"/>
    <d v="1900-01-19T00:00:00"/>
    <n v="34"/>
    <x v="6"/>
    <x v="5"/>
  </r>
  <r>
    <x v="1268"/>
    <n v="-35.79"/>
    <x v="2689"/>
    <n v="3089.76"/>
    <s v="Complete Access"/>
    <x v="8"/>
    <x v="1"/>
    <x v="5"/>
    <d v="1900-01-18T00:00:00"/>
    <n v="34"/>
    <x v="6"/>
    <x v="5"/>
  </r>
  <r>
    <x v="1268"/>
    <n v="-27.4"/>
    <x v="2690"/>
    <n v="3165.55"/>
    <s v="Complete Access"/>
    <x v="343"/>
    <x v="1"/>
    <x v="5"/>
    <d v="1900-01-18T00:00:00"/>
    <n v="34"/>
    <x v="6"/>
    <x v="5"/>
  </r>
  <r>
    <x v="1268"/>
    <n v="-40"/>
    <x v="2691"/>
    <n v="3125.55"/>
    <s v="Complete Access"/>
    <x v="343"/>
    <x v="1"/>
    <x v="5"/>
    <d v="1900-01-18T00:00:00"/>
    <n v="34"/>
    <x v="6"/>
    <x v="5"/>
  </r>
  <r>
    <x v="1268"/>
    <n v="-9.65"/>
    <x v="2692"/>
    <n v="3080.11"/>
    <s v="Complete Access"/>
    <x v="630"/>
    <x v="1"/>
    <x v="5"/>
    <d v="1900-01-18T00:00:00"/>
    <n v="34"/>
    <x v="6"/>
    <x v="5"/>
  </r>
  <r>
    <x v="1268"/>
    <n v="-27.02"/>
    <x v="2693"/>
    <n v="3053.09"/>
    <s v="Complete Access"/>
    <x v="1"/>
    <x v="1"/>
    <x v="1"/>
    <d v="1900-01-18T00:00:00"/>
    <n v="34"/>
    <x v="6"/>
    <x v="5"/>
  </r>
  <r>
    <x v="1269"/>
    <n v="-27"/>
    <x v="2694"/>
    <n v="3221.8"/>
    <s v="Complete Access"/>
    <x v="343"/>
    <x v="1"/>
    <x v="5"/>
    <d v="1900-01-17T00:00:00"/>
    <n v="34"/>
    <x v="6"/>
    <x v="5"/>
  </r>
  <r>
    <x v="1269"/>
    <n v="-19.2"/>
    <x v="2695"/>
    <n v="3192.95"/>
    <s v="Complete Access"/>
    <x v="630"/>
    <x v="1"/>
    <x v="5"/>
    <d v="1900-01-17T00:00:00"/>
    <n v="34"/>
    <x v="6"/>
    <x v="5"/>
  </r>
  <r>
    <x v="1269"/>
    <n v="-9.65"/>
    <x v="2695"/>
    <n v="3212.15"/>
    <s v="Complete Access"/>
    <x v="630"/>
    <x v="1"/>
    <x v="5"/>
    <d v="1900-01-17T00:00:00"/>
    <n v="34"/>
    <x v="6"/>
    <x v="5"/>
  </r>
  <r>
    <x v="1270"/>
    <n v="-58"/>
    <x v="2639"/>
    <n v="3248.8"/>
    <s v="Complete Access"/>
    <x v="4"/>
    <x v="1"/>
    <x v="1"/>
    <d v="1900-01-16T00:00:00"/>
    <n v="34"/>
    <x v="6"/>
    <x v="5"/>
  </r>
  <r>
    <x v="1271"/>
    <n v="-4.07"/>
    <x v="2696"/>
    <n v="3473.11"/>
    <s v="Complete Access"/>
    <x v="631"/>
    <x v="8"/>
    <x v="29"/>
    <d v="1900-01-14T00:00:00"/>
    <n v="33"/>
    <x v="6"/>
    <x v="5"/>
  </r>
  <r>
    <x v="1271"/>
    <n v="-15"/>
    <x v="2697"/>
    <n v="3477.18"/>
    <s v="Complete Access"/>
    <x v="632"/>
    <x v="1"/>
    <x v="5"/>
    <d v="1900-01-14T00:00:00"/>
    <n v="33"/>
    <x v="6"/>
    <x v="5"/>
  </r>
  <r>
    <x v="1271"/>
    <n v="-24.14"/>
    <x v="2698"/>
    <n v="3420.3"/>
    <s v="Complete Access"/>
    <x v="633"/>
    <x v="8"/>
    <x v="29"/>
    <d v="1900-01-14T00:00:00"/>
    <n v="33"/>
    <x v="6"/>
    <x v="5"/>
  </r>
  <r>
    <x v="1271"/>
    <n v="-28.67"/>
    <x v="2698"/>
    <n v="3444.44"/>
    <s v="Complete Access"/>
    <x v="633"/>
    <x v="8"/>
    <x v="29"/>
    <d v="1900-01-14T00:00:00"/>
    <n v="33"/>
    <x v="6"/>
    <x v="5"/>
  </r>
  <r>
    <x v="1271"/>
    <n v="20"/>
    <x v="2699"/>
    <n v="3306.8"/>
    <s v="Complete Access"/>
    <x v="634"/>
    <x v="1"/>
    <x v="5"/>
    <d v="1900-01-14T00:00:00"/>
    <n v="33"/>
    <x v="6"/>
    <x v="5"/>
  </r>
  <r>
    <x v="1271"/>
    <n v="-100"/>
    <x v="2274"/>
    <n v="3320.3"/>
    <s v="Complete Access"/>
    <x v="552"/>
    <x v="0"/>
    <x v="74"/>
    <d v="1900-01-14T00:00:00"/>
    <n v="33"/>
    <x v="6"/>
    <x v="5"/>
  </r>
  <r>
    <x v="1271"/>
    <n v="-33.5"/>
    <x v="2700"/>
    <n v="3286.8"/>
    <s v="Complete Access"/>
    <x v="243"/>
    <x v="1"/>
    <x v="23"/>
    <d v="1900-01-14T00:00:00"/>
    <n v="33"/>
    <x v="6"/>
    <x v="5"/>
  </r>
  <r>
    <x v="1272"/>
    <n v="-7.8"/>
    <x v="2701"/>
    <n v="3376"/>
    <s v="Complete Access"/>
    <x v="47"/>
    <x v="1"/>
    <x v="5"/>
    <d v="1900-01-13T00:00:00"/>
    <n v="33"/>
    <x v="6"/>
    <x v="5"/>
  </r>
  <r>
    <x v="1272"/>
    <n v="112.56"/>
    <x v="2282"/>
    <n v="3488.56"/>
    <s v="Complete Access"/>
    <x v="567"/>
    <x v="0"/>
    <x v="69"/>
    <d v="1900-01-13T00:00:00"/>
    <n v="33"/>
    <x v="6"/>
    <x v="5"/>
  </r>
  <r>
    <x v="1272"/>
    <n v="3.62"/>
    <x v="2702"/>
    <n v="3492.18"/>
    <s v="Complete Access"/>
    <x v="6"/>
    <x v="4"/>
    <x v="4"/>
    <d v="1900-01-13T00:00:00"/>
    <n v="33"/>
    <x v="6"/>
    <x v="5"/>
  </r>
  <r>
    <x v="1272"/>
    <n v="-23.99"/>
    <x v="2703"/>
    <n v="3387.4"/>
    <s v="Complete Access"/>
    <x v="635"/>
    <x v="1"/>
    <x v="23"/>
    <d v="1900-01-13T00:00:00"/>
    <n v="33"/>
    <x v="6"/>
    <x v="5"/>
  </r>
  <r>
    <x v="1272"/>
    <n v="-3.6"/>
    <x v="2704"/>
    <n v="3383.8"/>
    <s v="Complete Access"/>
    <x v="91"/>
    <x v="9"/>
    <x v="12"/>
    <d v="1900-01-13T00:00:00"/>
    <n v="33"/>
    <x v="6"/>
    <x v="5"/>
  </r>
  <r>
    <x v="1273"/>
    <n v="-19"/>
    <x v="2705"/>
    <n v="3417.39"/>
    <s v="Complete Access"/>
    <x v="636"/>
    <x v="8"/>
    <x v="29"/>
    <d v="1900-01-12T00:00:00"/>
    <n v="33"/>
    <x v="6"/>
    <x v="5"/>
  </r>
  <r>
    <x v="1273"/>
    <n v="-6"/>
    <x v="2706"/>
    <n v="3411.39"/>
    <s v="Complete Access"/>
    <x v="637"/>
    <x v="1"/>
    <x v="5"/>
    <d v="1900-01-12T00:00:00"/>
    <n v="33"/>
    <x v="6"/>
    <x v="5"/>
  </r>
  <r>
    <x v="1274"/>
    <n v="-17.5"/>
    <x v="2707"/>
    <n v="3709.11"/>
    <s v="Complete Access"/>
    <x v="593"/>
    <x v="1"/>
    <x v="5"/>
    <d v="1900-01-11T00:00:00"/>
    <n v="33"/>
    <x v="6"/>
    <x v="5"/>
  </r>
  <r>
    <x v="1274"/>
    <n v="-11.45"/>
    <x v="2708"/>
    <n v="3506.39"/>
    <s v="Complete Access"/>
    <x v="638"/>
    <x v="1"/>
    <x v="5"/>
    <d v="1900-01-11T00:00:00"/>
    <n v="33"/>
    <x v="6"/>
    <x v="5"/>
  </r>
  <r>
    <x v="1274"/>
    <n v="-70"/>
    <x v="2675"/>
    <n v="3436.39"/>
    <s v="Complete Access"/>
    <x v="0"/>
    <x v="0"/>
    <x v="0"/>
    <d v="1900-01-11T00:00:00"/>
    <n v="33"/>
    <x v="6"/>
    <x v="5"/>
  </r>
  <r>
    <x v="1274"/>
    <n v="-191.27"/>
    <x v="2709"/>
    <n v="3517.84"/>
    <s v="Complete Access"/>
    <x v="639"/>
    <x v="4"/>
    <x v="20"/>
    <d v="1900-01-11T00:00:00"/>
    <n v="33"/>
    <x v="6"/>
    <x v="5"/>
  </r>
  <r>
    <x v="1275"/>
    <n v="-47.75"/>
    <x v="2710"/>
    <n v="3726.61"/>
    <s v="Complete Access"/>
    <x v="61"/>
    <x v="1"/>
    <x v="1"/>
    <d v="1900-01-10T00:00:00"/>
    <n v="33"/>
    <x v="6"/>
    <x v="5"/>
  </r>
  <r>
    <x v="1275"/>
    <n v="-25.2"/>
    <x v="2711"/>
    <n v="3783.86"/>
    <s v="Complete Access"/>
    <x v="104"/>
    <x v="1"/>
    <x v="5"/>
    <d v="1900-01-10T00:00:00"/>
    <n v="33"/>
    <x v="6"/>
    <x v="5"/>
  </r>
  <r>
    <x v="1275"/>
    <n v="-9.5"/>
    <x v="2675"/>
    <n v="3774.36"/>
    <s v="Complete Access"/>
    <x v="0"/>
    <x v="0"/>
    <x v="0"/>
    <d v="1900-01-10T00:00:00"/>
    <n v="33"/>
    <x v="6"/>
    <x v="5"/>
  </r>
  <r>
    <x v="1275"/>
    <n v="-12.96"/>
    <x v="2712"/>
    <n v="3809.06"/>
    <s v="Complete Access"/>
    <x v="1"/>
    <x v="1"/>
    <x v="1"/>
    <d v="1900-01-10T00:00:00"/>
    <n v="33"/>
    <x v="6"/>
    <x v="5"/>
  </r>
  <r>
    <x v="1276"/>
    <n v="-8.5"/>
    <x v="2713"/>
    <n v="3910.07"/>
    <s v="Complete Access"/>
    <x v="640"/>
    <x v="8"/>
    <x v="22"/>
    <d v="1900-01-09T00:00:00"/>
    <n v="33"/>
    <x v="6"/>
    <x v="5"/>
  </r>
  <r>
    <x v="1276"/>
    <n v="-16.8"/>
    <x v="2713"/>
    <n v="3918.57"/>
    <s v="Complete Access"/>
    <x v="640"/>
    <x v="8"/>
    <x v="22"/>
    <d v="1900-01-09T00:00:00"/>
    <n v="33"/>
    <x v="6"/>
    <x v="5"/>
  </r>
  <r>
    <x v="1276"/>
    <n v="-28.55"/>
    <x v="2714"/>
    <n v="3881.52"/>
    <s v="Complete Access"/>
    <x v="641"/>
    <x v="1"/>
    <x v="5"/>
    <d v="1900-01-09T00:00:00"/>
    <n v="33"/>
    <x v="6"/>
    <x v="5"/>
  </r>
  <r>
    <x v="1276"/>
    <n v="-59.5"/>
    <x v="2543"/>
    <n v="3822.02"/>
    <s v="Complete Access"/>
    <x v="17"/>
    <x v="7"/>
    <x v="11"/>
    <d v="1900-01-09T00:00:00"/>
    <n v="33"/>
    <x v="6"/>
    <x v="5"/>
  </r>
  <r>
    <x v="1277"/>
    <n v="-24.2"/>
    <x v="2715"/>
    <n v="3935.37"/>
    <s v="Complete Access"/>
    <x v="642"/>
    <x v="8"/>
    <x v="29"/>
    <d v="1900-01-08T00:00:00"/>
    <n v="33"/>
    <x v="6"/>
    <x v="5"/>
  </r>
  <r>
    <x v="1277"/>
    <n v="-6.3"/>
    <x v="2715"/>
    <n v="3959.57"/>
    <s v="Complete Access"/>
    <x v="642"/>
    <x v="8"/>
    <x v="29"/>
    <d v="1900-01-08T00:00:00"/>
    <n v="33"/>
    <x v="6"/>
    <x v="5"/>
  </r>
  <r>
    <x v="1277"/>
    <n v="-3"/>
    <x v="2716"/>
    <n v="3965.87"/>
    <s v="Complete Access"/>
    <x v="47"/>
    <x v="1"/>
    <x v="5"/>
    <d v="1900-01-08T00:00:00"/>
    <n v="33"/>
    <x v="6"/>
    <x v="5"/>
  </r>
  <r>
    <x v="1278"/>
    <n v="-100"/>
    <x v="2274"/>
    <n v="3991.8"/>
    <s v="Complete Access"/>
    <x v="552"/>
    <x v="0"/>
    <x v="74"/>
    <d v="1900-01-07T00:00:00"/>
    <n v="32"/>
    <x v="6"/>
    <x v="5"/>
  </r>
  <r>
    <x v="1278"/>
    <n v="-22.93"/>
    <x v="2639"/>
    <n v="3968.87"/>
    <s v="Complete Access"/>
    <x v="4"/>
    <x v="1"/>
    <x v="1"/>
    <d v="1900-01-07T00:00:00"/>
    <n v="32"/>
    <x v="6"/>
    <x v="5"/>
  </r>
  <r>
    <x v="1279"/>
    <n v="-185"/>
    <x v="2717"/>
    <n v="4091.8"/>
    <s v="Complete Access"/>
    <x v="643"/>
    <x v="4"/>
    <x v="20"/>
    <d v="1900-01-06T00:00:00"/>
    <n v="32"/>
    <x v="6"/>
    <x v="5"/>
  </r>
  <r>
    <x v="1279"/>
    <n v="-14.95"/>
    <x v="2718"/>
    <n v="4276.8"/>
    <s v="Complete Access"/>
    <x v="47"/>
    <x v="1"/>
    <x v="5"/>
    <d v="1900-01-06T00:00:00"/>
    <n v="32"/>
    <x v="6"/>
    <x v="5"/>
  </r>
  <r>
    <x v="1279"/>
    <n v="-70"/>
    <x v="2719"/>
    <n v="4291.75"/>
    <s v="Complete Access"/>
    <x v="30"/>
    <x v="4"/>
    <x v="20"/>
    <d v="1900-01-06T00:00:00"/>
    <n v="32"/>
    <x v="6"/>
    <x v="5"/>
  </r>
  <r>
    <x v="1280"/>
    <n v="-337.7"/>
    <x v="2720"/>
    <n v="4871.74"/>
    <s v="Complete Access"/>
    <x v="438"/>
    <x v="12"/>
    <x v="21"/>
    <d v="1900-01-05T00:00:00"/>
    <n v="32"/>
    <x v="6"/>
    <x v="5"/>
  </r>
  <r>
    <x v="1280"/>
    <n v="2053.4899999999998"/>
    <x v="2721"/>
    <n v="5209.4399999999996"/>
    <s v="Complete Access"/>
    <x v="14"/>
    <x v="6"/>
    <x v="9"/>
    <d v="1900-01-05T00:00:00"/>
    <n v="32"/>
    <x v="6"/>
    <x v="5"/>
  </r>
  <r>
    <x v="1280"/>
    <n v="-500"/>
    <x v="2294"/>
    <n v="4361.75"/>
    <s v="Complete Access"/>
    <x v="571"/>
    <x v="19"/>
    <x v="61"/>
    <d v="1900-01-05T00:00:00"/>
    <n v="32"/>
    <x v="6"/>
    <x v="5"/>
  </r>
  <r>
    <x v="1280"/>
    <n v="-9.99"/>
    <x v="2722"/>
    <n v="4861.75"/>
    <s v="Complete Access"/>
    <x v="373"/>
    <x v="8"/>
    <x v="7"/>
    <d v="1900-01-05T00:00:00"/>
    <n v="32"/>
    <x v="6"/>
    <x v="5"/>
  </r>
  <r>
    <x v="1281"/>
    <n v="-28.53"/>
    <x v="2723"/>
    <n v="3324.95"/>
    <s v="Complete Access"/>
    <x v="8"/>
    <x v="1"/>
    <x v="5"/>
    <d v="1900-01-04T00:00:00"/>
    <n v="32"/>
    <x v="6"/>
    <x v="5"/>
  </r>
  <r>
    <x v="1281"/>
    <n v="-169"/>
    <x v="2724"/>
    <n v="3155.95"/>
    <s v="Complete Access"/>
    <x v="50"/>
    <x v="4"/>
    <x v="25"/>
    <d v="1900-01-04T00:00:00"/>
    <n v="32"/>
    <x v="6"/>
    <x v="5"/>
  </r>
  <r>
    <x v="1282"/>
    <n v="-23.55"/>
    <x v="2643"/>
    <n v="3525.78"/>
    <s v="Complete Access"/>
    <x v="215"/>
    <x v="1"/>
    <x v="1"/>
    <d v="1900-01-02T00:00:00"/>
    <n v="32"/>
    <x v="6"/>
    <x v="5"/>
  </r>
  <r>
    <x v="1282"/>
    <n v="-172.3"/>
    <x v="2725"/>
    <n v="3353.48"/>
    <s v="Complete Access"/>
    <x v="76"/>
    <x v="2"/>
    <x v="2"/>
    <d v="1900-01-02T00:00:00"/>
    <n v="32"/>
    <x v="6"/>
    <x v="5"/>
  </r>
  <r>
    <x v="1283"/>
    <n v="-20"/>
    <x v="2726"/>
    <n v="3659.33"/>
    <s v="Complete Access"/>
    <x v="27"/>
    <x v="1"/>
    <x v="5"/>
    <d v="1899-12-31T00:00:00"/>
    <n v="31"/>
    <x v="6"/>
    <x v="5"/>
  </r>
  <r>
    <x v="1283"/>
    <n v="-20"/>
    <x v="2229"/>
    <n v="3698.33"/>
    <s v="Complete Access"/>
    <x v="557"/>
    <x v="7"/>
    <x v="53"/>
    <d v="1899-12-31T00:00:00"/>
    <n v="31"/>
    <x v="6"/>
    <x v="5"/>
  </r>
  <r>
    <x v="1283"/>
    <n v="-100"/>
    <x v="2274"/>
    <n v="3718.33"/>
    <s v="Complete Access"/>
    <x v="552"/>
    <x v="0"/>
    <x v="74"/>
    <d v="1899-12-31T00:00:00"/>
    <n v="31"/>
    <x v="6"/>
    <x v="5"/>
  </r>
  <r>
    <x v="1283"/>
    <n v="-110"/>
    <x v="2668"/>
    <n v="3549.33"/>
    <s v="Complete Access"/>
    <x v="0"/>
    <x v="0"/>
    <x v="0"/>
    <d v="1899-12-31T00:00:00"/>
    <n v="31"/>
    <x v="6"/>
    <x v="5"/>
  </r>
  <r>
    <x v="1283"/>
    <n v="-19"/>
    <x v="2700"/>
    <n v="3679.33"/>
    <s v="Complete Access"/>
    <x v="243"/>
    <x v="1"/>
    <x v="23"/>
    <d v="1899-12-31T00:00:00"/>
    <n v="31"/>
    <x v="6"/>
    <x v="5"/>
  </r>
  <r>
    <x v="1284"/>
    <n v="-70"/>
    <x v="2727"/>
    <n v="3840.13"/>
    <s v="Complete Access"/>
    <x v="215"/>
    <x v="1"/>
    <x v="1"/>
    <d v="1900-01-30T00:00:00"/>
    <n v="31"/>
    <x v="7"/>
    <x v="5"/>
  </r>
  <r>
    <x v="1284"/>
    <n v="-2.8"/>
    <x v="72"/>
    <n v="3837.33"/>
    <s v="Complete Access"/>
    <x v="37"/>
    <x v="0"/>
    <x v="0"/>
    <d v="1900-01-30T00:00:00"/>
    <n v="31"/>
    <x v="7"/>
    <x v="5"/>
  </r>
  <r>
    <x v="1284"/>
    <n v="-19"/>
    <x v="2700"/>
    <n v="3818.33"/>
    <s v="Complete Access"/>
    <x v="243"/>
    <x v="1"/>
    <x v="23"/>
    <d v="1900-01-30T00:00:00"/>
    <n v="31"/>
    <x v="7"/>
    <x v="5"/>
  </r>
  <r>
    <x v="1285"/>
    <n v="-45.89"/>
    <x v="2728"/>
    <n v="3930.88"/>
    <s v="Complete Access"/>
    <x v="237"/>
    <x v="15"/>
    <x v="34"/>
    <d v="1900-01-29T00:00:00"/>
    <n v="31"/>
    <x v="7"/>
    <x v="5"/>
  </r>
  <r>
    <x v="1285"/>
    <n v="-40.11"/>
    <x v="2729"/>
    <n v="3976.77"/>
    <s v="Complete Access"/>
    <x v="237"/>
    <x v="15"/>
    <x v="34"/>
    <d v="1900-01-29T00:00:00"/>
    <n v="31"/>
    <x v="7"/>
    <x v="5"/>
  </r>
  <r>
    <x v="1285"/>
    <n v="-20.75"/>
    <x v="2730"/>
    <n v="3910.13"/>
    <s v="Complete Access"/>
    <x v="1"/>
    <x v="1"/>
    <x v="1"/>
    <d v="1900-01-29T00:00:00"/>
    <n v="31"/>
    <x v="7"/>
    <x v="5"/>
  </r>
  <r>
    <x v="1285"/>
    <n v="-21.5"/>
    <x v="2731"/>
    <n v="4016.88"/>
    <s v="Complete Access"/>
    <x v="644"/>
    <x v="1"/>
    <x v="23"/>
    <d v="1900-01-29T00:00:00"/>
    <n v="31"/>
    <x v="7"/>
    <x v="5"/>
  </r>
  <r>
    <x v="1286"/>
    <n v="-7.5"/>
    <x v="2675"/>
    <n v="4038.38"/>
    <s v="Complete Access"/>
    <x v="0"/>
    <x v="0"/>
    <x v="0"/>
    <d v="1900-01-28T00:00:00"/>
    <n v="31"/>
    <x v="7"/>
    <x v="5"/>
  </r>
  <r>
    <x v="1287"/>
    <n v="-30"/>
    <x v="2732"/>
    <n v="4369.26"/>
    <s v="Complete Access"/>
    <x v="0"/>
    <x v="0"/>
    <x v="0"/>
    <d v="1900-01-27T00:00:00"/>
    <n v="31"/>
    <x v="7"/>
    <x v="5"/>
  </r>
  <r>
    <x v="1287"/>
    <n v="-250"/>
    <x v="2628"/>
    <n v="4119.26"/>
    <s v="Complete Access"/>
    <x v="0"/>
    <x v="0"/>
    <x v="0"/>
    <d v="1900-01-27T00:00:00"/>
    <n v="31"/>
    <x v="7"/>
    <x v="5"/>
  </r>
  <r>
    <x v="1287"/>
    <n v="-73.38"/>
    <x v="2639"/>
    <n v="4045.88"/>
    <s v="Complete Access"/>
    <x v="4"/>
    <x v="1"/>
    <x v="1"/>
    <d v="1900-01-27T00:00:00"/>
    <n v="31"/>
    <x v="7"/>
    <x v="5"/>
  </r>
  <r>
    <x v="1288"/>
    <n v="-100"/>
    <x v="2274"/>
    <n v="4429.26"/>
    <s v="Complete Access"/>
    <x v="552"/>
    <x v="0"/>
    <x v="74"/>
    <d v="1900-01-24T00:00:00"/>
    <n v="30"/>
    <x v="7"/>
    <x v="5"/>
  </r>
  <r>
    <x v="1288"/>
    <n v="-30"/>
    <x v="2733"/>
    <n v="4399.26"/>
    <s v="Complete Access"/>
    <x v="504"/>
    <x v="0"/>
    <x v="72"/>
    <d v="1900-01-24T00:00:00"/>
    <n v="30"/>
    <x v="7"/>
    <x v="5"/>
  </r>
  <r>
    <x v="1289"/>
    <n v="2053.4899999999998"/>
    <x v="2734"/>
    <n v="5029.26"/>
    <s v="Complete Access"/>
    <x v="14"/>
    <x v="6"/>
    <x v="9"/>
    <d v="1900-01-22T00:00:00"/>
    <n v="30"/>
    <x v="7"/>
    <x v="5"/>
  </r>
  <r>
    <x v="1289"/>
    <n v="-500"/>
    <x v="2294"/>
    <n v="4529.26"/>
    <s v="Complete Access"/>
    <x v="571"/>
    <x v="19"/>
    <x v="61"/>
    <d v="1900-01-22T00:00:00"/>
    <n v="30"/>
    <x v="7"/>
    <x v="5"/>
  </r>
  <r>
    <x v="1290"/>
    <n v="-26.9"/>
    <x v="2735"/>
    <n v="3160.41"/>
    <s v="Complete Access"/>
    <x v="343"/>
    <x v="1"/>
    <x v="5"/>
    <d v="1900-01-21T00:00:00"/>
    <n v="30"/>
    <x v="7"/>
    <x v="5"/>
  </r>
  <r>
    <x v="1290"/>
    <n v="-143"/>
    <x v="2736"/>
    <n v="2975.77"/>
    <s v="Complete Access"/>
    <x v="0"/>
    <x v="0"/>
    <x v="0"/>
    <d v="1900-01-21T00:00:00"/>
    <n v="30"/>
    <x v="7"/>
    <x v="5"/>
  </r>
  <r>
    <x v="1290"/>
    <n v="-23.99"/>
    <x v="2737"/>
    <n v="3187.31"/>
    <s v="Complete Access"/>
    <x v="104"/>
    <x v="1"/>
    <x v="5"/>
    <d v="1900-01-21T00:00:00"/>
    <n v="30"/>
    <x v="7"/>
    <x v="5"/>
  </r>
  <r>
    <x v="1290"/>
    <n v="-41.64"/>
    <x v="2738"/>
    <n v="3118.77"/>
    <s v="Complete Access"/>
    <x v="1"/>
    <x v="1"/>
    <x v="1"/>
    <d v="1900-01-21T00:00:00"/>
    <n v="30"/>
    <x v="7"/>
    <x v="5"/>
  </r>
  <r>
    <x v="1291"/>
    <n v="20"/>
    <x v="2739"/>
    <n v="3211.3"/>
    <s v="Complete Access"/>
    <x v="645"/>
    <x v="0"/>
    <x v="69"/>
    <d v="1900-01-20T00:00:00"/>
    <n v="30"/>
    <x v="7"/>
    <x v="5"/>
  </r>
  <r>
    <x v="1291"/>
    <n v="-4.9000000000000004"/>
    <x v="2740"/>
    <n v="3191.3"/>
    <s v="Complete Access"/>
    <x v="646"/>
    <x v="1"/>
    <x v="1"/>
    <d v="1900-01-20T00:00:00"/>
    <n v="30"/>
    <x v="7"/>
    <x v="5"/>
  </r>
  <r>
    <x v="1292"/>
    <n v="-52.7"/>
    <x v="2639"/>
    <n v="3196.2"/>
    <s v="Complete Access"/>
    <x v="4"/>
    <x v="1"/>
    <x v="1"/>
    <d v="1900-01-19T00:00:00"/>
    <n v="30"/>
    <x v="7"/>
    <x v="5"/>
  </r>
  <r>
    <x v="1293"/>
    <n v="-20"/>
    <x v="2741"/>
    <n v="3248.9"/>
    <s v="Complete Access"/>
    <x v="645"/>
    <x v="0"/>
    <x v="69"/>
    <d v="1900-01-17T00:00:00"/>
    <n v="29"/>
    <x v="7"/>
    <x v="5"/>
  </r>
  <r>
    <x v="1293"/>
    <n v="-100"/>
    <x v="2274"/>
    <n v="3268.9"/>
    <s v="Complete Access"/>
    <x v="552"/>
    <x v="0"/>
    <x v="74"/>
    <d v="1900-01-17T00:00:00"/>
    <n v="29"/>
    <x v="7"/>
    <x v="5"/>
  </r>
  <r>
    <x v="1294"/>
    <n v="-13.4"/>
    <x v="2742"/>
    <n v="3368.9"/>
    <s v="Complete Access"/>
    <x v="267"/>
    <x v="1"/>
    <x v="1"/>
    <d v="1900-01-15T00:00:00"/>
    <n v="29"/>
    <x v="7"/>
    <x v="5"/>
  </r>
  <r>
    <x v="1294"/>
    <n v="-39.9"/>
    <x v="2743"/>
    <n v="3382.3"/>
    <s v="Complete Access"/>
    <x v="237"/>
    <x v="15"/>
    <x v="34"/>
    <d v="1900-01-15T00:00:00"/>
    <n v="29"/>
    <x v="7"/>
    <x v="5"/>
  </r>
  <r>
    <x v="1294"/>
    <n v="-15.75"/>
    <x v="2743"/>
    <n v="3422.2"/>
    <s v="Complete Access"/>
    <x v="237"/>
    <x v="15"/>
    <x v="34"/>
    <d v="1900-01-15T00:00:00"/>
    <n v="29"/>
    <x v="7"/>
    <x v="5"/>
  </r>
  <r>
    <x v="1295"/>
    <n v="-24"/>
    <x v="2744"/>
    <n v="3437.95"/>
    <s v="Complete Access"/>
    <x v="27"/>
    <x v="1"/>
    <x v="5"/>
    <d v="1900-01-14T00:00:00"/>
    <n v="29"/>
    <x v="7"/>
    <x v="5"/>
  </r>
  <r>
    <x v="1296"/>
    <n v="-211.12"/>
    <x v="2745"/>
    <n v="3461.95"/>
    <s v="Complete Access"/>
    <x v="647"/>
    <x v="1"/>
    <x v="5"/>
    <d v="1900-01-13T00:00:00"/>
    <n v="29"/>
    <x v="7"/>
    <x v="5"/>
  </r>
  <r>
    <x v="1296"/>
    <n v="-17.989999999999998"/>
    <x v="2746"/>
    <n v="3673.07"/>
    <s v="Complete Access"/>
    <x v="104"/>
    <x v="1"/>
    <x v="5"/>
    <d v="1900-01-13T00:00:00"/>
    <n v="29"/>
    <x v="7"/>
    <x v="5"/>
  </r>
  <r>
    <x v="1297"/>
    <n v="60"/>
    <x v="2747"/>
    <n v="3691.06"/>
    <s v="Complete Access"/>
    <x v="648"/>
    <x v="1"/>
    <x v="5"/>
    <d v="1900-01-12T00:00:00"/>
    <n v="29"/>
    <x v="7"/>
    <x v="5"/>
  </r>
  <r>
    <x v="1298"/>
    <n v="54"/>
    <x v="2748"/>
    <n v="3631.06"/>
    <s v="Complete Access"/>
    <x v="634"/>
    <x v="1"/>
    <x v="5"/>
    <d v="1900-01-10T00:00:00"/>
    <n v="28"/>
    <x v="7"/>
    <x v="5"/>
  </r>
  <r>
    <x v="1298"/>
    <n v="-100"/>
    <x v="2274"/>
    <n v="3577.06"/>
    <s v="Complete Access"/>
    <x v="552"/>
    <x v="0"/>
    <x v="74"/>
    <d v="1900-01-10T00:00:00"/>
    <n v="28"/>
    <x v="7"/>
    <x v="5"/>
  </r>
  <r>
    <x v="1299"/>
    <n v="-20"/>
    <x v="2749"/>
    <n v="3724.32"/>
    <s v="Complete Access"/>
    <x v="50"/>
    <x v="4"/>
    <x v="25"/>
    <d v="1900-01-09T00:00:00"/>
    <n v="28"/>
    <x v="7"/>
    <x v="5"/>
  </r>
  <r>
    <x v="1299"/>
    <n v="-47.26"/>
    <x v="2543"/>
    <n v="3677.06"/>
    <s v="Complete Access"/>
    <x v="17"/>
    <x v="7"/>
    <x v="11"/>
    <d v="1900-01-09T00:00:00"/>
    <n v="28"/>
    <x v="7"/>
    <x v="5"/>
  </r>
  <r>
    <x v="1300"/>
    <n v="-160.46"/>
    <x v="2750"/>
    <n v="4283.91"/>
    <s v="Complete Access"/>
    <x v="438"/>
    <x v="12"/>
    <x v="21"/>
    <d v="1900-01-08T00:00:00"/>
    <n v="28"/>
    <x v="7"/>
    <x v="5"/>
  </r>
  <r>
    <x v="1300"/>
    <n v="2053.4899999999998"/>
    <x v="2751"/>
    <n v="4444.37"/>
    <s v="Complete Access"/>
    <x v="14"/>
    <x v="6"/>
    <x v="9"/>
    <d v="1900-01-08T00:00:00"/>
    <n v="28"/>
    <x v="7"/>
    <x v="5"/>
  </r>
  <r>
    <x v="1300"/>
    <n v="-500"/>
    <x v="2294"/>
    <n v="3744.32"/>
    <s v="Complete Access"/>
    <x v="571"/>
    <x v="19"/>
    <x v="61"/>
    <d v="1900-01-08T00:00:00"/>
    <n v="28"/>
    <x v="7"/>
    <x v="5"/>
  </r>
  <r>
    <x v="1300"/>
    <n v="-8.6300000000000008"/>
    <x v="2752"/>
    <n v="4244.32"/>
    <s v="Complete Access"/>
    <x v="649"/>
    <x v="8"/>
    <x v="29"/>
    <d v="1900-01-08T00:00:00"/>
    <n v="28"/>
    <x v="7"/>
    <x v="5"/>
  </r>
  <r>
    <x v="1300"/>
    <n v="-30.96"/>
    <x v="2752"/>
    <n v="4252.95"/>
    <s v="Complete Access"/>
    <x v="649"/>
    <x v="8"/>
    <x v="29"/>
    <d v="1900-01-08T00:00:00"/>
    <n v="28"/>
    <x v="7"/>
    <x v="5"/>
  </r>
  <r>
    <x v="1301"/>
    <n v="-46.46"/>
    <x v="2753"/>
    <n v="2412.9499999999998"/>
    <s v="Complete Access"/>
    <x v="8"/>
    <x v="1"/>
    <x v="5"/>
    <d v="1900-01-07T00:00:00"/>
    <n v="28"/>
    <x v="7"/>
    <x v="5"/>
  </r>
  <r>
    <x v="1301"/>
    <n v="-22.07"/>
    <x v="2754"/>
    <n v="2390.88"/>
    <s v="Complete Access"/>
    <x v="1"/>
    <x v="1"/>
    <x v="1"/>
    <d v="1900-01-07T00:00:00"/>
    <n v="28"/>
    <x v="7"/>
    <x v="5"/>
  </r>
  <r>
    <x v="1302"/>
    <n v="-9.99"/>
    <x v="2755"/>
    <n v="2496.04"/>
    <s v="Complete Access"/>
    <x v="373"/>
    <x v="8"/>
    <x v="7"/>
    <d v="1900-01-06T00:00:00"/>
    <n v="28"/>
    <x v="7"/>
    <x v="5"/>
  </r>
  <r>
    <x v="1302"/>
    <n v="-36.630000000000003"/>
    <x v="2639"/>
    <n v="2459.41"/>
    <s v="Complete Access"/>
    <x v="4"/>
    <x v="1"/>
    <x v="1"/>
    <d v="1900-01-06T00:00:00"/>
    <n v="28"/>
    <x v="7"/>
    <x v="5"/>
  </r>
  <r>
    <x v="1303"/>
    <n v="53.48"/>
    <x v="2282"/>
    <n v="2484.52"/>
    <s v="Complete Access"/>
    <x v="567"/>
    <x v="0"/>
    <x v="69"/>
    <d v="1900-01-05T00:00:00"/>
    <n v="28"/>
    <x v="7"/>
    <x v="5"/>
  </r>
  <r>
    <x v="1303"/>
    <n v="53.3"/>
    <x v="2556"/>
    <n v="2537.8200000000002"/>
    <s v="Complete Access"/>
    <x v="583"/>
    <x v="0"/>
    <x v="69"/>
    <d v="1900-01-05T00:00:00"/>
    <n v="28"/>
    <x v="7"/>
    <x v="5"/>
  </r>
  <r>
    <x v="1303"/>
    <n v="-31.79"/>
    <x v="2639"/>
    <n v="2506.0300000000002"/>
    <s v="Complete Access"/>
    <x v="4"/>
    <x v="1"/>
    <x v="1"/>
    <d v="1900-01-05T00:00:00"/>
    <n v="28"/>
    <x v="7"/>
    <x v="5"/>
  </r>
  <r>
    <x v="1304"/>
    <n v="-100"/>
    <x v="2274"/>
    <n v="2431.04"/>
    <s v="Complete Access"/>
    <x v="552"/>
    <x v="0"/>
    <x v="74"/>
    <d v="1900-01-03T00:00:00"/>
    <n v="27"/>
    <x v="7"/>
    <x v="5"/>
  </r>
  <r>
    <x v="1305"/>
    <n v="-47.94"/>
    <x v="2756"/>
    <n v="2531.04"/>
    <s v="Complete Access"/>
    <x v="177"/>
    <x v="1"/>
    <x v="1"/>
    <d v="1900-01-01T00:00:00"/>
    <n v="27"/>
    <x v="7"/>
    <x v="5"/>
  </r>
  <r>
    <x v="1305"/>
    <n v="-8.33"/>
    <x v="2757"/>
    <n v="2578.98"/>
    <s v="Complete Access"/>
    <x v="1"/>
    <x v="1"/>
    <x v="1"/>
    <d v="1900-01-01T00:00:00"/>
    <n v="27"/>
    <x v="7"/>
    <x v="5"/>
  </r>
  <r>
    <x v="1306"/>
    <n v="-14.2"/>
    <x v="2758"/>
    <n v="2759.61"/>
    <s v="Complete Access"/>
    <x v="650"/>
    <x v="1"/>
    <x v="5"/>
    <d v="1899-12-31T00:00:00"/>
    <n v="27"/>
    <x v="7"/>
    <x v="5"/>
  </r>
  <r>
    <x v="1306"/>
    <n v="-20"/>
    <x v="2229"/>
    <n v="2773.81"/>
    <s v="Complete Access"/>
    <x v="557"/>
    <x v="7"/>
    <x v="53"/>
    <d v="1899-12-31T00:00:00"/>
    <n v="27"/>
    <x v="7"/>
    <x v="5"/>
  </r>
  <r>
    <x v="1306"/>
    <n v="-172.3"/>
    <x v="2759"/>
    <n v="2587.31"/>
    <s v="Complete Access"/>
    <x v="76"/>
    <x v="2"/>
    <x v="2"/>
    <d v="1899-12-31T00:00:00"/>
    <n v="27"/>
    <x v="7"/>
    <x v="5"/>
  </r>
  <r>
    <x v="1307"/>
    <n v="-27.5"/>
    <x v="2760"/>
    <n v="2862.27"/>
    <s v="Complete Access"/>
    <x v="645"/>
    <x v="0"/>
    <x v="69"/>
    <d v="1900-01-29T00:00:00"/>
    <n v="27"/>
    <x v="8"/>
    <x v="5"/>
  </r>
  <r>
    <x v="1307"/>
    <n v="-68.459999999999994"/>
    <x v="2639"/>
    <n v="2793.81"/>
    <s v="Complete Access"/>
    <x v="4"/>
    <x v="1"/>
    <x v="1"/>
    <d v="1900-01-29T00:00:00"/>
    <n v="27"/>
    <x v="8"/>
    <x v="5"/>
  </r>
  <r>
    <x v="1307"/>
    <n v="-33.19"/>
    <x v="2761"/>
    <n v="2889.77"/>
    <s v="Complete Access"/>
    <x v="34"/>
    <x v="9"/>
    <x v="12"/>
    <d v="1900-01-29T00:00:00"/>
    <n v="27"/>
    <x v="8"/>
    <x v="5"/>
  </r>
  <r>
    <x v="1308"/>
    <n v="-19.55"/>
    <x v="2762"/>
    <n v="2922.96"/>
    <s v="Complete Access"/>
    <x v="616"/>
    <x v="1"/>
    <x v="1"/>
    <d v="1900-01-28T00:00:00"/>
    <n v="27"/>
    <x v="8"/>
    <x v="5"/>
  </r>
  <r>
    <x v="1308"/>
    <n v="56"/>
    <x v="2763"/>
    <n v="2946.5"/>
    <s v="Complete Access"/>
    <x v="0"/>
    <x v="0"/>
    <x v="0"/>
    <d v="1900-01-28T00:00:00"/>
    <n v="27"/>
    <x v="8"/>
    <x v="5"/>
  </r>
  <r>
    <x v="1308"/>
    <n v="56"/>
    <x v="2764"/>
    <n v="2890.5"/>
    <s v="Complete Access"/>
    <x v="651"/>
    <x v="0"/>
    <x v="69"/>
    <d v="1900-01-28T00:00:00"/>
    <n v="27"/>
    <x v="8"/>
    <x v="5"/>
  </r>
  <r>
    <x v="1308"/>
    <n v="-210"/>
    <x v="2760"/>
    <n v="2834.5"/>
    <s v="Complete Access"/>
    <x v="645"/>
    <x v="0"/>
    <x v="69"/>
    <d v="1900-01-28T00:00:00"/>
    <n v="27"/>
    <x v="8"/>
    <x v="5"/>
  </r>
  <r>
    <x v="1308"/>
    <n v="-3.99"/>
    <x v="2643"/>
    <n v="2942.51"/>
    <s v="Complete Access"/>
    <x v="215"/>
    <x v="1"/>
    <x v="1"/>
    <d v="1900-01-28T00:00:00"/>
    <n v="27"/>
    <x v="8"/>
    <x v="5"/>
  </r>
  <r>
    <x v="1309"/>
    <n v="-100"/>
    <x v="2274"/>
    <n v="3078.38"/>
    <s v="Complete Access"/>
    <x v="552"/>
    <x v="0"/>
    <x v="74"/>
    <d v="1900-01-26T00:00:00"/>
    <n v="26"/>
    <x v="8"/>
    <x v="5"/>
  </r>
  <r>
    <x v="1309"/>
    <n v="-6.9"/>
    <x v="2765"/>
    <n v="3071.48"/>
    <s v="Complete Access"/>
    <x v="652"/>
    <x v="8"/>
    <x v="29"/>
    <d v="1900-01-26T00:00:00"/>
    <n v="26"/>
    <x v="8"/>
    <x v="5"/>
  </r>
  <r>
    <x v="1309"/>
    <n v="-26.98"/>
    <x v="2766"/>
    <n v="3044.5"/>
    <s v="Complete Access"/>
    <x v="215"/>
    <x v="1"/>
    <x v="1"/>
    <d v="1900-01-26T00:00:00"/>
    <n v="26"/>
    <x v="8"/>
    <x v="5"/>
  </r>
  <r>
    <x v="1310"/>
    <n v="-45.4"/>
    <x v="2767"/>
    <n v="3178.38"/>
    <s v="Complete Access"/>
    <x v="243"/>
    <x v="1"/>
    <x v="23"/>
    <d v="1900-01-25T00:00:00"/>
    <n v="26"/>
    <x v="8"/>
    <x v="5"/>
  </r>
  <r>
    <x v="1311"/>
    <n v="2053.4899999999998"/>
    <x v="2768"/>
    <n v="5950.4"/>
    <s v="Complete Access"/>
    <x v="14"/>
    <x v="6"/>
    <x v="9"/>
    <d v="1900-01-24T00:00:00"/>
    <n v="26"/>
    <x v="8"/>
    <x v="5"/>
  </r>
  <r>
    <x v="1311"/>
    <n v="-33.229999999999997"/>
    <x v="2769"/>
    <n v="3223.78"/>
    <s v="Complete Access"/>
    <x v="27"/>
    <x v="1"/>
    <x v="5"/>
    <d v="1900-01-24T00:00:00"/>
    <n v="26"/>
    <x v="8"/>
    <x v="5"/>
  </r>
  <r>
    <x v="1311"/>
    <n v="-500"/>
    <x v="2294"/>
    <n v="3359.01"/>
    <s v="Complete Access"/>
    <x v="571"/>
    <x v="19"/>
    <x v="61"/>
    <d v="1900-01-24T00:00:00"/>
    <n v="26"/>
    <x v="8"/>
    <x v="5"/>
  </r>
  <r>
    <x v="1311"/>
    <n v="-2056"/>
    <x v="2770"/>
    <n v="3859.01"/>
    <s v="Complete Access"/>
    <x v="50"/>
    <x v="4"/>
    <x v="25"/>
    <d v="1900-01-24T00:00:00"/>
    <n v="26"/>
    <x v="8"/>
    <x v="5"/>
  </r>
  <r>
    <x v="1311"/>
    <n v="-102"/>
    <x v="2771"/>
    <n v="3257.01"/>
    <s v="Complete Access"/>
    <x v="567"/>
    <x v="0"/>
    <x v="69"/>
    <d v="1900-01-24T00:00:00"/>
    <n v="26"/>
    <x v="8"/>
    <x v="5"/>
  </r>
  <r>
    <x v="1311"/>
    <n v="-35.39"/>
    <x v="2772"/>
    <n v="5915.01"/>
    <s v="Complete Access"/>
    <x v="237"/>
    <x v="15"/>
    <x v="34"/>
    <d v="1900-01-24T00:00:00"/>
    <n v="26"/>
    <x v="8"/>
    <x v="5"/>
  </r>
  <r>
    <x v="1312"/>
    <n v="-10.45"/>
    <x v="2773"/>
    <n v="3896.91"/>
    <s v="Complete Access"/>
    <x v="1"/>
    <x v="1"/>
    <x v="1"/>
    <d v="1900-01-23T00:00:00"/>
    <n v="26"/>
    <x v="8"/>
    <x v="5"/>
  </r>
  <r>
    <x v="1313"/>
    <n v="-5.08"/>
    <x v="2774"/>
    <n v="3907.36"/>
    <s v="Complete Access"/>
    <x v="213"/>
    <x v="1"/>
    <x v="23"/>
    <d v="1900-01-22T00:00:00"/>
    <n v="26"/>
    <x v="8"/>
    <x v="5"/>
  </r>
  <r>
    <x v="1314"/>
    <n v="-37.520000000000003"/>
    <x v="2639"/>
    <n v="3912.44"/>
    <s v="Complete Access"/>
    <x v="4"/>
    <x v="1"/>
    <x v="1"/>
    <d v="1900-01-21T00:00:00"/>
    <n v="26"/>
    <x v="8"/>
    <x v="5"/>
  </r>
  <r>
    <x v="1315"/>
    <n v="-250"/>
    <x v="2775"/>
    <n v="4052.76"/>
    <s v="Complete Access"/>
    <x v="601"/>
    <x v="0"/>
    <x v="0"/>
    <d v="1900-01-19T00:00:00"/>
    <n v="25"/>
    <x v="8"/>
    <x v="5"/>
  </r>
  <r>
    <x v="1315"/>
    <n v="-2.8"/>
    <x v="72"/>
    <n v="4049.96"/>
    <s v="Complete Access"/>
    <x v="37"/>
    <x v="0"/>
    <x v="0"/>
    <d v="1900-01-19T00:00:00"/>
    <n v="25"/>
    <x v="8"/>
    <x v="5"/>
  </r>
  <r>
    <x v="1315"/>
    <n v="-100"/>
    <x v="2776"/>
    <n v="3949.96"/>
    <s v="Complete Access"/>
    <x v="645"/>
    <x v="0"/>
    <x v="69"/>
    <d v="1900-01-19T00:00:00"/>
    <n v="25"/>
    <x v="8"/>
    <x v="5"/>
  </r>
  <r>
    <x v="1315"/>
    <n v="-100"/>
    <x v="2274"/>
    <n v="4350.76"/>
    <s v="Complete Access"/>
    <x v="552"/>
    <x v="0"/>
    <x v="74"/>
    <d v="1900-01-19T00:00:00"/>
    <n v="25"/>
    <x v="8"/>
    <x v="5"/>
  </r>
  <r>
    <x v="1315"/>
    <n v="-48"/>
    <x v="2700"/>
    <n v="4302.76"/>
    <s v="Complete Access"/>
    <x v="243"/>
    <x v="1"/>
    <x v="23"/>
    <d v="1900-01-19T00:00:00"/>
    <n v="25"/>
    <x v="8"/>
    <x v="5"/>
  </r>
  <r>
    <x v="1316"/>
    <n v="-42.19"/>
    <x v="2777"/>
    <n v="4450.76"/>
    <s v="Complete Access"/>
    <x v="1"/>
    <x v="1"/>
    <x v="1"/>
    <d v="1900-01-17T00:00:00"/>
    <n v="25"/>
    <x v="8"/>
    <x v="5"/>
  </r>
  <r>
    <x v="1317"/>
    <n v="-197.83"/>
    <x v="2778"/>
    <n v="4492.95"/>
    <s v="Complete Access"/>
    <x v="645"/>
    <x v="0"/>
    <x v="69"/>
    <d v="1900-01-16T00:00:00"/>
    <n v="25"/>
    <x v="8"/>
    <x v="5"/>
  </r>
  <r>
    <x v="1318"/>
    <n v="-33.99"/>
    <x v="2779"/>
    <n v="4711.55"/>
    <s v="Complete Access"/>
    <x v="104"/>
    <x v="1"/>
    <x v="5"/>
    <d v="1900-01-15T00:00:00"/>
    <n v="25"/>
    <x v="8"/>
    <x v="5"/>
  </r>
  <r>
    <x v="1318"/>
    <n v="-20.77"/>
    <x v="2639"/>
    <n v="4690.78"/>
    <s v="Complete Access"/>
    <x v="4"/>
    <x v="1"/>
    <x v="1"/>
    <d v="1900-01-15T00:00:00"/>
    <n v="25"/>
    <x v="8"/>
    <x v="5"/>
  </r>
  <r>
    <x v="1319"/>
    <n v="-100"/>
    <x v="2274"/>
    <n v="4745.54"/>
    <s v="Complete Access"/>
    <x v="552"/>
    <x v="0"/>
    <x v="74"/>
    <d v="1900-01-12T00:00:00"/>
    <n v="24"/>
    <x v="8"/>
    <x v="5"/>
  </r>
  <r>
    <x v="1320"/>
    <n v="16"/>
    <x v="2780"/>
    <n v="4845.54"/>
    <s v="Complete Access"/>
    <x v="568"/>
    <x v="0"/>
    <x v="69"/>
    <d v="1900-01-11T00:00:00"/>
    <n v="24"/>
    <x v="8"/>
    <x v="5"/>
  </r>
  <r>
    <x v="1320"/>
    <n v="-43"/>
    <x v="2700"/>
    <n v="4829.54"/>
    <s v="Complete Access"/>
    <x v="243"/>
    <x v="1"/>
    <x v="23"/>
    <d v="1900-01-11T00:00:00"/>
    <n v="24"/>
    <x v="8"/>
    <x v="5"/>
  </r>
  <r>
    <x v="1321"/>
    <n v="2053.4899999999998"/>
    <x v="2781"/>
    <n v="5514.77"/>
    <s v="Complete Access"/>
    <x v="14"/>
    <x v="6"/>
    <x v="9"/>
    <d v="1900-01-10T00:00:00"/>
    <n v="24"/>
    <x v="8"/>
    <x v="5"/>
  </r>
  <r>
    <x v="1321"/>
    <n v="-500"/>
    <x v="2294"/>
    <n v="5014.7700000000004"/>
    <s v="Complete Access"/>
    <x v="571"/>
    <x v="19"/>
    <x v="61"/>
    <d v="1900-01-10T00:00:00"/>
    <n v="24"/>
    <x v="8"/>
    <x v="5"/>
  </r>
  <r>
    <x v="1321"/>
    <n v="-73"/>
    <x v="2543"/>
    <n v="4872.54"/>
    <s v="Complete Access"/>
    <x v="17"/>
    <x v="7"/>
    <x v="11"/>
    <d v="1900-01-10T00:00:00"/>
    <n v="24"/>
    <x v="8"/>
    <x v="5"/>
  </r>
  <r>
    <x v="1321"/>
    <n v="-69.23"/>
    <x v="2782"/>
    <n v="4945.54"/>
    <s v="Complete Access"/>
    <x v="1"/>
    <x v="1"/>
    <x v="1"/>
    <d v="1900-01-10T00:00:00"/>
    <n v="24"/>
    <x v="8"/>
    <x v="5"/>
  </r>
  <r>
    <x v="1322"/>
    <n v="-8.6999999999999993"/>
    <x v="2783"/>
    <n v="3461.28"/>
    <s v="Complete Access"/>
    <x v="34"/>
    <x v="9"/>
    <x v="12"/>
    <d v="1900-01-09T00:00:00"/>
    <n v="24"/>
    <x v="8"/>
    <x v="5"/>
  </r>
  <r>
    <x v="1323"/>
    <n v="-9.99"/>
    <x v="2784"/>
    <n v="3469.98"/>
    <s v="Complete Access"/>
    <x v="373"/>
    <x v="8"/>
    <x v="7"/>
    <d v="1900-01-08T00:00:00"/>
    <n v="24"/>
    <x v="8"/>
    <x v="5"/>
  </r>
  <r>
    <x v="1324"/>
    <n v="-100"/>
    <x v="2274"/>
    <n v="3479.97"/>
    <s v="Complete Access"/>
    <x v="552"/>
    <x v="0"/>
    <x v="74"/>
    <d v="1900-01-05T00:00:00"/>
    <n v="23"/>
    <x v="8"/>
    <x v="5"/>
  </r>
  <r>
    <x v="1325"/>
    <n v="-181.02"/>
    <x v="2785"/>
    <n v="3579.97"/>
    <s v="Complete Access"/>
    <x v="438"/>
    <x v="12"/>
    <x v="21"/>
    <d v="1900-01-04T00:00:00"/>
    <n v="23"/>
    <x v="8"/>
    <x v="5"/>
  </r>
  <r>
    <x v="1326"/>
    <n v="-48"/>
    <x v="2786"/>
    <n v="3760.99"/>
    <s v="Complete Access"/>
    <x v="1"/>
    <x v="1"/>
    <x v="1"/>
    <d v="1900-01-03T00:00:00"/>
    <n v="23"/>
    <x v="8"/>
    <x v="5"/>
  </r>
  <r>
    <x v="1327"/>
    <n v="-15"/>
    <x v="2787"/>
    <n v="3808.99"/>
    <s v="Complete Access"/>
    <x v="347"/>
    <x v="3"/>
    <x v="62"/>
    <d v="1900-01-02T00:00:00"/>
    <n v="23"/>
    <x v="8"/>
    <x v="5"/>
  </r>
  <r>
    <x v="1327"/>
    <n v="-16.149999999999999"/>
    <x v="2788"/>
    <n v="3823.99"/>
    <s v="Complete Access"/>
    <x v="34"/>
    <x v="9"/>
    <x v="12"/>
    <d v="1900-01-02T00:00:00"/>
    <n v="23"/>
    <x v="8"/>
    <x v="5"/>
  </r>
  <r>
    <x v="1328"/>
    <n v="90"/>
    <x v="2282"/>
    <n v="3795.14"/>
    <s v="Complete Access"/>
    <x v="567"/>
    <x v="0"/>
    <x v="69"/>
    <d v="1900-01-01T00:00:00"/>
    <n v="23"/>
    <x v="8"/>
    <x v="5"/>
  </r>
  <r>
    <x v="1328"/>
    <n v="45"/>
    <x v="2556"/>
    <n v="3840.14"/>
    <s v="Complete Access"/>
    <x v="583"/>
    <x v="0"/>
    <x v="69"/>
    <d v="1900-01-01T00:00:00"/>
    <n v="23"/>
    <x v="8"/>
    <x v="5"/>
  </r>
  <r>
    <x v="1328"/>
    <n v="-32.090000000000003"/>
    <x v="2789"/>
    <n v="3705.14"/>
    <s v="Complete Access"/>
    <x v="1"/>
    <x v="1"/>
    <x v="1"/>
    <d v="1900-01-01T00:00:00"/>
    <n v="23"/>
    <x v="8"/>
    <x v="5"/>
  </r>
  <r>
    <x v="1329"/>
    <n v="-20"/>
    <x v="2229"/>
    <n v="3909.53"/>
    <s v="Complete Access"/>
    <x v="557"/>
    <x v="7"/>
    <x v="53"/>
    <d v="1899-12-31T00:00:00"/>
    <n v="23"/>
    <x v="8"/>
    <x v="5"/>
  </r>
  <r>
    <x v="1329"/>
    <n v="-172.3"/>
    <x v="2790"/>
    <n v="3737.23"/>
    <s v="Complete Access"/>
    <x v="76"/>
    <x v="2"/>
    <x v="2"/>
    <d v="1899-12-31T00:00:00"/>
    <n v="23"/>
    <x v="8"/>
    <x v="5"/>
  </r>
  <r>
    <x v="1330"/>
    <n v="-100"/>
    <x v="2274"/>
    <n v="3929.53"/>
    <s v="Complete Access"/>
    <x v="552"/>
    <x v="0"/>
    <x v="74"/>
    <d v="1900-01-29T00:00:00"/>
    <n v="22"/>
    <x v="9"/>
    <x v="5"/>
  </r>
  <r>
    <x v="1331"/>
    <n v="2053.4899999999998"/>
    <x v="2791"/>
    <n v="4529.53"/>
    <s v="Complete Access"/>
    <x v="14"/>
    <x v="6"/>
    <x v="9"/>
    <d v="1900-01-27T00:00:00"/>
    <n v="22"/>
    <x v="9"/>
    <x v="5"/>
  </r>
  <r>
    <x v="1331"/>
    <n v="-500"/>
    <x v="2294"/>
    <n v="4029.53"/>
    <s v="Complete Access"/>
    <x v="571"/>
    <x v="19"/>
    <x v="61"/>
    <d v="1900-01-27T00:00:00"/>
    <n v="22"/>
    <x v="9"/>
    <x v="5"/>
  </r>
  <r>
    <x v="1332"/>
    <n v="-17.5"/>
    <x v="2792"/>
    <n v="2550.16"/>
    <s v="Complete Access"/>
    <x v="593"/>
    <x v="1"/>
    <x v="5"/>
    <d v="1900-01-26T00:00:00"/>
    <n v="22"/>
    <x v="9"/>
    <x v="5"/>
  </r>
  <r>
    <x v="1332"/>
    <n v="-74.12"/>
    <x v="2793"/>
    <n v="2476.04"/>
    <s v="Complete Access"/>
    <x v="1"/>
    <x v="1"/>
    <x v="1"/>
    <d v="1900-01-26T00:00:00"/>
    <n v="22"/>
    <x v="9"/>
    <x v="5"/>
  </r>
  <r>
    <x v="1333"/>
    <n v="-322.41000000000003"/>
    <x v="2794"/>
    <n v="2567.66"/>
    <s v="Complete Access"/>
    <x v="95"/>
    <x v="14"/>
    <x v="38"/>
    <d v="1900-01-25T00:00:00"/>
    <n v="22"/>
    <x v="9"/>
    <x v="5"/>
  </r>
  <r>
    <x v="1333"/>
    <n v="-191.76"/>
    <x v="2795"/>
    <n v="2890.07"/>
    <s v="Complete Access"/>
    <x v="295"/>
    <x v="14"/>
    <x v="66"/>
    <d v="1900-01-25T00:00:00"/>
    <n v="22"/>
    <x v="9"/>
    <x v="5"/>
  </r>
  <r>
    <x v="1334"/>
    <n v="-21.66"/>
    <x v="2643"/>
    <n v="3081.83"/>
    <s v="Complete Access"/>
    <x v="215"/>
    <x v="1"/>
    <x v="1"/>
    <d v="1900-01-22T00:00:00"/>
    <n v="21"/>
    <x v="9"/>
    <x v="5"/>
  </r>
  <r>
    <x v="1334"/>
    <n v="-100"/>
    <x v="2274"/>
    <n v="3147.49"/>
    <s v="Complete Access"/>
    <x v="552"/>
    <x v="0"/>
    <x v="74"/>
    <d v="1900-01-22T00:00:00"/>
    <n v="21"/>
    <x v="9"/>
    <x v="5"/>
  </r>
  <r>
    <x v="1334"/>
    <n v="-44"/>
    <x v="2700"/>
    <n v="3103.49"/>
    <s v="Complete Access"/>
    <x v="243"/>
    <x v="1"/>
    <x v="23"/>
    <d v="1900-01-22T00:00:00"/>
    <n v="21"/>
    <x v="9"/>
    <x v="5"/>
  </r>
  <r>
    <x v="1335"/>
    <n v="-13.12"/>
    <x v="2796"/>
    <n v="3347.99"/>
    <s v="Complete Access"/>
    <x v="19"/>
    <x v="3"/>
    <x v="3"/>
    <d v="1900-01-19T00:00:00"/>
    <n v="21"/>
    <x v="9"/>
    <x v="5"/>
  </r>
  <r>
    <x v="1335"/>
    <n v="-21.9"/>
    <x v="2797"/>
    <n v="3302.7"/>
    <s v="Complete Access"/>
    <x v="343"/>
    <x v="1"/>
    <x v="5"/>
    <d v="1900-01-19T00:00:00"/>
    <n v="21"/>
    <x v="9"/>
    <x v="5"/>
  </r>
  <r>
    <x v="1335"/>
    <n v="-23.39"/>
    <x v="2798"/>
    <n v="3324.6"/>
    <s v="Complete Access"/>
    <x v="104"/>
    <x v="1"/>
    <x v="5"/>
    <d v="1900-01-19T00:00:00"/>
    <n v="21"/>
    <x v="9"/>
    <x v="5"/>
  </r>
  <r>
    <x v="1335"/>
    <n v="-55.21"/>
    <x v="2799"/>
    <n v="3247.49"/>
    <s v="Complete Access"/>
    <x v="1"/>
    <x v="1"/>
    <x v="1"/>
    <d v="1900-01-19T00:00:00"/>
    <n v="21"/>
    <x v="9"/>
    <x v="5"/>
  </r>
  <r>
    <x v="1336"/>
    <n v="-46"/>
    <x v="2800"/>
    <n v="3361.11"/>
    <s v="Complete Access"/>
    <x v="104"/>
    <x v="1"/>
    <x v="5"/>
    <d v="1900-01-18T00:00:00"/>
    <n v="21"/>
    <x v="9"/>
    <x v="5"/>
  </r>
  <r>
    <x v="1337"/>
    <n v="-100"/>
    <x v="2274"/>
    <n v="3407.11"/>
    <s v="Complete Access"/>
    <x v="552"/>
    <x v="0"/>
    <x v="74"/>
    <d v="1900-01-15T00:00:00"/>
    <n v="20"/>
    <x v="9"/>
    <x v="5"/>
  </r>
  <r>
    <x v="1338"/>
    <n v="2053.4899999999998"/>
    <x v="2801"/>
    <n v="4007.11"/>
    <s v="Complete Access"/>
    <x v="14"/>
    <x v="6"/>
    <x v="9"/>
    <d v="1900-01-13T00:00:00"/>
    <n v="20"/>
    <x v="9"/>
    <x v="5"/>
  </r>
  <r>
    <x v="1338"/>
    <n v="-500"/>
    <x v="2294"/>
    <n v="3507.11"/>
    <s v="Complete Access"/>
    <x v="571"/>
    <x v="19"/>
    <x v="61"/>
    <d v="1900-01-13T00:00:00"/>
    <n v="20"/>
    <x v="9"/>
    <x v="5"/>
  </r>
  <r>
    <x v="1339"/>
    <n v="-40"/>
    <x v="2802"/>
    <n v="1990.64"/>
    <s v="Complete Access"/>
    <x v="343"/>
    <x v="1"/>
    <x v="5"/>
    <d v="1900-01-12T00:00:00"/>
    <n v="20"/>
    <x v="9"/>
    <x v="5"/>
  </r>
  <r>
    <x v="1339"/>
    <n v="-37.020000000000003"/>
    <x v="2803"/>
    <n v="1953.62"/>
    <s v="Complete Access"/>
    <x v="1"/>
    <x v="1"/>
    <x v="1"/>
    <d v="1900-01-12T00:00:00"/>
    <n v="20"/>
    <x v="9"/>
    <x v="5"/>
  </r>
  <r>
    <x v="1340"/>
    <n v="-73"/>
    <x v="2543"/>
    <n v="2030.64"/>
    <s v="Complete Access"/>
    <x v="17"/>
    <x v="7"/>
    <x v="11"/>
    <d v="1900-01-10T00:00:00"/>
    <n v="20"/>
    <x v="9"/>
    <x v="5"/>
  </r>
  <r>
    <x v="1341"/>
    <n v="-85"/>
    <x v="2643"/>
    <n v="2115.36"/>
    <s v="Complete Access"/>
    <x v="215"/>
    <x v="1"/>
    <x v="1"/>
    <d v="1900-01-09T00:00:00"/>
    <n v="20"/>
    <x v="9"/>
    <x v="5"/>
  </r>
  <r>
    <x v="1341"/>
    <n v="-11.72"/>
    <x v="2688"/>
    <n v="2103.64"/>
    <s v="Complete Access"/>
    <x v="177"/>
    <x v="1"/>
    <x v="1"/>
    <d v="1900-01-09T00:00:00"/>
    <n v="20"/>
    <x v="9"/>
    <x v="5"/>
  </r>
  <r>
    <x v="1342"/>
    <n v="-100"/>
    <x v="2274"/>
    <n v="2200.36"/>
    <s v="Complete Access"/>
    <x v="552"/>
    <x v="0"/>
    <x v="74"/>
    <d v="1900-01-08T00:00:00"/>
    <n v="19"/>
    <x v="9"/>
    <x v="5"/>
  </r>
  <r>
    <x v="1343"/>
    <n v="-199.41"/>
    <x v="2804"/>
    <n v="2233.96"/>
    <s v="Complete Access"/>
    <x v="438"/>
    <x v="12"/>
    <x v="21"/>
    <d v="1900-01-07T00:00:00"/>
    <n v="19"/>
    <x v="9"/>
    <x v="5"/>
  </r>
  <r>
    <x v="1343"/>
    <n v="66.400000000000006"/>
    <x v="2282"/>
    <n v="2300.36"/>
    <s v="Complete Access"/>
    <x v="567"/>
    <x v="0"/>
    <x v="69"/>
    <d v="1900-01-07T00:00:00"/>
    <n v="19"/>
    <x v="9"/>
    <x v="5"/>
  </r>
  <r>
    <x v="1344"/>
    <n v="-9.99"/>
    <x v="2805"/>
    <n v="2720.97"/>
    <s v="Complete Access"/>
    <x v="373"/>
    <x v="8"/>
    <x v="7"/>
    <d v="1900-01-06T00:00:00"/>
    <n v="19"/>
    <x v="9"/>
    <x v="5"/>
  </r>
  <r>
    <x v="1344"/>
    <n v="-139"/>
    <x v="2806"/>
    <n v="2457.12"/>
    <s v="Complete Access"/>
    <x v="50"/>
    <x v="4"/>
    <x v="25"/>
    <d v="1900-01-06T00:00:00"/>
    <n v="19"/>
    <x v="9"/>
    <x v="5"/>
  </r>
  <r>
    <x v="1344"/>
    <n v="-17.25"/>
    <x v="2643"/>
    <n v="2433.37"/>
    <s v="Complete Access"/>
    <x v="215"/>
    <x v="1"/>
    <x v="1"/>
    <d v="1900-01-06T00:00:00"/>
    <n v="19"/>
    <x v="9"/>
    <x v="5"/>
  </r>
  <r>
    <x v="1344"/>
    <n v="-6.5"/>
    <x v="2700"/>
    <n v="2450.62"/>
    <s v="Complete Access"/>
    <x v="243"/>
    <x v="1"/>
    <x v="23"/>
    <d v="1900-01-06T00:00:00"/>
    <n v="19"/>
    <x v="9"/>
    <x v="5"/>
  </r>
  <r>
    <x v="1344"/>
    <n v="-124.85"/>
    <x v="2807"/>
    <n v="2596.12"/>
    <s v="Complete Access"/>
    <x v="653"/>
    <x v="4"/>
    <x v="20"/>
    <d v="1900-01-06T00:00:00"/>
    <n v="19"/>
    <x v="9"/>
    <x v="5"/>
  </r>
  <r>
    <x v="1345"/>
    <n v="-45"/>
    <x v="2808"/>
    <n v="2730.96"/>
    <s v="Complete Access"/>
    <x v="50"/>
    <x v="4"/>
    <x v="25"/>
    <d v="1900-01-05T00:00:00"/>
    <n v="19"/>
    <x v="9"/>
    <x v="5"/>
  </r>
  <r>
    <x v="1345"/>
    <n v="-95.75"/>
    <x v="2809"/>
    <n v="2775.96"/>
    <s v="Complete Access"/>
    <x v="645"/>
    <x v="0"/>
    <x v="69"/>
    <d v="1900-01-05T00:00:00"/>
    <n v="19"/>
    <x v="9"/>
    <x v="5"/>
  </r>
  <r>
    <x v="1345"/>
    <n v="-228.34"/>
    <x v="2810"/>
    <n v="2871.71"/>
    <s v="Complete Access"/>
    <x v="654"/>
    <x v="4"/>
    <x v="25"/>
    <d v="1900-01-05T00:00:00"/>
    <n v="19"/>
    <x v="9"/>
    <x v="5"/>
  </r>
  <r>
    <x v="1346"/>
    <n v="-34.869999999999997"/>
    <x v="2811"/>
    <n v="3100.05"/>
    <s v="Complete Access"/>
    <x v="61"/>
    <x v="1"/>
    <x v="1"/>
    <d v="1900-01-04T00:00:00"/>
    <n v="19"/>
    <x v="9"/>
    <x v="5"/>
  </r>
  <r>
    <x v="1347"/>
    <n v="-16.399999999999999"/>
    <x v="2643"/>
    <n v="3134.92"/>
    <s v="Complete Access"/>
    <x v="215"/>
    <x v="1"/>
    <x v="1"/>
    <d v="1900-01-03T00:00:00"/>
    <n v="19"/>
    <x v="9"/>
    <x v="5"/>
  </r>
  <r>
    <x v="1348"/>
    <n v="-16.25"/>
    <x v="2643"/>
    <n v="3151.32"/>
    <s v="Complete Access"/>
    <x v="215"/>
    <x v="1"/>
    <x v="1"/>
    <d v="1900-01-02T00:00:00"/>
    <n v="19"/>
    <x v="9"/>
    <x v="5"/>
  </r>
  <r>
    <x v="1349"/>
    <n v="-100"/>
    <x v="2274"/>
    <n v="3167.57"/>
    <s v="Complete Access"/>
    <x v="552"/>
    <x v="0"/>
    <x v="74"/>
    <d v="1900-01-01T00:00:00"/>
    <n v="18"/>
    <x v="9"/>
    <x v="5"/>
  </r>
  <r>
    <x v="1350"/>
    <n v="-20"/>
    <x v="2229"/>
    <n v="3458.87"/>
    <s v="Complete Access"/>
    <x v="557"/>
    <x v="7"/>
    <x v="53"/>
    <d v="1899-12-31T00:00:00"/>
    <n v="18"/>
    <x v="9"/>
    <x v="5"/>
  </r>
  <r>
    <x v="1350"/>
    <n v="-19"/>
    <x v="2494"/>
    <n v="3439.87"/>
    <s v="Complete Access"/>
    <x v="27"/>
    <x v="1"/>
    <x v="5"/>
    <d v="1899-12-31T00:00:00"/>
    <n v="18"/>
    <x v="9"/>
    <x v="5"/>
  </r>
  <r>
    <x v="1350"/>
    <n v="-172.3"/>
    <x v="2812"/>
    <n v="3267.57"/>
    <s v="Complete Access"/>
    <x v="76"/>
    <x v="2"/>
    <x v="2"/>
    <d v="1899-12-31T00:00:00"/>
    <n v="18"/>
    <x v="9"/>
    <x v="5"/>
  </r>
  <r>
    <x v="1351"/>
    <n v="2053.4899999999998"/>
    <x v="2813"/>
    <n v="4045.87"/>
    <s v="Complete Access"/>
    <x v="14"/>
    <x v="6"/>
    <x v="9"/>
    <d v="1900-01-29T00:00:00"/>
    <n v="18"/>
    <x v="10"/>
    <x v="5"/>
  </r>
  <r>
    <x v="1351"/>
    <n v="-500"/>
    <x v="2294"/>
    <n v="3478.87"/>
    <s v="Complete Access"/>
    <x v="571"/>
    <x v="19"/>
    <x v="61"/>
    <d v="1900-01-29T00:00:00"/>
    <n v="18"/>
    <x v="10"/>
    <x v="5"/>
  </r>
  <r>
    <x v="1351"/>
    <n v="-67"/>
    <x v="2814"/>
    <n v="3978.87"/>
    <s v="Complete Access"/>
    <x v="5"/>
    <x v="3"/>
    <x v="3"/>
    <d v="1900-01-29T00:00:00"/>
    <n v="18"/>
    <x v="10"/>
    <x v="5"/>
  </r>
  <r>
    <x v="1352"/>
    <n v="-1050.94"/>
    <x v="2815"/>
    <n v="2073.6"/>
    <s v="Complete Access"/>
    <x v="655"/>
    <x v="4"/>
    <x v="20"/>
    <d v="1900-01-28T00:00:00"/>
    <n v="18"/>
    <x v="10"/>
    <x v="5"/>
  </r>
  <r>
    <x v="1352"/>
    <n v="-31.53"/>
    <x v="2816"/>
    <n v="2042.07"/>
    <s v="Complete Access"/>
    <x v="10"/>
    <x v="0"/>
    <x v="0"/>
    <d v="1900-01-28T00:00:00"/>
    <n v="18"/>
    <x v="10"/>
    <x v="5"/>
  </r>
  <r>
    <x v="1352"/>
    <n v="-49.69"/>
    <x v="2817"/>
    <n v="1992.38"/>
    <s v="Complete Access"/>
    <x v="1"/>
    <x v="1"/>
    <x v="1"/>
    <d v="1900-01-28T00:00:00"/>
    <n v="18"/>
    <x v="10"/>
    <x v="5"/>
  </r>
  <r>
    <x v="1353"/>
    <n v="350"/>
    <x v="2818"/>
    <n v="3124.54"/>
    <s v="Complete Access"/>
    <x v="567"/>
    <x v="0"/>
    <x v="69"/>
    <d v="1900-01-27T00:00:00"/>
    <n v="18"/>
    <x v="10"/>
    <x v="5"/>
  </r>
  <r>
    <x v="1353"/>
    <n v="-1413.5"/>
    <x v="2819"/>
    <n v="2774.54"/>
    <s v="Complete Access"/>
    <x v="656"/>
    <x v="4"/>
    <x v="20"/>
    <d v="1900-01-27T00:00:00"/>
    <n v="18"/>
    <x v="10"/>
    <x v="5"/>
  </r>
  <r>
    <x v="1354"/>
    <n v="800"/>
    <x v="2820"/>
    <n v="4188.04"/>
    <s v="Complete Access"/>
    <x v="657"/>
    <x v="0"/>
    <x v="69"/>
    <d v="1900-01-26T00:00:00"/>
    <n v="18"/>
    <x v="10"/>
    <x v="5"/>
  </r>
  <r>
    <x v="1355"/>
    <n v="-8.4499999999999993"/>
    <x v="2643"/>
    <n v="3397.26"/>
    <s v="Complete Access"/>
    <x v="215"/>
    <x v="1"/>
    <x v="1"/>
    <d v="1900-01-25T00:00:00"/>
    <n v="18"/>
    <x v="10"/>
    <x v="5"/>
  </r>
  <r>
    <x v="1355"/>
    <n v="-9.2200000000000006"/>
    <x v="2688"/>
    <n v="3388.04"/>
    <s v="Complete Access"/>
    <x v="177"/>
    <x v="1"/>
    <x v="1"/>
    <d v="1900-01-25T00:00:00"/>
    <n v="18"/>
    <x v="10"/>
    <x v="5"/>
  </r>
  <r>
    <x v="1356"/>
    <n v="-8.2899999999999991"/>
    <x v="2643"/>
    <n v="3405.71"/>
    <s v="Complete Access"/>
    <x v="215"/>
    <x v="1"/>
    <x v="1"/>
    <d v="1900-01-24T00:00:00"/>
    <n v="17"/>
    <x v="10"/>
    <x v="5"/>
  </r>
  <r>
    <x v="1356"/>
    <n v="-100"/>
    <x v="2274"/>
    <n v="3414"/>
    <s v="Complete Access"/>
    <x v="552"/>
    <x v="0"/>
    <x v="74"/>
    <d v="1900-01-24T00:00:00"/>
    <n v="17"/>
    <x v="10"/>
    <x v="5"/>
  </r>
  <r>
    <x v="1357"/>
    <n v="-86.38"/>
    <x v="2821"/>
    <n v="3546.97"/>
    <s v="Complete Access"/>
    <x v="1"/>
    <x v="1"/>
    <x v="1"/>
    <d v="1900-01-21T00:00:00"/>
    <n v="17"/>
    <x v="10"/>
    <x v="5"/>
  </r>
  <r>
    <x v="1357"/>
    <n v="-32.97"/>
    <x v="2822"/>
    <n v="3514"/>
    <s v="Complete Access"/>
    <x v="34"/>
    <x v="9"/>
    <x v="12"/>
    <d v="1900-01-21T00:00:00"/>
    <n v="17"/>
    <x v="10"/>
    <x v="5"/>
  </r>
  <r>
    <x v="1358"/>
    <n v="-10.27"/>
    <x v="2823"/>
    <n v="3667.34"/>
    <s v="Complete Access"/>
    <x v="215"/>
    <x v="1"/>
    <x v="1"/>
    <d v="1900-01-20T00:00:00"/>
    <n v="17"/>
    <x v="10"/>
    <x v="5"/>
  </r>
  <r>
    <x v="1358"/>
    <n v="-33.99"/>
    <x v="2824"/>
    <n v="3633.35"/>
    <s v="Complete Access"/>
    <x v="34"/>
    <x v="9"/>
    <x v="12"/>
    <d v="1900-01-20T00:00:00"/>
    <n v="17"/>
    <x v="10"/>
    <x v="5"/>
  </r>
  <r>
    <x v="1359"/>
    <n v="-16.440000000000001"/>
    <x v="2688"/>
    <n v="3677.61"/>
    <s v="Complete Access"/>
    <x v="177"/>
    <x v="1"/>
    <x v="1"/>
    <d v="1900-01-18T00:00:00"/>
    <n v="17"/>
    <x v="10"/>
    <x v="5"/>
  </r>
  <r>
    <x v="1360"/>
    <n v="-185.33"/>
    <x v="2825"/>
    <n v="4372.04"/>
    <s v="Complete Access"/>
    <x v="438"/>
    <x v="12"/>
    <x v="21"/>
    <d v="1900-01-17T00:00:00"/>
    <n v="16"/>
    <x v="10"/>
    <x v="5"/>
  </r>
  <r>
    <x v="1360"/>
    <n v="-577.99"/>
    <x v="2826"/>
    <n v="3794.05"/>
    <s v="Complete Access"/>
    <x v="93"/>
    <x v="9"/>
    <x v="36"/>
    <d v="1900-01-17T00:00:00"/>
    <n v="16"/>
    <x v="10"/>
    <x v="5"/>
  </r>
  <r>
    <x v="1360"/>
    <n v="-100"/>
    <x v="2274"/>
    <n v="3694.05"/>
    <s v="Complete Access"/>
    <x v="552"/>
    <x v="0"/>
    <x v="74"/>
    <d v="1900-01-17T00:00:00"/>
    <n v="16"/>
    <x v="10"/>
    <x v="5"/>
  </r>
  <r>
    <x v="1361"/>
    <n v="-0.9"/>
    <x v="2643"/>
    <n v="4571.87"/>
    <s v="Complete Access"/>
    <x v="215"/>
    <x v="1"/>
    <x v="1"/>
    <d v="1900-01-16T00:00:00"/>
    <n v="16"/>
    <x v="10"/>
    <x v="5"/>
  </r>
  <r>
    <x v="1361"/>
    <n v="-14.5"/>
    <x v="2700"/>
    <n v="4557.37"/>
    <s v="Complete Access"/>
    <x v="243"/>
    <x v="1"/>
    <x v="23"/>
    <d v="1900-01-16T00:00:00"/>
    <n v="16"/>
    <x v="10"/>
    <x v="5"/>
  </r>
  <r>
    <x v="1362"/>
    <n v="2053.4899999999998"/>
    <x v="2827"/>
    <n v="5072.7700000000004"/>
    <s v="Complete Access"/>
    <x v="14"/>
    <x v="6"/>
    <x v="9"/>
    <d v="1900-01-15T00:00:00"/>
    <n v="16"/>
    <x v="10"/>
    <x v="5"/>
  </r>
  <r>
    <x v="1362"/>
    <n v="-500"/>
    <x v="2294"/>
    <n v="4572.7700000000004"/>
    <s v="Complete Access"/>
    <x v="571"/>
    <x v="19"/>
    <x v="61"/>
    <d v="1900-01-15T00:00:00"/>
    <n v="16"/>
    <x v="10"/>
    <x v="5"/>
  </r>
  <r>
    <x v="1363"/>
    <n v="-16"/>
    <x v="2828"/>
    <n v="2895.73"/>
    <s v="Complete Access"/>
    <x v="658"/>
    <x v="4"/>
    <x v="52"/>
    <d v="1900-01-14T00:00:00"/>
    <n v="16"/>
    <x v="10"/>
    <x v="5"/>
  </r>
  <r>
    <x v="1363"/>
    <n v="61.77"/>
    <x v="2282"/>
    <n v="2957.5"/>
    <s v="Complete Access"/>
    <x v="567"/>
    <x v="0"/>
    <x v="69"/>
    <d v="1900-01-14T00:00:00"/>
    <n v="16"/>
    <x v="10"/>
    <x v="5"/>
  </r>
  <r>
    <x v="1363"/>
    <n v="61.78"/>
    <x v="2556"/>
    <n v="3019.28"/>
    <s v="Complete Access"/>
    <x v="583"/>
    <x v="0"/>
    <x v="69"/>
    <d v="1900-01-14T00:00:00"/>
    <n v="16"/>
    <x v="10"/>
    <x v="5"/>
  </r>
  <r>
    <x v="1364"/>
    <n v="-50.9"/>
    <x v="2643"/>
    <n v="2911.73"/>
    <s v="Complete Access"/>
    <x v="215"/>
    <x v="1"/>
    <x v="1"/>
    <d v="1900-01-12T00:00:00"/>
    <n v="16"/>
    <x v="10"/>
    <x v="5"/>
  </r>
  <r>
    <x v="1365"/>
    <n v="-100"/>
    <x v="2274"/>
    <n v="2962.63"/>
    <s v="Complete Access"/>
    <x v="552"/>
    <x v="0"/>
    <x v="74"/>
    <d v="1900-01-10T00:00:00"/>
    <n v="15"/>
    <x v="10"/>
    <x v="5"/>
  </r>
  <r>
    <x v="1366"/>
    <n v="-65"/>
    <x v="2829"/>
    <n v="3062.63"/>
    <s v="Complete Access"/>
    <x v="27"/>
    <x v="1"/>
    <x v="5"/>
    <d v="1900-01-09T00:00:00"/>
    <n v="15"/>
    <x v="10"/>
    <x v="5"/>
  </r>
  <r>
    <x v="1366"/>
    <n v="-39.479999999999997"/>
    <x v="2643"/>
    <n v="3127.63"/>
    <s v="Complete Access"/>
    <x v="215"/>
    <x v="1"/>
    <x v="1"/>
    <d v="1900-01-09T00:00:00"/>
    <n v="15"/>
    <x v="10"/>
    <x v="5"/>
  </r>
  <r>
    <x v="1366"/>
    <n v="-29.95"/>
    <x v="2688"/>
    <n v="3167.11"/>
    <s v="Complete Access"/>
    <x v="177"/>
    <x v="1"/>
    <x v="1"/>
    <d v="1900-01-09T00:00:00"/>
    <n v="15"/>
    <x v="10"/>
    <x v="5"/>
  </r>
  <r>
    <x v="1367"/>
    <n v="-73.5"/>
    <x v="2830"/>
    <n v="3272.56"/>
    <s v="Complete Access"/>
    <x v="8"/>
    <x v="1"/>
    <x v="5"/>
    <d v="1900-01-07T00:00:00"/>
    <n v="15"/>
    <x v="10"/>
    <x v="5"/>
  </r>
  <r>
    <x v="1367"/>
    <n v="-75.5"/>
    <x v="2543"/>
    <n v="3197.06"/>
    <s v="Complete Access"/>
    <x v="17"/>
    <x v="7"/>
    <x v="11"/>
    <d v="1900-01-07T00:00:00"/>
    <n v="15"/>
    <x v="10"/>
    <x v="5"/>
  </r>
  <r>
    <x v="1368"/>
    <n v="13.5"/>
    <x v="2831"/>
    <n v="3346.06"/>
    <s v="Complete Access"/>
    <x v="0"/>
    <x v="0"/>
    <x v="0"/>
    <d v="1900-01-06T00:00:00"/>
    <n v="15"/>
    <x v="10"/>
    <x v="5"/>
  </r>
  <r>
    <x v="1368"/>
    <n v="-27.18"/>
    <x v="2832"/>
    <n v="3349.26"/>
    <s v="Complete Access"/>
    <x v="1"/>
    <x v="1"/>
    <x v="1"/>
    <d v="1900-01-06T00:00:00"/>
    <n v="15"/>
    <x v="10"/>
    <x v="5"/>
  </r>
  <r>
    <x v="1368"/>
    <n v="-16.7"/>
    <x v="2833"/>
    <n v="3332.56"/>
    <s v="Complete Access"/>
    <x v="34"/>
    <x v="9"/>
    <x v="12"/>
    <d v="1900-01-06T00:00:00"/>
    <n v="15"/>
    <x v="10"/>
    <x v="5"/>
  </r>
  <r>
    <x v="1369"/>
    <n v="-100"/>
    <x v="2274"/>
    <n v="3421.35"/>
    <s v="Complete Access"/>
    <x v="552"/>
    <x v="0"/>
    <x v="74"/>
    <d v="1900-01-03T00:00:00"/>
    <n v="14"/>
    <x v="10"/>
    <x v="5"/>
  </r>
  <r>
    <x v="1369"/>
    <n v="-44.91"/>
    <x v="2639"/>
    <n v="3376.44"/>
    <s v="Complete Access"/>
    <x v="4"/>
    <x v="1"/>
    <x v="1"/>
    <d v="1900-01-03T00:00:00"/>
    <n v="14"/>
    <x v="10"/>
    <x v="5"/>
  </r>
  <r>
    <x v="1370"/>
    <n v="-16"/>
    <x v="2834"/>
    <n v="4243.3500000000004"/>
    <s v="Complete Access"/>
    <x v="593"/>
    <x v="1"/>
    <x v="5"/>
    <d v="1900-01-01T00:00:00"/>
    <n v="14"/>
    <x v="10"/>
    <x v="5"/>
  </r>
  <r>
    <x v="1370"/>
    <n v="2053.4899999999998"/>
    <x v="2835"/>
    <n v="4299.3500000000004"/>
    <s v="Complete Access"/>
    <x v="14"/>
    <x v="6"/>
    <x v="9"/>
    <d v="1900-01-01T00:00:00"/>
    <n v="14"/>
    <x v="10"/>
    <x v="5"/>
  </r>
  <r>
    <x v="1370"/>
    <n v="-500"/>
    <x v="2294"/>
    <n v="3521.35"/>
    <s v="Complete Access"/>
    <x v="571"/>
    <x v="19"/>
    <x v="61"/>
    <d v="1900-01-01T00:00:00"/>
    <n v="14"/>
    <x v="10"/>
    <x v="5"/>
  </r>
  <r>
    <x v="1370"/>
    <n v="-40"/>
    <x v="2836"/>
    <n v="4259.3500000000004"/>
    <s v="Complete Access"/>
    <x v="104"/>
    <x v="1"/>
    <x v="5"/>
    <d v="1900-01-01T00:00:00"/>
    <n v="14"/>
    <x v="10"/>
    <x v="5"/>
  </r>
  <r>
    <x v="1370"/>
    <n v="-17"/>
    <x v="2837"/>
    <n v="4226.3500000000004"/>
    <s v="Complete Access"/>
    <x v="1"/>
    <x v="1"/>
    <x v="1"/>
    <d v="1900-01-01T00:00:00"/>
    <n v="14"/>
    <x v="10"/>
    <x v="5"/>
  </r>
  <r>
    <x v="1370"/>
    <n v="-205"/>
    <x v="2838"/>
    <n v="4021.35"/>
    <s v="Complete Access"/>
    <x v="659"/>
    <x v="4"/>
    <x v="30"/>
    <d v="1900-01-01T00:00:00"/>
    <n v="14"/>
    <x v="10"/>
    <x v="5"/>
  </r>
  <r>
    <x v="1371"/>
    <n v="-48.5"/>
    <x v="2839"/>
    <n v="2463.64"/>
    <s v="Complete Access"/>
    <x v="593"/>
    <x v="1"/>
    <x v="5"/>
    <d v="1899-12-31T00:00:00"/>
    <n v="14"/>
    <x v="10"/>
    <x v="5"/>
  </r>
  <r>
    <x v="1371"/>
    <n v="-61"/>
    <x v="2839"/>
    <n v="2512.14"/>
    <s v="Complete Access"/>
    <x v="593"/>
    <x v="1"/>
    <x v="5"/>
    <d v="1899-12-31T00:00:00"/>
    <n v="14"/>
    <x v="10"/>
    <x v="5"/>
  </r>
  <r>
    <x v="1371"/>
    <n v="-20"/>
    <x v="2229"/>
    <n v="2574.54"/>
    <s v="Complete Access"/>
    <x v="557"/>
    <x v="7"/>
    <x v="53"/>
    <d v="1899-12-31T00:00:00"/>
    <n v="14"/>
    <x v="10"/>
    <x v="5"/>
  </r>
  <r>
    <x v="1371"/>
    <n v="-1.4"/>
    <x v="2840"/>
    <n v="2573.14"/>
    <s v="Complete Access"/>
    <x v="104"/>
    <x v="1"/>
    <x v="5"/>
    <d v="1899-12-31T00:00:00"/>
    <n v="14"/>
    <x v="10"/>
    <x v="5"/>
  </r>
  <r>
    <x v="1371"/>
    <n v="-172.3"/>
    <x v="2841"/>
    <n v="2245.86"/>
    <s v="Complete Access"/>
    <x v="76"/>
    <x v="2"/>
    <x v="2"/>
    <d v="1899-12-31T00:00:00"/>
    <n v="14"/>
    <x v="10"/>
    <x v="5"/>
  </r>
  <r>
    <x v="1371"/>
    <n v="-45.48"/>
    <x v="2842"/>
    <n v="2418.16"/>
    <s v="Complete Access"/>
    <x v="34"/>
    <x v="9"/>
    <x v="12"/>
    <d v="1899-12-31T00:00:00"/>
    <n v="14"/>
    <x v="10"/>
    <x v="5"/>
  </r>
  <r>
    <x v="1372"/>
    <n v="-178"/>
    <x v="2843"/>
    <n v="2594.54"/>
    <s v="Complete Access"/>
    <x v="29"/>
    <x v="4"/>
    <x v="19"/>
    <d v="1900-01-30T00:00:00"/>
    <n v="14"/>
    <x v="11"/>
    <x v="5"/>
  </r>
  <r>
    <x v="1372"/>
    <n v="-1"/>
    <x v="2844"/>
    <n v="2772.54"/>
    <s v="Complete Access"/>
    <x v="27"/>
    <x v="1"/>
    <x v="5"/>
    <d v="1900-01-30T00:00:00"/>
    <n v="14"/>
    <x v="11"/>
    <x v="5"/>
  </r>
  <r>
    <x v="1373"/>
    <n v="-43.38"/>
    <x v="2756"/>
    <n v="2773.54"/>
    <s v="Complete Access"/>
    <x v="177"/>
    <x v="1"/>
    <x v="1"/>
    <d v="1900-01-29T00:00:00"/>
    <n v="14"/>
    <x v="11"/>
    <x v="5"/>
  </r>
  <r>
    <x v="1374"/>
    <n v="-15.5"/>
    <x v="2845"/>
    <n v="2868.92"/>
    <s v="Complete Access"/>
    <x v="8"/>
    <x v="1"/>
    <x v="5"/>
    <d v="1900-01-27T00:00:00"/>
    <n v="13"/>
    <x v="11"/>
    <x v="5"/>
  </r>
  <r>
    <x v="1374"/>
    <n v="-100"/>
    <x v="2274"/>
    <n v="2884.42"/>
    <s v="Complete Access"/>
    <x v="552"/>
    <x v="0"/>
    <x v="74"/>
    <d v="1900-01-27T00:00:00"/>
    <n v="13"/>
    <x v="11"/>
    <x v="5"/>
  </r>
  <r>
    <x v="1374"/>
    <n v="-52"/>
    <x v="2846"/>
    <n v="2816.92"/>
    <s v="Complete Access"/>
    <x v="104"/>
    <x v="1"/>
    <x v="5"/>
    <d v="1900-01-27T00:00:00"/>
    <n v="13"/>
    <x v="11"/>
    <x v="5"/>
  </r>
  <r>
    <x v="1375"/>
    <n v="-11.17"/>
    <x v="2847"/>
    <n v="3253.42"/>
    <s v="Complete Access"/>
    <x v="16"/>
    <x v="1"/>
    <x v="5"/>
    <d v="1900-01-26T00:00:00"/>
    <n v="13"/>
    <x v="11"/>
    <x v="5"/>
  </r>
  <r>
    <x v="1375"/>
    <n v="-9.99"/>
    <x v="2848"/>
    <n v="3264.59"/>
    <s v="Complete Access"/>
    <x v="373"/>
    <x v="8"/>
    <x v="7"/>
    <d v="1900-01-26T00:00:00"/>
    <n v="13"/>
    <x v="11"/>
    <x v="5"/>
  </r>
  <r>
    <x v="1375"/>
    <n v="-269"/>
    <x v="2849"/>
    <n v="2984.42"/>
    <s v="Complete Access"/>
    <x v="191"/>
    <x v="10"/>
    <x v="13"/>
    <d v="1900-01-26T00:00:00"/>
    <n v="13"/>
    <x v="11"/>
    <x v="5"/>
  </r>
  <r>
    <x v="1376"/>
    <n v="157.65"/>
    <x v="2850"/>
    <n v="3436.96"/>
    <s v="Complete Access"/>
    <x v="660"/>
    <x v="4"/>
    <x v="52"/>
    <d v="1900-01-25T00:00:00"/>
    <n v="13"/>
    <x v="11"/>
    <x v="5"/>
  </r>
  <r>
    <x v="1376"/>
    <n v="-157.65"/>
    <x v="2851"/>
    <n v="3279.31"/>
    <s v="Complete Access"/>
    <x v="660"/>
    <x v="4"/>
    <x v="52"/>
    <d v="1900-01-25T00:00:00"/>
    <n v="13"/>
    <x v="11"/>
    <x v="5"/>
  </r>
  <r>
    <x v="1376"/>
    <n v="-4.7300000000000004"/>
    <x v="2852"/>
    <n v="3274.58"/>
    <s v="Complete Access"/>
    <x v="10"/>
    <x v="0"/>
    <x v="0"/>
    <d v="1900-01-25T00:00:00"/>
    <n v="13"/>
    <x v="11"/>
    <x v="5"/>
  </r>
  <r>
    <x v="1377"/>
    <n v="-21.89"/>
    <x v="2853"/>
    <n v="3482.7"/>
    <s v="Complete Access"/>
    <x v="8"/>
    <x v="1"/>
    <x v="5"/>
    <d v="1900-01-24T00:00:00"/>
    <n v="13"/>
    <x v="11"/>
    <x v="5"/>
  </r>
  <r>
    <x v="1377"/>
    <n v="-17.420000000000002"/>
    <x v="2854"/>
    <n v="3300.28"/>
    <s v="Complete Access"/>
    <x v="8"/>
    <x v="1"/>
    <x v="5"/>
    <d v="1900-01-24T00:00:00"/>
    <n v="13"/>
    <x v="11"/>
    <x v="5"/>
  </r>
  <r>
    <x v="1377"/>
    <n v="-150"/>
    <x v="2855"/>
    <n v="3317.7"/>
    <s v="Complete Access"/>
    <x v="661"/>
    <x v="4"/>
    <x v="52"/>
    <d v="1900-01-24T00:00:00"/>
    <n v="13"/>
    <x v="11"/>
    <x v="5"/>
  </r>
  <r>
    <x v="1377"/>
    <n v="-11.17"/>
    <x v="2856"/>
    <n v="3289.11"/>
    <s v="Complete Access"/>
    <x v="16"/>
    <x v="1"/>
    <x v="5"/>
    <d v="1900-01-24T00:00:00"/>
    <n v="13"/>
    <x v="11"/>
    <x v="5"/>
  </r>
  <r>
    <x v="1377"/>
    <n v="-15"/>
    <x v="2857"/>
    <n v="3467.7"/>
    <s v="Complete Access"/>
    <x v="104"/>
    <x v="1"/>
    <x v="5"/>
    <d v="1900-01-24T00:00:00"/>
    <n v="13"/>
    <x v="11"/>
    <x v="5"/>
  </r>
  <r>
    <x v="1377"/>
    <n v="-9.8000000000000007"/>
    <x v="2858"/>
    <n v="3279.31"/>
    <s v="Complete Access"/>
    <x v="34"/>
    <x v="9"/>
    <x v="12"/>
    <d v="1900-01-24T00:00:00"/>
    <n v="13"/>
    <x v="11"/>
    <x v="5"/>
  </r>
  <r>
    <x v="1378"/>
    <n v="-3.69"/>
    <x v="2859"/>
    <n v="3519.59"/>
    <s v="Complete Access"/>
    <x v="61"/>
    <x v="1"/>
    <x v="1"/>
    <d v="1900-01-23T00:00:00"/>
    <n v="13"/>
    <x v="11"/>
    <x v="5"/>
  </r>
  <r>
    <x v="1378"/>
    <n v="-40"/>
    <x v="2860"/>
    <n v="3583.45"/>
    <s v="Complete Access"/>
    <x v="12"/>
    <x v="5"/>
    <x v="8"/>
    <d v="1900-01-23T00:00:00"/>
    <n v="13"/>
    <x v="11"/>
    <x v="5"/>
  </r>
  <r>
    <x v="1378"/>
    <n v="-11.17"/>
    <x v="2861"/>
    <n v="3523.28"/>
    <s v="Complete Access"/>
    <x v="16"/>
    <x v="1"/>
    <x v="5"/>
    <d v="1900-01-23T00:00:00"/>
    <n v="13"/>
    <x v="11"/>
    <x v="5"/>
  </r>
  <r>
    <x v="1378"/>
    <n v="-49"/>
    <x v="2862"/>
    <n v="3534.45"/>
    <s v="Complete Access"/>
    <x v="104"/>
    <x v="1"/>
    <x v="5"/>
    <d v="1900-01-23T00:00:00"/>
    <n v="13"/>
    <x v="11"/>
    <x v="5"/>
  </r>
  <r>
    <x v="1378"/>
    <n v="-15"/>
    <x v="2863"/>
    <n v="3504.59"/>
    <s v="Complete Access"/>
    <x v="186"/>
    <x v="1"/>
    <x v="5"/>
    <d v="1900-01-23T00:00:00"/>
    <n v="13"/>
    <x v="11"/>
    <x v="5"/>
  </r>
  <r>
    <x v="1379"/>
    <n v="-27.94"/>
    <x v="2864"/>
    <n v="3735.45"/>
    <s v="Complete Access"/>
    <x v="8"/>
    <x v="1"/>
    <x v="5"/>
    <d v="1900-01-20T00:00:00"/>
    <n v="12"/>
    <x v="11"/>
    <x v="5"/>
  </r>
  <r>
    <x v="1379"/>
    <n v="-100"/>
    <x v="2274"/>
    <n v="3623.45"/>
    <s v="Complete Access"/>
    <x v="552"/>
    <x v="0"/>
    <x v="74"/>
    <d v="1900-01-20T00:00:00"/>
    <n v="12"/>
    <x v="11"/>
    <x v="5"/>
  </r>
  <r>
    <x v="1379"/>
    <n v="-12"/>
    <x v="2865"/>
    <n v="3723.45"/>
    <s v="Complete Access"/>
    <x v="662"/>
    <x v="1"/>
    <x v="5"/>
    <d v="1900-01-20T00:00:00"/>
    <n v="12"/>
    <x v="11"/>
    <x v="5"/>
  </r>
  <r>
    <x v="1380"/>
    <n v="-0.94"/>
    <x v="2859"/>
    <n v="3781.44"/>
    <s v="Complete Access"/>
    <x v="61"/>
    <x v="1"/>
    <x v="1"/>
    <d v="1900-01-19T00:00:00"/>
    <n v="12"/>
    <x v="11"/>
    <x v="5"/>
  </r>
  <r>
    <x v="1380"/>
    <n v="-18.05"/>
    <x v="2762"/>
    <n v="3763.39"/>
    <s v="Complete Access"/>
    <x v="616"/>
    <x v="1"/>
    <x v="1"/>
    <d v="1900-01-19T00:00:00"/>
    <n v="12"/>
    <x v="11"/>
    <x v="5"/>
  </r>
  <r>
    <x v="1381"/>
    <n v="-3"/>
    <x v="2859"/>
    <n v="3782.38"/>
    <s v="Complete Access"/>
    <x v="61"/>
    <x v="1"/>
    <x v="1"/>
    <d v="1900-01-18T00:00:00"/>
    <n v="12"/>
    <x v="11"/>
    <x v="5"/>
  </r>
  <r>
    <x v="1381"/>
    <n v="2053.4899999999998"/>
    <x v="2866"/>
    <n v="4296.55"/>
    <s v="Complete Access"/>
    <x v="14"/>
    <x v="6"/>
    <x v="9"/>
    <d v="1900-01-18T00:00:00"/>
    <n v="12"/>
    <x v="11"/>
    <x v="5"/>
  </r>
  <r>
    <x v="1381"/>
    <n v="-500"/>
    <x v="2294"/>
    <n v="3796.55"/>
    <s v="Complete Access"/>
    <x v="571"/>
    <x v="19"/>
    <x v="61"/>
    <d v="1900-01-18T00:00:00"/>
    <n v="12"/>
    <x v="11"/>
    <x v="5"/>
  </r>
  <r>
    <x v="1381"/>
    <n v="-11.17"/>
    <x v="2867"/>
    <n v="3785.38"/>
    <s v="Complete Access"/>
    <x v="16"/>
    <x v="1"/>
    <x v="5"/>
    <d v="1900-01-18T00:00:00"/>
    <n v="12"/>
    <x v="11"/>
    <x v="5"/>
  </r>
  <r>
    <x v="1382"/>
    <n v="-3.32"/>
    <x v="2859"/>
    <n v="2257.56"/>
    <s v="Complete Access"/>
    <x v="61"/>
    <x v="1"/>
    <x v="1"/>
    <d v="1900-01-17T00:00:00"/>
    <n v="12"/>
    <x v="11"/>
    <x v="5"/>
  </r>
  <r>
    <x v="1382"/>
    <n v="-47.49"/>
    <x v="2868"/>
    <n v="2260.88"/>
    <s v="Complete Access"/>
    <x v="8"/>
    <x v="1"/>
    <x v="5"/>
    <d v="1900-01-17T00:00:00"/>
    <n v="12"/>
    <x v="11"/>
    <x v="5"/>
  </r>
  <r>
    <x v="1382"/>
    <n v="-23.49"/>
    <x v="2869"/>
    <n v="2323.37"/>
    <s v="Complete Access"/>
    <x v="8"/>
    <x v="1"/>
    <x v="5"/>
    <d v="1900-01-17T00:00:00"/>
    <n v="12"/>
    <x v="11"/>
    <x v="5"/>
  </r>
  <r>
    <x v="1382"/>
    <n v="-84.59"/>
    <x v="2870"/>
    <n v="2346.86"/>
    <s v="Complete Access"/>
    <x v="8"/>
    <x v="1"/>
    <x v="5"/>
    <d v="1900-01-17T00:00:00"/>
    <n v="12"/>
    <x v="11"/>
    <x v="5"/>
  </r>
  <r>
    <x v="1382"/>
    <n v="-40"/>
    <x v="2871"/>
    <n v="2431.4499999999998"/>
    <s v="Complete Access"/>
    <x v="12"/>
    <x v="5"/>
    <x v="8"/>
    <d v="1900-01-17T00:00:00"/>
    <n v="12"/>
    <x v="11"/>
    <x v="5"/>
  </r>
  <r>
    <x v="1382"/>
    <n v="-15"/>
    <x v="2872"/>
    <n v="2308.37"/>
    <s v="Complete Access"/>
    <x v="186"/>
    <x v="1"/>
    <x v="5"/>
    <d v="1900-01-17T00:00:00"/>
    <n v="12"/>
    <x v="11"/>
    <x v="5"/>
  </r>
  <r>
    <x v="1382"/>
    <n v="-14.5"/>
    <x v="2863"/>
    <n v="2243.06"/>
    <s v="Complete Access"/>
    <x v="186"/>
    <x v="1"/>
    <x v="5"/>
    <d v="1900-01-17T00:00:00"/>
    <n v="12"/>
    <x v="11"/>
    <x v="5"/>
  </r>
  <r>
    <x v="1383"/>
    <n v="-4"/>
    <x v="2859"/>
    <n v="2500.11"/>
    <s v="Complete Access"/>
    <x v="61"/>
    <x v="1"/>
    <x v="1"/>
    <d v="1900-01-16T00:00:00"/>
    <n v="12"/>
    <x v="11"/>
    <x v="5"/>
  </r>
  <r>
    <x v="1383"/>
    <n v="-1.17"/>
    <x v="2859"/>
    <n v="2504.11"/>
    <s v="Complete Access"/>
    <x v="61"/>
    <x v="1"/>
    <x v="1"/>
    <d v="1900-01-16T00:00:00"/>
    <n v="12"/>
    <x v="11"/>
    <x v="5"/>
  </r>
  <r>
    <x v="1383"/>
    <n v="-11.17"/>
    <x v="2873"/>
    <n v="2505.2800000000002"/>
    <s v="Complete Access"/>
    <x v="16"/>
    <x v="1"/>
    <x v="5"/>
    <d v="1900-01-16T00:00:00"/>
    <n v="12"/>
    <x v="11"/>
    <x v="5"/>
  </r>
  <r>
    <x v="1383"/>
    <n v="-15.61"/>
    <x v="2874"/>
    <n v="2484.5"/>
    <s v="Complete Access"/>
    <x v="663"/>
    <x v="1"/>
    <x v="1"/>
    <d v="1900-01-16T00:00:00"/>
    <n v="12"/>
    <x v="11"/>
    <x v="5"/>
  </r>
  <r>
    <x v="1383"/>
    <n v="-13.05"/>
    <x v="2688"/>
    <n v="2471.4499999999998"/>
    <s v="Complete Access"/>
    <x v="177"/>
    <x v="1"/>
    <x v="1"/>
    <d v="1900-01-16T00:00:00"/>
    <n v="12"/>
    <x v="11"/>
    <x v="5"/>
  </r>
  <r>
    <x v="1383"/>
    <n v="-12"/>
    <x v="2875"/>
    <n v="2516.4499999999998"/>
    <s v="Complete Access"/>
    <x v="664"/>
    <x v="1"/>
    <x v="5"/>
    <d v="1900-01-16T00:00:00"/>
    <n v="12"/>
    <x v="11"/>
    <x v="5"/>
  </r>
  <r>
    <x v="1384"/>
    <n v="-2.02"/>
    <x v="2859"/>
    <n v="2553.36"/>
    <s v="Complete Access"/>
    <x v="61"/>
    <x v="1"/>
    <x v="1"/>
    <d v="1900-01-15T00:00:00"/>
    <n v="12"/>
    <x v="11"/>
    <x v="5"/>
  </r>
  <r>
    <x v="1384"/>
    <n v="-8.35"/>
    <x v="2762"/>
    <n v="2541.02"/>
    <s v="Complete Access"/>
    <x v="616"/>
    <x v="1"/>
    <x v="1"/>
    <d v="1900-01-15T00:00:00"/>
    <n v="12"/>
    <x v="11"/>
    <x v="5"/>
  </r>
  <r>
    <x v="1384"/>
    <n v="-12.57"/>
    <x v="2643"/>
    <n v="2528.4499999999998"/>
    <s v="Complete Access"/>
    <x v="215"/>
    <x v="1"/>
    <x v="1"/>
    <d v="1900-01-15T00:00:00"/>
    <n v="12"/>
    <x v="11"/>
    <x v="5"/>
  </r>
  <r>
    <x v="1384"/>
    <n v="-3.99"/>
    <x v="2688"/>
    <n v="2549.37"/>
    <s v="Complete Access"/>
    <x v="177"/>
    <x v="1"/>
    <x v="1"/>
    <d v="1900-01-15T00:00:00"/>
    <n v="12"/>
    <x v="11"/>
    <x v="5"/>
  </r>
  <r>
    <x v="1385"/>
    <n v="13"/>
    <x v="2876"/>
    <n v="2555.38"/>
    <s v="Complete Access"/>
    <x v="27"/>
    <x v="1"/>
    <x v="5"/>
    <d v="1900-01-14T00:00:00"/>
    <n v="12"/>
    <x v="11"/>
    <x v="5"/>
  </r>
  <r>
    <x v="1386"/>
    <n v="-36"/>
    <x v="2877"/>
    <n v="2576.5500000000002"/>
    <s v="Complete Access"/>
    <x v="665"/>
    <x v="8"/>
    <x v="22"/>
    <d v="1900-01-13T00:00:00"/>
    <n v="11"/>
    <x v="11"/>
    <x v="5"/>
  </r>
  <r>
    <x v="1386"/>
    <n v="-45"/>
    <x v="2878"/>
    <n v="2520.38"/>
    <s v="Complete Access"/>
    <x v="666"/>
    <x v="8"/>
    <x v="22"/>
    <d v="1900-01-13T00:00:00"/>
    <n v="11"/>
    <x v="11"/>
    <x v="5"/>
  </r>
  <r>
    <x v="1386"/>
    <n v="-11.17"/>
    <x v="2879"/>
    <n v="2565.38"/>
    <s v="Complete Access"/>
    <x v="16"/>
    <x v="1"/>
    <x v="5"/>
    <d v="1900-01-13T00:00:00"/>
    <n v="11"/>
    <x v="11"/>
    <x v="5"/>
  </r>
  <r>
    <x v="1386"/>
    <n v="-100"/>
    <x v="2274"/>
    <n v="2612.5500000000002"/>
    <s v="Complete Access"/>
    <x v="552"/>
    <x v="0"/>
    <x v="74"/>
    <d v="1900-01-13T00:00:00"/>
    <n v="11"/>
    <x v="11"/>
    <x v="5"/>
  </r>
  <r>
    <x v="1386"/>
    <n v="48"/>
    <x v="2494"/>
    <n v="2542.38"/>
    <s v="Complete Access"/>
    <x v="27"/>
    <x v="1"/>
    <x v="5"/>
    <d v="1900-01-13T00:00:00"/>
    <n v="11"/>
    <x v="11"/>
    <x v="5"/>
  </r>
  <r>
    <x v="1386"/>
    <n v="-26"/>
    <x v="2880"/>
    <n v="2494.38"/>
    <s v="Complete Access"/>
    <x v="667"/>
    <x v="1"/>
    <x v="23"/>
    <d v="1900-01-13T00:00:00"/>
    <n v="11"/>
    <x v="11"/>
    <x v="5"/>
  </r>
  <r>
    <x v="1387"/>
    <n v="-39.99"/>
    <x v="2881"/>
    <n v="2757.66"/>
    <s v="Complete Access"/>
    <x v="8"/>
    <x v="1"/>
    <x v="5"/>
    <d v="1900-01-12T00:00:00"/>
    <n v="11"/>
    <x v="11"/>
    <x v="5"/>
  </r>
  <r>
    <x v="1387"/>
    <n v="-35.9"/>
    <x v="2882"/>
    <n v="2721.76"/>
    <s v="Complete Access"/>
    <x v="8"/>
    <x v="1"/>
    <x v="5"/>
    <d v="1900-01-12T00:00:00"/>
    <n v="11"/>
    <x v="11"/>
    <x v="5"/>
  </r>
  <r>
    <x v="1387"/>
    <n v="-9.2100000000000009"/>
    <x v="2643"/>
    <n v="2712.55"/>
    <s v="Complete Access"/>
    <x v="215"/>
    <x v="1"/>
    <x v="1"/>
    <d v="1900-01-12T00:00:00"/>
    <n v="11"/>
    <x v="11"/>
    <x v="5"/>
  </r>
  <r>
    <x v="1388"/>
    <n v="-31.5"/>
    <x v="2883"/>
    <n v="2815.71"/>
    <s v="Complete Access"/>
    <x v="668"/>
    <x v="15"/>
    <x v="34"/>
    <d v="1900-01-11T00:00:00"/>
    <n v="11"/>
    <x v="11"/>
    <x v="5"/>
  </r>
  <r>
    <x v="1388"/>
    <n v="-28.35"/>
    <x v="2884"/>
    <n v="2847.21"/>
    <s v="Complete Access"/>
    <x v="668"/>
    <x v="15"/>
    <x v="34"/>
    <d v="1900-01-11T00:00:00"/>
    <n v="11"/>
    <x v="11"/>
    <x v="5"/>
  </r>
  <r>
    <x v="1388"/>
    <n v="-18.059999999999999"/>
    <x v="2885"/>
    <n v="2797.65"/>
    <s v="Complete Access"/>
    <x v="237"/>
    <x v="15"/>
    <x v="34"/>
    <d v="1900-01-11T00:00:00"/>
    <n v="11"/>
    <x v="11"/>
    <x v="5"/>
  </r>
  <r>
    <x v="1389"/>
    <n v="-26.39"/>
    <x v="2886"/>
    <n v="3098.66"/>
    <s v="Complete Access"/>
    <x v="8"/>
    <x v="1"/>
    <x v="5"/>
    <d v="1900-01-10T00:00:00"/>
    <n v="11"/>
    <x v="11"/>
    <x v="5"/>
  </r>
  <r>
    <x v="1389"/>
    <n v="-11.25"/>
    <x v="2887"/>
    <n v="3223.43"/>
    <s v="Complete Access"/>
    <x v="8"/>
    <x v="1"/>
    <x v="5"/>
    <d v="1900-01-10T00:00:00"/>
    <n v="11"/>
    <x v="11"/>
    <x v="5"/>
  </r>
  <r>
    <x v="1389"/>
    <n v="-58.89"/>
    <x v="2888"/>
    <n v="3125.05"/>
    <s v="Complete Access"/>
    <x v="8"/>
    <x v="1"/>
    <x v="5"/>
    <d v="1900-01-10T00:00:00"/>
    <n v="11"/>
    <x v="11"/>
    <x v="5"/>
  </r>
  <r>
    <x v="1389"/>
    <n v="-39.49"/>
    <x v="2888"/>
    <n v="3183.94"/>
    <s v="Complete Access"/>
    <x v="8"/>
    <x v="1"/>
    <x v="5"/>
    <d v="1900-01-10T00:00:00"/>
    <n v="11"/>
    <x v="11"/>
    <x v="5"/>
  </r>
  <r>
    <x v="1389"/>
    <n v="-10.68"/>
    <x v="2889"/>
    <n v="3234.68"/>
    <s v="Complete Access"/>
    <x v="285"/>
    <x v="5"/>
    <x v="8"/>
    <d v="1900-01-10T00:00:00"/>
    <n v="11"/>
    <x v="11"/>
    <x v="5"/>
  </r>
  <r>
    <x v="1389"/>
    <n v="-40"/>
    <x v="2890"/>
    <n v="3245.36"/>
    <s v="Complete Access"/>
    <x v="12"/>
    <x v="5"/>
    <x v="8"/>
    <d v="1900-01-10T00:00:00"/>
    <n v="11"/>
    <x v="11"/>
    <x v="5"/>
  </r>
  <r>
    <x v="1389"/>
    <n v="-7"/>
    <x v="2891"/>
    <n v="3025.66"/>
    <s v="Complete Access"/>
    <x v="669"/>
    <x v="1"/>
    <x v="5"/>
    <d v="1900-01-10T00:00:00"/>
    <n v="11"/>
    <x v="11"/>
    <x v="5"/>
  </r>
  <r>
    <x v="1389"/>
    <n v="-40"/>
    <x v="2892"/>
    <n v="2985.66"/>
    <s v="Complete Access"/>
    <x v="670"/>
    <x v="8"/>
    <x v="29"/>
    <d v="1900-01-10T00:00:00"/>
    <n v="11"/>
    <x v="11"/>
    <x v="5"/>
  </r>
  <r>
    <x v="1389"/>
    <n v="-110.1"/>
    <x v="2543"/>
    <n v="2875.56"/>
    <s v="Complete Access"/>
    <x v="17"/>
    <x v="7"/>
    <x v="11"/>
    <d v="1900-01-10T00:00:00"/>
    <n v="11"/>
    <x v="11"/>
    <x v="5"/>
  </r>
  <r>
    <x v="1389"/>
    <n v="-33.5"/>
    <x v="2893"/>
    <n v="3032.66"/>
    <s v="Complete Access"/>
    <x v="425"/>
    <x v="8"/>
    <x v="29"/>
    <d v="1900-01-10T00:00:00"/>
    <n v="11"/>
    <x v="11"/>
    <x v="5"/>
  </r>
  <r>
    <x v="1389"/>
    <n v="-21"/>
    <x v="2893"/>
    <n v="3066.16"/>
    <s v="Complete Access"/>
    <x v="425"/>
    <x v="8"/>
    <x v="29"/>
    <d v="1900-01-10T00:00:00"/>
    <n v="11"/>
    <x v="11"/>
    <x v="5"/>
  </r>
  <r>
    <x v="1389"/>
    <n v="-11.5"/>
    <x v="2893"/>
    <n v="3087.16"/>
    <s v="Complete Access"/>
    <x v="425"/>
    <x v="8"/>
    <x v="29"/>
    <d v="1900-01-10T00:00:00"/>
    <n v="11"/>
    <x v="11"/>
    <x v="5"/>
  </r>
  <r>
    <x v="1390"/>
    <n v="-21.89"/>
    <x v="2894"/>
    <n v="3429.76"/>
    <s v="Complete Access"/>
    <x v="8"/>
    <x v="1"/>
    <x v="5"/>
    <d v="1900-01-09T00:00:00"/>
    <n v="11"/>
    <x v="11"/>
    <x v="5"/>
  </r>
  <r>
    <x v="1390"/>
    <n v="-26.94"/>
    <x v="2895"/>
    <n v="3451.65"/>
    <s v="Complete Access"/>
    <x v="8"/>
    <x v="1"/>
    <x v="5"/>
    <d v="1900-01-09T00:00:00"/>
    <n v="11"/>
    <x v="11"/>
    <x v="5"/>
  </r>
  <r>
    <x v="1390"/>
    <n v="-9.07"/>
    <x v="2896"/>
    <n v="3478.59"/>
    <s v="Complete Access"/>
    <x v="285"/>
    <x v="5"/>
    <x v="8"/>
    <d v="1900-01-09T00:00:00"/>
    <n v="11"/>
    <x v="11"/>
    <x v="5"/>
  </r>
  <r>
    <x v="1390"/>
    <n v="-31.5"/>
    <x v="2897"/>
    <n v="3285.36"/>
    <s v="Complete Access"/>
    <x v="559"/>
    <x v="20"/>
    <x v="63"/>
    <d v="1900-01-09T00:00:00"/>
    <n v="11"/>
    <x v="11"/>
    <x v="5"/>
  </r>
  <r>
    <x v="1390"/>
    <n v="-15"/>
    <x v="2898"/>
    <n v="3345.85"/>
    <s v="Complete Access"/>
    <x v="562"/>
    <x v="1"/>
    <x v="5"/>
    <d v="1900-01-09T00:00:00"/>
    <n v="11"/>
    <x v="11"/>
    <x v="5"/>
  </r>
  <r>
    <x v="1390"/>
    <n v="-11.17"/>
    <x v="2899"/>
    <n v="3360.85"/>
    <s v="Complete Access"/>
    <x v="16"/>
    <x v="1"/>
    <x v="5"/>
    <d v="1900-01-09T00:00:00"/>
    <n v="11"/>
    <x v="11"/>
    <x v="5"/>
  </r>
  <r>
    <x v="1390"/>
    <n v="-22.75"/>
    <x v="2900"/>
    <n v="3407.01"/>
    <s v="Complete Access"/>
    <x v="177"/>
    <x v="1"/>
    <x v="1"/>
    <d v="1900-01-09T00:00:00"/>
    <n v="11"/>
    <x v="11"/>
    <x v="5"/>
  </r>
  <r>
    <x v="1390"/>
    <n v="-34.99"/>
    <x v="2901"/>
    <n v="3372.02"/>
    <s v="Complete Access"/>
    <x v="587"/>
    <x v="8"/>
    <x v="22"/>
    <d v="1900-01-09T00:00:00"/>
    <n v="11"/>
    <x v="11"/>
    <x v="5"/>
  </r>
  <r>
    <x v="1390"/>
    <n v="-28.99"/>
    <x v="2902"/>
    <n v="3316.86"/>
    <s v="Complete Access"/>
    <x v="44"/>
    <x v="4"/>
    <x v="27"/>
    <d v="1900-01-09T00:00:00"/>
    <n v="11"/>
    <x v="11"/>
    <x v="5"/>
  </r>
  <r>
    <x v="1391"/>
    <n v="-16.600000000000001"/>
    <x v="2903"/>
    <n v="3487.66"/>
    <s v="Complete Access"/>
    <x v="671"/>
    <x v="8"/>
    <x v="29"/>
    <d v="1900-01-08T00:00:00"/>
    <n v="11"/>
    <x v="11"/>
    <x v="5"/>
  </r>
  <r>
    <x v="1391"/>
    <n v="-16.600000000000001"/>
    <x v="2903"/>
    <n v="3504.26"/>
    <s v="Complete Access"/>
    <x v="671"/>
    <x v="8"/>
    <x v="29"/>
    <d v="1900-01-08T00:00:00"/>
    <n v="11"/>
    <x v="11"/>
    <x v="5"/>
  </r>
  <r>
    <x v="1392"/>
    <n v="30"/>
    <x v="2904"/>
    <n v="3520.86"/>
    <s v="Complete Access"/>
    <x v="27"/>
    <x v="1"/>
    <x v="5"/>
    <d v="1900-01-06T00:00:00"/>
    <n v="10"/>
    <x v="11"/>
    <x v="5"/>
  </r>
  <r>
    <x v="1392"/>
    <n v="-100"/>
    <x v="2274"/>
    <n v="3498.46"/>
    <s v="Complete Access"/>
    <x v="552"/>
    <x v="0"/>
    <x v="74"/>
    <d v="1900-01-06T00:00:00"/>
    <n v="10"/>
    <x v="11"/>
    <x v="5"/>
  </r>
  <r>
    <x v="1392"/>
    <n v="-7.6"/>
    <x v="2905"/>
    <n v="3490.86"/>
    <s v="Complete Access"/>
    <x v="580"/>
    <x v="9"/>
    <x v="12"/>
    <d v="1900-01-06T00:00:00"/>
    <n v="10"/>
    <x v="11"/>
    <x v="5"/>
  </r>
  <r>
    <x v="1393"/>
    <n v="57.51"/>
    <x v="2282"/>
    <n v="3713.51"/>
    <s v="Complete Access"/>
    <x v="567"/>
    <x v="0"/>
    <x v="69"/>
    <d v="1900-01-05T00:00:00"/>
    <n v="10"/>
    <x v="11"/>
    <x v="5"/>
  </r>
  <r>
    <x v="1393"/>
    <n v="57.5"/>
    <x v="2556"/>
    <n v="3771.01"/>
    <s v="Complete Access"/>
    <x v="583"/>
    <x v="0"/>
    <x v="69"/>
    <d v="1900-01-05T00:00:00"/>
    <n v="10"/>
    <x v="11"/>
    <x v="5"/>
  </r>
  <r>
    <x v="1393"/>
    <n v="-172.55"/>
    <x v="2906"/>
    <n v="3598.46"/>
    <s v="Complete Access"/>
    <x v="438"/>
    <x v="12"/>
    <x v="21"/>
    <d v="1900-01-05T00:00:00"/>
    <n v="10"/>
    <x v="11"/>
    <x v="5"/>
  </r>
  <r>
    <x v="1393"/>
    <n v="-14"/>
    <x v="2907"/>
    <n v="3656"/>
    <s v="Complete Access"/>
    <x v="277"/>
    <x v="8"/>
    <x v="29"/>
    <d v="1900-01-05T00:00:00"/>
    <n v="10"/>
    <x v="11"/>
    <x v="5"/>
  </r>
  <r>
    <x v="1394"/>
    <n v="2053.4899999999998"/>
    <x v="2293"/>
    <n v="5106"/>
    <s v="Complete Access"/>
    <x v="14"/>
    <x v="6"/>
    <x v="9"/>
    <d v="1900-01-04T00:00:00"/>
    <n v="10"/>
    <x v="11"/>
    <x v="5"/>
  </r>
  <r>
    <x v="1394"/>
    <n v="-500"/>
    <x v="2294"/>
    <n v="4581"/>
    <s v="Complete Access"/>
    <x v="571"/>
    <x v="19"/>
    <x v="61"/>
    <d v="1900-01-04T00:00:00"/>
    <n v="10"/>
    <x v="11"/>
    <x v="5"/>
  </r>
  <r>
    <x v="1394"/>
    <n v="-911"/>
    <x v="2908"/>
    <n v="3670"/>
    <s v="Complete Access"/>
    <x v="0"/>
    <x v="0"/>
    <x v="0"/>
    <d v="1900-01-04T00:00:00"/>
    <n v="10"/>
    <x v="11"/>
    <x v="5"/>
  </r>
  <r>
    <x v="1394"/>
    <n v="-25"/>
    <x v="2909"/>
    <n v="5081"/>
    <s v="Complete Access"/>
    <x v="672"/>
    <x v="8"/>
    <x v="22"/>
    <d v="1900-01-04T00:00:00"/>
    <n v="10"/>
    <x v="11"/>
    <x v="5"/>
  </r>
  <r>
    <x v="1395"/>
    <n v="-4.24"/>
    <x v="2859"/>
    <n v="3057.52"/>
    <s v="Complete Access"/>
    <x v="61"/>
    <x v="1"/>
    <x v="1"/>
    <d v="1900-01-03T00:00:00"/>
    <n v="10"/>
    <x v="11"/>
    <x v="5"/>
  </r>
  <r>
    <x v="1395"/>
    <n v="-51.76"/>
    <x v="2910"/>
    <n v="3061.76"/>
    <s v="Complete Access"/>
    <x v="673"/>
    <x v="8"/>
    <x v="29"/>
    <d v="1900-01-03T00:00:00"/>
    <n v="10"/>
    <x v="11"/>
    <x v="5"/>
  </r>
  <r>
    <x v="1395"/>
    <n v="-18.68"/>
    <x v="2911"/>
    <n v="3158.41"/>
    <s v="Complete Access"/>
    <x v="8"/>
    <x v="1"/>
    <x v="5"/>
    <d v="1900-01-03T00:00:00"/>
    <n v="10"/>
    <x v="11"/>
    <x v="5"/>
  </r>
  <r>
    <x v="1395"/>
    <n v="-44.89"/>
    <x v="2912"/>
    <n v="3113.52"/>
    <s v="Complete Access"/>
    <x v="8"/>
    <x v="1"/>
    <x v="5"/>
    <d v="1900-01-03T00:00:00"/>
    <n v="10"/>
    <x v="11"/>
    <x v="5"/>
  </r>
  <r>
    <x v="1395"/>
    <n v="-11.17"/>
    <x v="2913"/>
    <n v="3177.09"/>
    <s v="Complete Access"/>
    <x v="16"/>
    <x v="1"/>
    <x v="5"/>
    <d v="1900-01-03T00:00:00"/>
    <n v="10"/>
    <x v="11"/>
    <x v="5"/>
  </r>
  <r>
    <x v="1395"/>
    <n v="-5.01"/>
    <x v="2643"/>
    <n v="3052.51"/>
    <s v="Complete Access"/>
    <x v="215"/>
    <x v="1"/>
    <x v="1"/>
    <d v="1900-01-03T00:00:00"/>
    <n v="10"/>
    <x v="11"/>
    <x v="5"/>
  </r>
  <r>
    <x v="1396"/>
    <n v="-1.72"/>
    <x v="2859"/>
    <n v="3225.31"/>
    <s v="Complete Access"/>
    <x v="61"/>
    <x v="1"/>
    <x v="1"/>
    <d v="1900-01-02T00:00:00"/>
    <n v="10"/>
    <x v="11"/>
    <x v="5"/>
  </r>
  <r>
    <x v="1396"/>
    <n v="-21.65"/>
    <x v="2762"/>
    <n v="3188.26"/>
    <s v="Complete Access"/>
    <x v="616"/>
    <x v="1"/>
    <x v="1"/>
    <d v="1900-01-02T00:00:00"/>
    <n v="10"/>
    <x v="11"/>
    <x v="5"/>
  </r>
  <r>
    <x v="1396"/>
    <n v="-15.4"/>
    <x v="2863"/>
    <n v="3209.91"/>
    <s v="Complete Access"/>
    <x v="186"/>
    <x v="1"/>
    <x v="5"/>
    <d v="1900-01-02T00:00:00"/>
    <n v="10"/>
    <x v="11"/>
    <x v="5"/>
  </r>
  <r>
    <x v="1396"/>
    <n v="-29.99"/>
    <x v="2914"/>
    <n v="3227.03"/>
    <s v="Complete Access"/>
    <x v="228"/>
    <x v="4"/>
    <x v="7"/>
    <d v="1900-01-02T00:00:00"/>
    <n v="10"/>
    <x v="11"/>
    <x v="5"/>
  </r>
  <r>
    <x v="1397"/>
    <n v="-10.62"/>
    <x v="2915"/>
    <n v="3429.32"/>
    <s v="Complete Access"/>
    <x v="674"/>
    <x v="8"/>
    <x v="29"/>
    <d v="1900-01-01T00:00:00"/>
    <n v="10"/>
    <x v="11"/>
    <x v="5"/>
  </r>
  <r>
    <x v="1397"/>
    <n v="-6.31"/>
    <x v="2859"/>
    <n v="3447.94"/>
    <s v="Complete Access"/>
    <x v="61"/>
    <x v="1"/>
    <x v="1"/>
    <d v="1900-01-01T00:00:00"/>
    <n v="10"/>
    <x v="11"/>
    <x v="5"/>
  </r>
  <r>
    <x v="1397"/>
    <n v="-8"/>
    <x v="2916"/>
    <n v="3439.94"/>
    <s v="Complete Access"/>
    <x v="675"/>
    <x v="1"/>
    <x v="5"/>
    <d v="1900-01-01T00:00:00"/>
    <n v="10"/>
    <x v="11"/>
    <x v="5"/>
  </r>
  <r>
    <x v="1397"/>
    <n v="-172.3"/>
    <x v="2917"/>
    <n v="3257.02"/>
    <s v="Complete Access"/>
    <x v="76"/>
    <x v="2"/>
    <x v="2"/>
    <d v="1900-01-01T00:00:00"/>
    <n v="10"/>
    <x v="11"/>
    <x v="5"/>
  </r>
  <r>
    <x v="1398"/>
    <n v="-40"/>
    <x v="2918"/>
    <n v="3454.25"/>
    <s v="Complete Access"/>
    <x v="601"/>
    <x v="0"/>
    <x v="0"/>
    <d v="1899-12-31T00:00:00"/>
    <n v="10"/>
    <x v="11"/>
    <x v="5"/>
  </r>
  <r>
    <x v="1398"/>
    <n v="-22"/>
    <x v="2919"/>
    <n v="3494.25"/>
    <s v="Complete Access"/>
    <x v="676"/>
    <x v="1"/>
    <x v="5"/>
    <d v="1899-12-31T00:00:00"/>
    <n v="10"/>
    <x v="11"/>
    <x v="5"/>
  </r>
  <r>
    <x v="1398"/>
    <n v="-20"/>
    <x v="2229"/>
    <n v="3516.25"/>
    <s v="Complete Access"/>
    <x v="557"/>
    <x v="7"/>
    <x v="53"/>
    <d v="1899-12-31T00:00:00"/>
    <n v="10"/>
    <x v="11"/>
    <x v="5"/>
  </r>
  <r>
    <x v="1399"/>
    <n v="-40"/>
    <x v="2920"/>
    <n v="3649.95"/>
    <s v="Complete Access"/>
    <x v="12"/>
    <x v="5"/>
    <x v="8"/>
    <d v="1900-01-28T00:00:00"/>
    <n v="9"/>
    <x v="0"/>
    <x v="5"/>
  </r>
  <r>
    <x v="1399"/>
    <n v="-4.5599999999999996"/>
    <x v="2921"/>
    <n v="3536.25"/>
    <s v="Complete Access"/>
    <x v="677"/>
    <x v="1"/>
    <x v="1"/>
    <d v="1900-01-28T00:00:00"/>
    <n v="9"/>
    <x v="0"/>
    <x v="5"/>
  </r>
  <r>
    <x v="1399"/>
    <n v="-9.14"/>
    <x v="2922"/>
    <n v="3640.81"/>
    <s v="Complete Access"/>
    <x v="16"/>
    <x v="1"/>
    <x v="5"/>
    <d v="1900-01-28T00:00:00"/>
    <n v="9"/>
    <x v="0"/>
    <x v="5"/>
  </r>
  <r>
    <x v="1399"/>
    <n v="-100"/>
    <x v="2274"/>
    <n v="3540.81"/>
    <s v="Complete Access"/>
    <x v="552"/>
    <x v="0"/>
    <x v="74"/>
    <d v="1900-01-28T00:00:00"/>
    <n v="9"/>
    <x v="0"/>
    <x v="5"/>
  </r>
  <r>
    <x v="1400"/>
    <n v="-5.96"/>
    <x v="2859"/>
    <n v="3705.74"/>
    <s v="Complete Access"/>
    <x v="61"/>
    <x v="1"/>
    <x v="1"/>
    <d v="1900-01-27T00:00:00"/>
    <n v="9"/>
    <x v="0"/>
    <x v="5"/>
  </r>
  <r>
    <x v="1400"/>
    <n v="-23.49"/>
    <x v="2923"/>
    <n v="3821.7"/>
    <s v="Complete Access"/>
    <x v="8"/>
    <x v="1"/>
    <x v="5"/>
    <d v="1900-01-27T00:00:00"/>
    <n v="9"/>
    <x v="0"/>
    <x v="5"/>
  </r>
  <r>
    <x v="1400"/>
    <n v="-110"/>
    <x v="2924"/>
    <n v="3711.7"/>
    <s v="Complete Access"/>
    <x v="160"/>
    <x v="17"/>
    <x v="43"/>
    <d v="1900-01-27T00:00:00"/>
    <n v="9"/>
    <x v="0"/>
    <x v="5"/>
  </r>
  <r>
    <x v="1400"/>
    <n v="-7.79"/>
    <x v="2643"/>
    <n v="3689.95"/>
    <s v="Complete Access"/>
    <x v="215"/>
    <x v="1"/>
    <x v="1"/>
    <d v="1900-01-27T00:00:00"/>
    <n v="9"/>
    <x v="0"/>
    <x v="5"/>
  </r>
  <r>
    <x v="1400"/>
    <n v="-8"/>
    <x v="2925"/>
    <n v="3697.74"/>
    <s v="Complete Access"/>
    <x v="678"/>
    <x v="20"/>
    <x v="63"/>
    <d v="1900-01-27T00:00:00"/>
    <n v="9"/>
    <x v="0"/>
    <x v="5"/>
  </r>
  <r>
    <x v="1401"/>
    <n v="-11.17"/>
    <x v="2926"/>
    <n v="4145.1899999999996"/>
    <s v="Complete Access"/>
    <x v="16"/>
    <x v="1"/>
    <x v="5"/>
    <d v="1900-01-26T00:00:00"/>
    <n v="9"/>
    <x v="0"/>
    <x v="5"/>
  </r>
  <r>
    <x v="1401"/>
    <n v="-9.99"/>
    <x v="2927"/>
    <n v="4190.07"/>
    <s v="Complete Access"/>
    <x v="373"/>
    <x v="8"/>
    <x v="7"/>
    <d v="1900-01-26T00:00:00"/>
    <n v="9"/>
    <x v="0"/>
    <x v="5"/>
  </r>
  <r>
    <x v="1401"/>
    <n v="300"/>
    <x v="2928"/>
    <n v="4145.1899999999996"/>
    <s v="Complete Access"/>
    <x v="679"/>
    <x v="0"/>
    <x v="69"/>
    <d v="1900-01-26T00:00:00"/>
    <n v="9"/>
    <x v="0"/>
    <x v="5"/>
  </r>
  <r>
    <x v="1401"/>
    <n v="-300"/>
    <x v="2929"/>
    <n v="3845.19"/>
    <s v="Complete Access"/>
    <x v="645"/>
    <x v="0"/>
    <x v="69"/>
    <d v="1900-01-26T00:00:00"/>
    <n v="9"/>
    <x v="0"/>
    <x v="5"/>
  </r>
  <r>
    <x v="1401"/>
    <n v="-33.71"/>
    <x v="2930"/>
    <n v="4156.3599999999997"/>
    <s v="Complete Access"/>
    <x v="237"/>
    <x v="15"/>
    <x v="34"/>
    <d v="1900-01-26T00:00:00"/>
    <n v="9"/>
    <x v="0"/>
    <x v="5"/>
  </r>
  <r>
    <x v="1401"/>
    <n v="-300"/>
    <x v="2931"/>
    <n v="3845.19"/>
    <s v="Complete Access"/>
    <x v="0"/>
    <x v="0"/>
    <x v="0"/>
    <d v="1900-01-26T00:00:00"/>
    <n v="9"/>
    <x v="0"/>
    <x v="5"/>
  </r>
  <r>
    <x v="1402"/>
    <n v="-75.989999999999995"/>
    <x v="2932"/>
    <n v="4261.3100000000004"/>
    <s v="Complete Access"/>
    <x v="8"/>
    <x v="1"/>
    <x v="5"/>
    <d v="1900-01-25T00:00:00"/>
    <n v="9"/>
    <x v="0"/>
    <x v="5"/>
  </r>
  <r>
    <x v="1402"/>
    <n v="-17.5"/>
    <x v="2933"/>
    <n v="4337.3"/>
    <s v="Complete Access"/>
    <x v="593"/>
    <x v="1"/>
    <x v="5"/>
    <d v="1900-01-25T00:00:00"/>
    <n v="9"/>
    <x v="0"/>
    <x v="5"/>
  </r>
  <r>
    <x v="1402"/>
    <n v="-17.13"/>
    <x v="2688"/>
    <n v="4200.0600000000004"/>
    <s v="Complete Access"/>
    <x v="177"/>
    <x v="1"/>
    <x v="1"/>
    <d v="1900-01-25T00:00:00"/>
    <n v="9"/>
    <x v="0"/>
    <x v="5"/>
  </r>
  <r>
    <x v="1402"/>
    <n v="-9.9"/>
    <x v="2863"/>
    <n v="4217.1899999999996"/>
    <s v="Complete Access"/>
    <x v="186"/>
    <x v="1"/>
    <x v="5"/>
    <d v="1900-01-25T00:00:00"/>
    <n v="9"/>
    <x v="0"/>
    <x v="5"/>
  </r>
  <r>
    <x v="1402"/>
    <n v="-34.22"/>
    <x v="2934"/>
    <n v="4227.09"/>
    <s v="Complete Access"/>
    <x v="34"/>
    <x v="9"/>
    <x v="12"/>
    <d v="1900-01-25T00:00:00"/>
    <n v="9"/>
    <x v="0"/>
    <x v="5"/>
  </r>
  <r>
    <x v="1403"/>
    <n v="-40"/>
    <x v="2935"/>
    <n v="4354.8"/>
    <s v="Complete Access"/>
    <x v="12"/>
    <x v="5"/>
    <x v="8"/>
    <d v="1900-01-24T00:00:00"/>
    <n v="9"/>
    <x v="0"/>
    <x v="5"/>
  </r>
  <r>
    <x v="1404"/>
    <n v="-2.5"/>
    <x v="2859"/>
    <n v="4435.29"/>
    <s v="Complete Access"/>
    <x v="61"/>
    <x v="1"/>
    <x v="1"/>
    <d v="1900-01-23T00:00:00"/>
    <n v="9"/>
    <x v="0"/>
    <x v="5"/>
  </r>
  <r>
    <x v="1404"/>
    <n v="-1.75"/>
    <x v="2859"/>
    <n v="4437.79"/>
    <s v="Complete Access"/>
    <x v="61"/>
    <x v="1"/>
    <x v="1"/>
    <d v="1900-01-23T00:00:00"/>
    <n v="9"/>
    <x v="0"/>
    <x v="5"/>
  </r>
  <r>
    <x v="1404"/>
    <n v="-20.49"/>
    <x v="2643"/>
    <n v="4394.8"/>
    <s v="Complete Access"/>
    <x v="215"/>
    <x v="1"/>
    <x v="1"/>
    <d v="1900-01-23T00:00:00"/>
    <n v="9"/>
    <x v="0"/>
    <x v="5"/>
  </r>
  <r>
    <x v="1404"/>
    <n v="-20"/>
    <x v="2936"/>
    <n v="4415.29"/>
    <s v="Complete Access"/>
    <x v="680"/>
    <x v="1"/>
    <x v="5"/>
    <d v="1900-01-23T00:00:00"/>
    <n v="9"/>
    <x v="0"/>
    <x v="5"/>
  </r>
  <r>
    <x v="1405"/>
    <n v="55"/>
    <x v="2937"/>
    <n v="4439.54"/>
    <s v="Complete Access"/>
    <x v="567"/>
    <x v="0"/>
    <x v="69"/>
    <d v="1900-01-22T00:00:00"/>
    <n v="9"/>
    <x v="0"/>
    <x v="5"/>
  </r>
  <r>
    <x v="1406"/>
    <n v="-6.09"/>
    <x v="2938"/>
    <n v="4692.75"/>
    <s v="Complete Access"/>
    <x v="16"/>
    <x v="1"/>
    <x v="5"/>
    <d v="1900-01-21T00:00:00"/>
    <n v="8"/>
    <x v="0"/>
    <x v="5"/>
  </r>
  <r>
    <x v="1406"/>
    <n v="-6.65"/>
    <x v="2643"/>
    <n v="4384.54"/>
    <s v="Complete Access"/>
    <x v="215"/>
    <x v="1"/>
    <x v="1"/>
    <d v="1900-01-21T00:00:00"/>
    <n v="8"/>
    <x v="0"/>
    <x v="5"/>
  </r>
  <r>
    <x v="1406"/>
    <n v="-19.489999999999998"/>
    <x v="2874"/>
    <n v="4434.2700000000004"/>
    <s v="Complete Access"/>
    <x v="663"/>
    <x v="1"/>
    <x v="1"/>
    <d v="1900-01-21T00:00:00"/>
    <n v="8"/>
    <x v="0"/>
    <x v="5"/>
  </r>
  <r>
    <x v="1406"/>
    <n v="-100"/>
    <x v="2274"/>
    <n v="4536.76"/>
    <s v="Complete Access"/>
    <x v="552"/>
    <x v="0"/>
    <x v="74"/>
    <d v="1900-01-21T00:00:00"/>
    <n v="8"/>
    <x v="0"/>
    <x v="5"/>
  </r>
  <r>
    <x v="1406"/>
    <n v="-43.08"/>
    <x v="2756"/>
    <n v="4391.1899999999996"/>
    <s v="Complete Access"/>
    <x v="177"/>
    <x v="1"/>
    <x v="1"/>
    <d v="1900-01-21T00:00:00"/>
    <n v="8"/>
    <x v="0"/>
    <x v="5"/>
  </r>
  <r>
    <x v="1406"/>
    <n v="-55.99"/>
    <x v="2939"/>
    <n v="4636.76"/>
    <s v="Complete Access"/>
    <x v="222"/>
    <x v="11"/>
    <x v="14"/>
    <d v="1900-01-21T00:00:00"/>
    <n v="8"/>
    <x v="0"/>
    <x v="5"/>
  </r>
  <r>
    <x v="1406"/>
    <n v="-83"/>
    <x v="2700"/>
    <n v="4453.76"/>
    <s v="Complete Access"/>
    <x v="243"/>
    <x v="1"/>
    <x v="23"/>
    <d v="1900-01-21T00:00:00"/>
    <n v="8"/>
    <x v="0"/>
    <x v="5"/>
  </r>
  <r>
    <x v="1407"/>
    <n v="-4"/>
    <x v="2859"/>
    <n v="4667.0200000000004"/>
    <s v="Complete Access"/>
    <x v="61"/>
    <x v="1"/>
    <x v="1"/>
    <d v="1900-01-20T00:00:00"/>
    <n v="8"/>
    <x v="0"/>
    <x v="5"/>
  </r>
  <r>
    <x v="1407"/>
    <n v="50"/>
    <x v="2940"/>
    <n v="4717.0200000000004"/>
    <s v="Complete Access"/>
    <x v="567"/>
    <x v="0"/>
    <x v="69"/>
    <d v="1900-01-20T00:00:00"/>
    <n v="8"/>
    <x v="0"/>
    <x v="5"/>
  </r>
  <r>
    <x v="1407"/>
    <n v="1.35"/>
    <x v="2941"/>
    <n v="4691.3"/>
    <s v="Complete Access"/>
    <x v="6"/>
    <x v="4"/>
    <x v="4"/>
    <d v="1900-01-20T00:00:00"/>
    <n v="8"/>
    <x v="0"/>
    <x v="5"/>
  </r>
  <r>
    <x v="1407"/>
    <n v="7.54"/>
    <x v="2702"/>
    <n v="4698.84"/>
    <s v="Complete Access"/>
    <x v="6"/>
    <x v="4"/>
    <x v="4"/>
    <d v="1900-01-20T00:00:00"/>
    <n v="8"/>
    <x v="0"/>
    <x v="5"/>
  </r>
  <r>
    <x v="1407"/>
    <n v="-18.18"/>
    <x v="2942"/>
    <n v="4689.95"/>
    <s v="Complete Access"/>
    <x v="681"/>
    <x v="1"/>
    <x v="5"/>
    <d v="1900-01-20T00:00:00"/>
    <n v="8"/>
    <x v="0"/>
    <x v="5"/>
  </r>
  <r>
    <x v="1407"/>
    <n v="-8.89"/>
    <x v="2942"/>
    <n v="4708.13"/>
    <s v="Complete Access"/>
    <x v="681"/>
    <x v="1"/>
    <x v="5"/>
    <d v="1900-01-20T00:00:00"/>
    <n v="8"/>
    <x v="0"/>
    <x v="5"/>
  </r>
  <r>
    <x v="1408"/>
    <n v="2053.4899999999998"/>
    <x v="2943"/>
    <n v="5210.04"/>
    <s v="Complete Access"/>
    <x v="14"/>
    <x v="6"/>
    <x v="9"/>
    <d v="1900-01-19T00:00:00"/>
    <n v="8"/>
    <x v="0"/>
    <x v="5"/>
  </r>
  <r>
    <x v="1408"/>
    <n v="-500"/>
    <x v="2294"/>
    <n v="4676.0200000000004"/>
    <s v="Complete Access"/>
    <x v="571"/>
    <x v="19"/>
    <x v="61"/>
    <d v="1900-01-19T00:00:00"/>
    <n v="8"/>
    <x v="0"/>
    <x v="5"/>
  </r>
  <r>
    <x v="1408"/>
    <n v="-6.09"/>
    <x v="2944"/>
    <n v="5176.0200000000004"/>
    <s v="Complete Access"/>
    <x v="16"/>
    <x v="1"/>
    <x v="5"/>
    <d v="1900-01-19T00:00:00"/>
    <n v="8"/>
    <x v="0"/>
    <x v="5"/>
  </r>
  <r>
    <x v="1408"/>
    <n v="-27.93"/>
    <x v="2945"/>
    <n v="5182.1099999999997"/>
    <s v="Complete Access"/>
    <x v="668"/>
    <x v="15"/>
    <x v="34"/>
    <d v="1900-01-19T00:00:00"/>
    <n v="8"/>
    <x v="0"/>
    <x v="5"/>
  </r>
  <r>
    <x v="1408"/>
    <n v="-5"/>
    <x v="2643"/>
    <n v="4671.0200000000004"/>
    <s v="Complete Access"/>
    <x v="215"/>
    <x v="1"/>
    <x v="1"/>
    <d v="1900-01-19T00:00:00"/>
    <n v="8"/>
    <x v="0"/>
    <x v="5"/>
  </r>
  <r>
    <x v="1409"/>
    <n v="-0.93"/>
    <x v="2859"/>
    <n v="3171.55"/>
    <s v="Complete Access"/>
    <x v="61"/>
    <x v="1"/>
    <x v="1"/>
    <d v="1900-01-18T00:00:00"/>
    <n v="8"/>
    <x v="0"/>
    <x v="5"/>
  </r>
  <r>
    <x v="1409"/>
    <n v="-25.15"/>
    <x v="2946"/>
    <n v="3220.55"/>
    <s v="Complete Access"/>
    <x v="106"/>
    <x v="5"/>
    <x v="41"/>
    <d v="1900-01-18T00:00:00"/>
    <n v="8"/>
    <x v="0"/>
    <x v="5"/>
  </r>
  <r>
    <x v="1409"/>
    <n v="-20.99"/>
    <x v="2947"/>
    <n v="3178.57"/>
    <s v="Complete Access"/>
    <x v="8"/>
    <x v="1"/>
    <x v="5"/>
    <d v="1900-01-18T00:00:00"/>
    <n v="8"/>
    <x v="0"/>
    <x v="5"/>
  </r>
  <r>
    <x v="1409"/>
    <n v="-20.99"/>
    <x v="2947"/>
    <n v="3199.56"/>
    <s v="Complete Access"/>
    <x v="8"/>
    <x v="1"/>
    <x v="5"/>
    <d v="1900-01-18T00:00:00"/>
    <n v="8"/>
    <x v="0"/>
    <x v="5"/>
  </r>
  <r>
    <x v="1409"/>
    <n v="-15"/>
    <x v="2948"/>
    <n v="3156.55"/>
    <s v="Complete Access"/>
    <x v="562"/>
    <x v="1"/>
    <x v="5"/>
    <d v="1900-01-18T00:00:00"/>
    <n v="8"/>
    <x v="0"/>
    <x v="5"/>
  </r>
  <r>
    <x v="1409"/>
    <n v="-6.09"/>
    <x v="2949"/>
    <n v="3172.48"/>
    <s v="Complete Access"/>
    <x v="16"/>
    <x v="1"/>
    <x v="5"/>
    <d v="1900-01-18T00:00:00"/>
    <n v="8"/>
    <x v="0"/>
    <x v="5"/>
  </r>
  <r>
    <x v="1410"/>
    <n v="-40"/>
    <x v="2950"/>
    <n v="3537.26"/>
    <s v="Complete Access"/>
    <x v="12"/>
    <x v="5"/>
    <x v="8"/>
    <d v="1900-01-17T00:00:00"/>
    <n v="8"/>
    <x v="0"/>
    <x v="5"/>
  </r>
  <r>
    <x v="1410"/>
    <n v="-11.17"/>
    <x v="2951"/>
    <n v="3526.09"/>
    <s v="Complete Access"/>
    <x v="16"/>
    <x v="1"/>
    <x v="5"/>
    <d v="1900-01-17T00:00:00"/>
    <n v="8"/>
    <x v="0"/>
    <x v="5"/>
  </r>
  <r>
    <x v="1410"/>
    <n v="-30.39"/>
    <x v="2688"/>
    <n v="3245.7"/>
    <s v="Complete Access"/>
    <x v="177"/>
    <x v="1"/>
    <x v="1"/>
    <d v="1900-01-17T00:00:00"/>
    <n v="8"/>
    <x v="0"/>
    <x v="5"/>
  </r>
  <r>
    <x v="1410"/>
    <n v="-250"/>
    <x v="2952"/>
    <n v="3276.09"/>
    <s v="Complete Access"/>
    <x v="0"/>
    <x v="0"/>
    <x v="0"/>
    <d v="1900-01-17T00:00:00"/>
    <n v="8"/>
    <x v="0"/>
    <x v="5"/>
  </r>
  <r>
    <x v="1411"/>
    <n v="-250"/>
    <x v="2953"/>
    <n v="3577.26"/>
    <s v="Complete Access"/>
    <x v="265"/>
    <x v="8"/>
    <x v="22"/>
    <d v="1900-01-16T00:00:00"/>
    <n v="8"/>
    <x v="0"/>
    <x v="5"/>
  </r>
  <r>
    <x v="1411"/>
    <n v="-5.87"/>
    <x v="2859"/>
    <n v="4830.96"/>
    <s v="Complete Access"/>
    <x v="61"/>
    <x v="1"/>
    <x v="1"/>
    <d v="1900-01-16T00:00:00"/>
    <n v="8"/>
    <x v="0"/>
    <x v="5"/>
  </r>
  <r>
    <x v="1411"/>
    <n v="-3.7"/>
    <x v="2916"/>
    <n v="3827.26"/>
    <s v="Complete Access"/>
    <x v="675"/>
    <x v="1"/>
    <x v="5"/>
    <d v="1900-01-16T00:00:00"/>
    <n v="8"/>
    <x v="0"/>
    <x v="5"/>
  </r>
  <r>
    <x v="1411"/>
    <n v="-1000"/>
    <x v="2954"/>
    <n v="3830.96"/>
    <s v="Complete Access"/>
    <x v="504"/>
    <x v="0"/>
    <x v="72"/>
    <d v="1900-01-16T00:00:00"/>
    <n v="8"/>
    <x v="0"/>
    <x v="5"/>
  </r>
  <r>
    <x v="1412"/>
    <n v="300"/>
    <x v="2955"/>
    <n v="4836.83"/>
    <s v="Complete Access"/>
    <x v="645"/>
    <x v="0"/>
    <x v="69"/>
    <d v="1900-01-15T00:00:00"/>
    <n v="8"/>
    <x v="0"/>
    <x v="5"/>
  </r>
  <r>
    <x v="1413"/>
    <n v="-250"/>
    <x v="2956"/>
    <n v="4588.83"/>
    <s v="Complete Access"/>
    <x v="601"/>
    <x v="0"/>
    <x v="0"/>
    <d v="1900-01-14T00:00:00"/>
    <n v="7"/>
    <x v="0"/>
    <x v="5"/>
  </r>
  <r>
    <x v="1413"/>
    <n v="-10.5"/>
    <x v="2957"/>
    <n v="4970.83"/>
    <s v="Complete Access"/>
    <x v="682"/>
    <x v="1"/>
    <x v="5"/>
    <d v="1900-01-14T00:00:00"/>
    <n v="7"/>
    <x v="0"/>
    <x v="5"/>
  </r>
  <r>
    <x v="1413"/>
    <n v="-26.5"/>
    <x v="2958"/>
    <n v="4536.83"/>
    <s v="Complete Access"/>
    <x v="683"/>
    <x v="1"/>
    <x v="5"/>
    <d v="1900-01-14T00:00:00"/>
    <n v="7"/>
    <x v="0"/>
    <x v="5"/>
  </r>
  <r>
    <x v="1413"/>
    <n v="-25.5"/>
    <x v="2958"/>
    <n v="4563.33"/>
    <s v="Complete Access"/>
    <x v="683"/>
    <x v="1"/>
    <x v="5"/>
    <d v="1900-01-14T00:00:00"/>
    <n v="7"/>
    <x v="0"/>
    <x v="5"/>
  </r>
  <r>
    <x v="1413"/>
    <n v="-100"/>
    <x v="2274"/>
    <n v="4870.83"/>
    <s v="Complete Access"/>
    <x v="552"/>
    <x v="0"/>
    <x v="74"/>
    <d v="1900-01-14T00:00:00"/>
    <n v="7"/>
    <x v="0"/>
    <x v="5"/>
  </r>
  <r>
    <x v="1413"/>
    <n v="-32"/>
    <x v="2700"/>
    <n v="4838.83"/>
    <s v="Complete Access"/>
    <x v="243"/>
    <x v="1"/>
    <x v="23"/>
    <d v="1900-01-14T00:00:00"/>
    <n v="7"/>
    <x v="0"/>
    <x v="5"/>
  </r>
  <r>
    <x v="1414"/>
    <n v="-29"/>
    <x v="2959"/>
    <n v="6018.43"/>
    <s v="Complete Access"/>
    <x v="347"/>
    <x v="3"/>
    <x v="62"/>
    <d v="1900-01-13T00:00:00"/>
    <n v="7"/>
    <x v="0"/>
    <x v="5"/>
  </r>
  <r>
    <x v="1414"/>
    <n v="-1000"/>
    <x v="2954"/>
    <n v="4981.33"/>
    <s v="Complete Access"/>
    <x v="504"/>
    <x v="0"/>
    <x v="72"/>
    <d v="1900-01-13T00:00:00"/>
    <n v="7"/>
    <x v="0"/>
    <x v="5"/>
  </r>
  <r>
    <x v="1414"/>
    <n v="-37.1"/>
    <x v="2960"/>
    <n v="5981.33"/>
    <s v="Complete Access"/>
    <x v="34"/>
    <x v="9"/>
    <x v="12"/>
    <d v="1900-01-13T00:00:00"/>
    <n v="7"/>
    <x v="0"/>
    <x v="5"/>
  </r>
  <r>
    <x v="1415"/>
    <n v="-3"/>
    <x v="2961"/>
    <n v="6058.43"/>
    <s v="Complete Access"/>
    <x v="8"/>
    <x v="1"/>
    <x v="5"/>
    <d v="1900-01-12T00:00:00"/>
    <n v="7"/>
    <x v="0"/>
    <x v="5"/>
  </r>
  <r>
    <x v="1415"/>
    <n v="7.9"/>
    <x v="2962"/>
    <n v="6084.42"/>
    <s v="Complete Access"/>
    <x v="8"/>
    <x v="1"/>
    <x v="5"/>
    <d v="1900-01-12T00:00:00"/>
    <n v="7"/>
    <x v="0"/>
    <x v="5"/>
  </r>
  <r>
    <x v="1415"/>
    <n v="-22.99"/>
    <x v="2963"/>
    <n v="6061.43"/>
    <s v="Complete Access"/>
    <x v="684"/>
    <x v="3"/>
    <x v="60"/>
    <d v="1900-01-12T00:00:00"/>
    <n v="7"/>
    <x v="0"/>
    <x v="5"/>
  </r>
  <r>
    <x v="1415"/>
    <n v="-11"/>
    <x v="2964"/>
    <n v="6047.43"/>
    <s v="Complete Access"/>
    <x v="662"/>
    <x v="1"/>
    <x v="5"/>
    <d v="1900-01-12T00:00:00"/>
    <n v="7"/>
    <x v="0"/>
    <x v="5"/>
  </r>
  <r>
    <x v="1416"/>
    <n v="-1.89"/>
    <x v="2859"/>
    <n v="6143.51"/>
    <s v="Complete Access"/>
    <x v="61"/>
    <x v="1"/>
    <x v="1"/>
    <d v="1900-01-11T00:00:00"/>
    <n v="7"/>
    <x v="0"/>
    <x v="5"/>
  </r>
  <r>
    <x v="1416"/>
    <n v="-29"/>
    <x v="2961"/>
    <n v="6154.3"/>
    <s v="Complete Access"/>
    <x v="8"/>
    <x v="1"/>
    <x v="5"/>
    <d v="1900-01-11T00:00:00"/>
    <n v="7"/>
    <x v="0"/>
    <x v="5"/>
  </r>
  <r>
    <x v="1416"/>
    <n v="-45.74"/>
    <x v="2961"/>
    <n v="6183.3"/>
    <s v="Complete Access"/>
    <x v="8"/>
    <x v="1"/>
    <x v="5"/>
    <d v="1900-01-11T00:00:00"/>
    <n v="7"/>
    <x v="0"/>
    <x v="5"/>
  </r>
  <r>
    <x v="1416"/>
    <n v="-40"/>
    <x v="2965"/>
    <n v="6229.04"/>
    <s v="Complete Access"/>
    <x v="12"/>
    <x v="5"/>
    <x v="8"/>
    <d v="1900-01-11T00:00:00"/>
    <n v="7"/>
    <x v="0"/>
    <x v="5"/>
  </r>
  <r>
    <x v="1416"/>
    <n v="-66.989999999999995"/>
    <x v="2756"/>
    <n v="6076.52"/>
    <s v="Complete Access"/>
    <x v="177"/>
    <x v="1"/>
    <x v="1"/>
    <d v="1900-01-11T00:00:00"/>
    <n v="7"/>
    <x v="0"/>
    <x v="5"/>
  </r>
  <r>
    <x v="1416"/>
    <n v="-8.9"/>
    <x v="2966"/>
    <n v="6145.4"/>
    <s v="Complete Access"/>
    <x v="277"/>
    <x v="8"/>
    <x v="29"/>
    <d v="1900-01-11T00:00:00"/>
    <n v="7"/>
    <x v="0"/>
    <x v="5"/>
  </r>
  <r>
    <x v="1417"/>
    <n v="-30.89"/>
    <x v="2967"/>
    <n v="6512.75"/>
    <s v="Complete Access"/>
    <x v="8"/>
    <x v="1"/>
    <x v="5"/>
    <d v="1900-01-10T00:00:00"/>
    <n v="7"/>
    <x v="0"/>
    <x v="5"/>
  </r>
  <r>
    <x v="1417"/>
    <n v="-21"/>
    <x v="2967"/>
    <n v="6543.64"/>
    <s v="Complete Access"/>
    <x v="8"/>
    <x v="1"/>
    <x v="5"/>
    <d v="1900-01-10T00:00:00"/>
    <n v="7"/>
    <x v="0"/>
    <x v="5"/>
  </r>
  <r>
    <x v="1417"/>
    <n v="-8.3000000000000007"/>
    <x v="2968"/>
    <n v="6318.4"/>
    <s v="Complete Access"/>
    <x v="682"/>
    <x v="1"/>
    <x v="5"/>
    <d v="1900-01-10T00:00:00"/>
    <n v="7"/>
    <x v="0"/>
    <x v="5"/>
  </r>
  <r>
    <x v="1417"/>
    <n v="-186.05"/>
    <x v="2969"/>
    <n v="6326.7"/>
    <s v="Complete Access"/>
    <x v="438"/>
    <x v="12"/>
    <x v="21"/>
    <d v="1900-01-10T00:00:00"/>
    <n v="7"/>
    <x v="0"/>
    <x v="5"/>
  </r>
  <r>
    <x v="1417"/>
    <n v="-29.93"/>
    <x v="2643"/>
    <n v="6288.47"/>
    <s v="Complete Access"/>
    <x v="215"/>
    <x v="1"/>
    <x v="1"/>
    <d v="1900-01-10T00:00:00"/>
    <n v="7"/>
    <x v="0"/>
    <x v="5"/>
  </r>
  <r>
    <x v="1417"/>
    <n v="62"/>
    <x v="2282"/>
    <n v="6269.04"/>
    <s v="Complete Access"/>
    <x v="567"/>
    <x v="0"/>
    <x v="69"/>
    <d v="1900-01-10T00:00:00"/>
    <n v="7"/>
    <x v="0"/>
    <x v="5"/>
  </r>
  <r>
    <x v="1417"/>
    <n v="-81.430000000000007"/>
    <x v="2543"/>
    <n v="6207.04"/>
    <s v="Complete Access"/>
    <x v="17"/>
    <x v="7"/>
    <x v="11"/>
    <d v="1900-01-10T00:00:00"/>
    <n v="7"/>
    <x v="0"/>
    <x v="5"/>
  </r>
  <r>
    <x v="1418"/>
    <n v="-4.75"/>
    <x v="2859"/>
    <n v="6580.73"/>
    <s v="Complete Access"/>
    <x v="61"/>
    <x v="1"/>
    <x v="1"/>
    <d v="1900-01-09T00:00:00"/>
    <n v="7"/>
    <x v="0"/>
    <x v="5"/>
  </r>
  <r>
    <x v="1418"/>
    <n v="-16.09"/>
    <x v="2643"/>
    <n v="6564.64"/>
    <s v="Complete Access"/>
    <x v="215"/>
    <x v="1"/>
    <x v="1"/>
    <d v="1900-01-09T00:00:00"/>
    <n v="7"/>
    <x v="0"/>
    <x v="5"/>
  </r>
  <r>
    <x v="1419"/>
    <n v="-100"/>
    <x v="2274"/>
    <n v="6585.48"/>
    <s v="Complete Access"/>
    <x v="552"/>
    <x v="0"/>
    <x v="74"/>
    <d v="1900-01-07T00:00:00"/>
    <n v="6"/>
    <x v="0"/>
    <x v="5"/>
  </r>
  <r>
    <x v="1420"/>
    <n v="-20"/>
    <x v="2970"/>
    <n v="6712.48"/>
    <s v="Complete Access"/>
    <x v="601"/>
    <x v="0"/>
    <x v="0"/>
    <d v="1900-01-06T00:00:00"/>
    <n v="6"/>
    <x v="0"/>
    <x v="5"/>
  </r>
  <r>
    <x v="1420"/>
    <n v="-27"/>
    <x v="2971"/>
    <n v="6685.48"/>
    <s v="Complete Access"/>
    <x v="0"/>
    <x v="0"/>
    <x v="0"/>
    <d v="1900-01-06T00:00:00"/>
    <n v="6"/>
    <x v="0"/>
    <x v="5"/>
  </r>
  <r>
    <x v="1421"/>
    <n v="-40"/>
    <x v="2972"/>
    <n v="8239.4699999999993"/>
    <s v="Complete Access"/>
    <x v="12"/>
    <x v="5"/>
    <x v="8"/>
    <d v="1900-01-05T00:00:00"/>
    <n v="6"/>
    <x v="0"/>
    <x v="5"/>
  </r>
  <r>
    <x v="1421"/>
    <n v="2053.4899999999998"/>
    <x v="2734"/>
    <n v="8779.4699999999993"/>
    <s v="Complete Access"/>
    <x v="14"/>
    <x v="6"/>
    <x v="9"/>
    <d v="1900-01-05T00:00:00"/>
    <n v="6"/>
    <x v="0"/>
    <x v="5"/>
  </r>
  <r>
    <x v="1421"/>
    <n v="-500"/>
    <x v="2294"/>
    <n v="8279.4699999999993"/>
    <s v="Complete Access"/>
    <x v="571"/>
    <x v="19"/>
    <x v="61"/>
    <d v="1900-01-05T00:00:00"/>
    <n v="6"/>
    <x v="0"/>
    <x v="5"/>
  </r>
  <r>
    <x v="1421"/>
    <n v="-1500"/>
    <x v="2954"/>
    <n v="6732.48"/>
    <s v="Complete Access"/>
    <x v="504"/>
    <x v="0"/>
    <x v="72"/>
    <d v="1900-01-05T00:00:00"/>
    <n v="6"/>
    <x v="0"/>
    <x v="5"/>
  </r>
  <r>
    <x v="1421"/>
    <n v="-6.99"/>
    <x v="2973"/>
    <n v="8232.48"/>
    <s v="Complete Access"/>
    <x v="587"/>
    <x v="8"/>
    <x v="22"/>
    <d v="1900-01-05T00:00:00"/>
    <n v="6"/>
    <x v="0"/>
    <x v="5"/>
  </r>
  <r>
    <x v="1422"/>
    <n v="-1.22"/>
    <x v="2859"/>
    <n v="6742.14"/>
    <s v="Complete Access"/>
    <x v="61"/>
    <x v="1"/>
    <x v="1"/>
    <d v="1900-01-04T00:00:00"/>
    <n v="6"/>
    <x v="0"/>
    <x v="5"/>
  </r>
  <r>
    <x v="1422"/>
    <n v="-21.49"/>
    <x v="2974"/>
    <n v="6804.35"/>
    <s v="Complete Access"/>
    <x v="8"/>
    <x v="1"/>
    <x v="5"/>
    <d v="1900-01-04T00:00:00"/>
    <n v="6"/>
    <x v="0"/>
    <x v="5"/>
  </r>
  <r>
    <x v="1422"/>
    <n v="-23.99"/>
    <x v="2975"/>
    <n v="6743.36"/>
    <s v="Complete Access"/>
    <x v="8"/>
    <x v="1"/>
    <x v="5"/>
    <d v="1900-01-04T00:00:00"/>
    <n v="6"/>
    <x v="0"/>
    <x v="5"/>
  </r>
  <r>
    <x v="1422"/>
    <n v="-37"/>
    <x v="2976"/>
    <n v="6767.35"/>
    <s v="Complete Access"/>
    <x v="8"/>
    <x v="1"/>
    <x v="5"/>
    <d v="1900-01-04T00:00:00"/>
    <n v="6"/>
    <x v="0"/>
    <x v="5"/>
  </r>
  <r>
    <x v="1422"/>
    <n v="-16.16"/>
    <x v="2643"/>
    <n v="6725.98"/>
    <s v="Complete Access"/>
    <x v="215"/>
    <x v="1"/>
    <x v="1"/>
    <d v="1900-01-04T00:00:00"/>
    <n v="6"/>
    <x v="0"/>
    <x v="5"/>
  </r>
  <r>
    <x v="1423"/>
    <n v="-4.63"/>
    <x v="2859"/>
    <n v="6595.04"/>
    <s v="Complete Access"/>
    <x v="61"/>
    <x v="1"/>
    <x v="1"/>
    <d v="1900-01-03T00:00:00"/>
    <n v="6"/>
    <x v="0"/>
    <x v="5"/>
  </r>
  <r>
    <x v="1423"/>
    <n v="250"/>
    <x v="2977"/>
    <n v="6828.34"/>
    <s v="Complete Access"/>
    <x v="645"/>
    <x v="0"/>
    <x v="69"/>
    <d v="1900-01-03T00:00:00"/>
    <n v="6"/>
    <x v="0"/>
    <x v="5"/>
  </r>
  <r>
    <x v="1423"/>
    <n v="-8.5"/>
    <x v="2863"/>
    <n v="6578.34"/>
    <s v="Complete Access"/>
    <x v="186"/>
    <x v="1"/>
    <x v="5"/>
    <d v="1900-01-03T00:00:00"/>
    <n v="6"/>
    <x v="0"/>
    <x v="5"/>
  </r>
  <r>
    <x v="1423"/>
    <n v="-8.1999999999999993"/>
    <x v="2978"/>
    <n v="6586.84"/>
    <s v="Complete Access"/>
    <x v="277"/>
    <x v="8"/>
    <x v="29"/>
    <d v="1900-01-03T00:00:00"/>
    <n v="6"/>
    <x v="0"/>
    <x v="5"/>
  </r>
  <r>
    <x v="1423"/>
    <n v="-2.5"/>
    <x v="2979"/>
    <n v="6825.84"/>
    <s v="Complete Access"/>
    <x v="685"/>
    <x v="20"/>
    <x v="63"/>
    <d v="1900-01-03T00:00:00"/>
    <n v="6"/>
    <x v="0"/>
    <x v="5"/>
  </r>
  <r>
    <x v="1424"/>
    <n v="-20"/>
    <x v="2970"/>
    <n v="7786.2"/>
    <s v="Complete Access"/>
    <x v="601"/>
    <x v="0"/>
    <x v="0"/>
    <d v="1900-01-02T00:00:00"/>
    <n v="6"/>
    <x v="0"/>
    <x v="5"/>
  </r>
  <r>
    <x v="1424"/>
    <n v="-14.23"/>
    <x v="2643"/>
    <n v="6771.97"/>
    <s v="Complete Access"/>
    <x v="215"/>
    <x v="1"/>
    <x v="1"/>
    <d v="1900-01-02T00:00:00"/>
    <n v="6"/>
    <x v="0"/>
    <x v="5"/>
  </r>
  <r>
    <x v="1424"/>
    <n v="-172.3"/>
    <x v="2980"/>
    <n v="6599.67"/>
    <s v="Complete Access"/>
    <x v="76"/>
    <x v="2"/>
    <x v="2"/>
    <d v="1900-01-02T00:00:00"/>
    <n v="6"/>
    <x v="0"/>
    <x v="5"/>
  </r>
  <r>
    <x v="1424"/>
    <n v="-1000"/>
    <x v="2954"/>
    <n v="6786.2"/>
    <s v="Complete Access"/>
    <x v="504"/>
    <x v="0"/>
    <x v="72"/>
    <d v="1900-01-02T00:00:00"/>
    <n v="6"/>
    <x v="0"/>
    <x v="5"/>
  </r>
  <r>
    <x v="1425"/>
    <n v="-12.5"/>
    <x v="2981"/>
    <n v="7845.69"/>
    <s v="Complete Access"/>
    <x v="682"/>
    <x v="1"/>
    <x v="5"/>
    <d v="1899-12-31T00:00:00"/>
    <n v="5"/>
    <x v="0"/>
    <x v="5"/>
  </r>
  <r>
    <x v="1425"/>
    <n v="-9.5"/>
    <x v="2982"/>
    <n v="7836.19"/>
    <s v="Complete Access"/>
    <x v="286"/>
    <x v="1"/>
    <x v="5"/>
    <d v="1899-12-31T00:00:00"/>
    <n v="5"/>
    <x v="0"/>
    <x v="5"/>
  </r>
  <r>
    <x v="1425"/>
    <n v="-20"/>
    <x v="2229"/>
    <n v="7858.19"/>
    <s v="Complete Access"/>
    <x v="557"/>
    <x v="7"/>
    <x v="53"/>
    <d v="1899-12-31T00:00:00"/>
    <n v="5"/>
    <x v="0"/>
    <x v="5"/>
  </r>
  <r>
    <x v="1425"/>
    <n v="-100"/>
    <x v="2274"/>
    <n v="7878.19"/>
    <s v="Complete Access"/>
    <x v="552"/>
    <x v="0"/>
    <x v="74"/>
    <d v="1899-12-31T00:00:00"/>
    <n v="5"/>
    <x v="0"/>
    <x v="5"/>
  </r>
  <r>
    <x v="1425"/>
    <n v="-29.99"/>
    <x v="2983"/>
    <n v="7806.2"/>
    <s v="Complete Access"/>
    <x v="228"/>
    <x v="4"/>
    <x v="7"/>
    <d v="1899-12-31T00:00:00"/>
    <n v="5"/>
    <x v="0"/>
    <x v="5"/>
  </r>
  <r>
    <x v="1426"/>
    <n v="-40"/>
    <x v="2984"/>
    <n v="8307.06"/>
    <s v="Complete Access"/>
    <x v="12"/>
    <x v="5"/>
    <x v="8"/>
    <d v="1900-01-30T00:00:00"/>
    <n v="5"/>
    <x v="1"/>
    <x v="5"/>
  </r>
  <r>
    <x v="1426"/>
    <n v="-250"/>
    <x v="2929"/>
    <n v="7978.19"/>
    <s v="Complete Access"/>
    <x v="645"/>
    <x v="0"/>
    <x v="69"/>
    <d v="1900-01-30T00:00:00"/>
    <n v="5"/>
    <x v="1"/>
    <x v="5"/>
  </r>
  <r>
    <x v="1426"/>
    <n v="-49.99"/>
    <x v="2643"/>
    <n v="8228.19"/>
    <s v="Complete Access"/>
    <x v="215"/>
    <x v="1"/>
    <x v="1"/>
    <d v="1900-01-30T00:00:00"/>
    <n v="5"/>
    <x v="1"/>
    <x v="5"/>
  </r>
  <r>
    <x v="1426"/>
    <n v="-28.88"/>
    <x v="2985"/>
    <n v="8278.18"/>
    <s v="Complete Access"/>
    <x v="237"/>
    <x v="15"/>
    <x v="34"/>
    <d v="1900-01-30T00:00:00"/>
    <n v="5"/>
    <x v="1"/>
    <x v="5"/>
  </r>
  <r>
    <x v="1427"/>
    <n v="-1.36"/>
    <x v="2859"/>
    <n v="8385.41"/>
    <s v="Complete Access"/>
    <x v="61"/>
    <x v="1"/>
    <x v="1"/>
    <d v="1900-01-29T00:00:00"/>
    <n v="5"/>
    <x v="1"/>
    <x v="5"/>
  </r>
  <r>
    <x v="1427"/>
    <n v="-24.49"/>
    <x v="2986"/>
    <n v="8386.77"/>
    <s v="Complete Access"/>
    <x v="8"/>
    <x v="1"/>
    <x v="5"/>
    <d v="1900-01-29T00:00:00"/>
    <n v="5"/>
    <x v="1"/>
    <x v="5"/>
  </r>
  <r>
    <x v="1427"/>
    <n v="-38.35"/>
    <x v="2643"/>
    <n v="8347.06"/>
    <s v="Complete Access"/>
    <x v="215"/>
    <x v="1"/>
    <x v="1"/>
    <d v="1900-01-29T00:00:00"/>
    <n v="5"/>
    <x v="1"/>
    <x v="5"/>
  </r>
  <r>
    <x v="1428"/>
    <n v="-20"/>
    <x v="2970"/>
    <n v="8418.01"/>
    <s v="Complete Access"/>
    <x v="601"/>
    <x v="0"/>
    <x v="0"/>
    <d v="1900-01-28T00:00:00"/>
    <n v="5"/>
    <x v="1"/>
    <x v="5"/>
  </r>
  <r>
    <x v="1428"/>
    <n v="-34.89"/>
    <x v="2987"/>
    <n v="8516.75"/>
    <s v="Complete Access"/>
    <x v="8"/>
    <x v="1"/>
    <x v="5"/>
    <d v="1900-01-28T00:00:00"/>
    <n v="5"/>
    <x v="1"/>
    <x v="5"/>
  </r>
  <r>
    <x v="1428"/>
    <n v="-25.16"/>
    <x v="2988"/>
    <n v="8491.59"/>
    <s v="Complete Access"/>
    <x v="8"/>
    <x v="1"/>
    <x v="5"/>
    <d v="1900-01-28T00:00:00"/>
    <n v="5"/>
    <x v="1"/>
    <x v="5"/>
  </r>
  <r>
    <x v="1428"/>
    <n v="-21.51"/>
    <x v="2989"/>
    <n v="8551.64"/>
    <s v="Complete Access"/>
    <x v="8"/>
    <x v="1"/>
    <x v="5"/>
    <d v="1900-01-28T00:00:00"/>
    <n v="5"/>
    <x v="1"/>
    <x v="5"/>
  </r>
  <r>
    <x v="1428"/>
    <n v="-22.99"/>
    <x v="2990"/>
    <n v="8468.6"/>
    <s v="Complete Access"/>
    <x v="8"/>
    <x v="1"/>
    <x v="5"/>
    <d v="1900-01-28T00:00:00"/>
    <n v="5"/>
    <x v="1"/>
    <x v="5"/>
  </r>
  <r>
    <x v="1428"/>
    <n v="-9.99"/>
    <x v="2991"/>
    <n v="8458.61"/>
    <s v="Complete Access"/>
    <x v="373"/>
    <x v="8"/>
    <x v="7"/>
    <d v="1900-01-28T00:00:00"/>
    <n v="5"/>
    <x v="1"/>
    <x v="5"/>
  </r>
  <r>
    <x v="1428"/>
    <n v="-6.75"/>
    <x v="2643"/>
    <n v="8411.26"/>
    <s v="Complete Access"/>
    <x v="215"/>
    <x v="1"/>
    <x v="1"/>
    <d v="1900-01-28T00:00:00"/>
    <n v="5"/>
    <x v="1"/>
    <x v="5"/>
  </r>
  <r>
    <x v="1428"/>
    <n v="-20.6"/>
    <x v="2992"/>
    <n v="8438.01"/>
    <s v="Complete Access"/>
    <x v="237"/>
    <x v="15"/>
    <x v="34"/>
    <d v="1900-01-28T00:00:00"/>
    <n v="5"/>
    <x v="1"/>
    <x v="5"/>
  </r>
  <r>
    <x v="1429"/>
    <n v="-17.8"/>
    <x v="2688"/>
    <n v="8573.15"/>
    <s v="Complete Access"/>
    <x v="177"/>
    <x v="1"/>
    <x v="1"/>
    <d v="1900-01-27T00:00:00"/>
    <n v="5"/>
    <x v="1"/>
    <x v="5"/>
  </r>
  <r>
    <x v="1430"/>
    <n v="-30"/>
    <x v="2971"/>
    <n v="8618.9500000000007"/>
    <s v="Complete Access"/>
    <x v="0"/>
    <x v="0"/>
    <x v="0"/>
    <d v="1900-01-25T00:00:00"/>
    <n v="5"/>
    <x v="1"/>
    <x v="5"/>
  </r>
  <r>
    <x v="1430"/>
    <n v="-10"/>
    <x v="2971"/>
    <n v="8648.9500000000007"/>
    <s v="Complete Access"/>
    <x v="0"/>
    <x v="0"/>
    <x v="0"/>
    <d v="1900-01-25T00:00:00"/>
    <n v="5"/>
    <x v="1"/>
    <x v="5"/>
  </r>
  <r>
    <x v="1430"/>
    <n v="-12"/>
    <x v="2971"/>
    <n v="8658.9500000000007"/>
    <s v="Complete Access"/>
    <x v="0"/>
    <x v="0"/>
    <x v="0"/>
    <d v="1900-01-25T00:00:00"/>
    <n v="5"/>
    <x v="1"/>
    <x v="5"/>
  </r>
  <r>
    <x v="1430"/>
    <n v="-28"/>
    <x v="2993"/>
    <n v="8590.9500000000007"/>
    <s v="Complete Access"/>
    <x v="91"/>
    <x v="9"/>
    <x v="12"/>
    <d v="1900-01-25T00:00:00"/>
    <n v="5"/>
    <x v="1"/>
    <x v="5"/>
  </r>
  <r>
    <x v="1430"/>
    <n v="-22.5"/>
    <x v="2994"/>
    <n v="8670.9500000000007"/>
    <s v="Complete Access"/>
    <x v="294"/>
    <x v="8"/>
    <x v="29"/>
    <d v="1900-01-25T00:00:00"/>
    <n v="5"/>
    <x v="1"/>
    <x v="5"/>
  </r>
  <r>
    <x v="1431"/>
    <n v="-7.95"/>
    <x v="2995"/>
    <n v="8793.4500000000007"/>
    <s v="Complete Access"/>
    <x v="686"/>
    <x v="15"/>
    <x v="34"/>
    <d v="1900-01-24T00:00:00"/>
    <n v="4"/>
    <x v="1"/>
    <x v="5"/>
  </r>
  <r>
    <x v="1431"/>
    <n v="-11.69"/>
    <x v="2996"/>
    <n v="8801.4"/>
    <s v="Complete Access"/>
    <x v="56"/>
    <x v="9"/>
    <x v="31"/>
    <d v="1900-01-24T00:00:00"/>
    <n v="4"/>
    <x v="1"/>
    <x v="5"/>
  </r>
  <r>
    <x v="1431"/>
    <n v="-100"/>
    <x v="2274"/>
    <n v="8693.4500000000007"/>
    <s v="Complete Access"/>
    <x v="552"/>
    <x v="0"/>
    <x v="74"/>
    <d v="1900-01-24T00:00:00"/>
    <n v="4"/>
    <x v="1"/>
    <x v="5"/>
  </r>
  <r>
    <x v="1432"/>
    <n v="-11.01"/>
    <x v="2859"/>
    <n v="8995.59"/>
    <s v="Complete Access"/>
    <x v="61"/>
    <x v="1"/>
    <x v="1"/>
    <d v="1900-01-23T00:00:00"/>
    <n v="4"/>
    <x v="1"/>
    <x v="5"/>
  </r>
  <r>
    <x v="1432"/>
    <n v="-40"/>
    <x v="2997"/>
    <n v="9020.6"/>
    <s v="Complete Access"/>
    <x v="12"/>
    <x v="5"/>
    <x v="8"/>
    <d v="1900-01-23T00:00:00"/>
    <n v="4"/>
    <x v="1"/>
    <x v="5"/>
  </r>
  <r>
    <x v="1432"/>
    <n v="-14"/>
    <x v="2998"/>
    <n v="9006.6"/>
    <s v="Complete Access"/>
    <x v="286"/>
    <x v="1"/>
    <x v="5"/>
    <d v="1900-01-23T00:00:00"/>
    <n v="4"/>
    <x v="1"/>
    <x v="5"/>
  </r>
  <r>
    <x v="1432"/>
    <n v="-175"/>
    <x v="2999"/>
    <n v="8813.09"/>
    <s v="Complete Access"/>
    <x v="0"/>
    <x v="0"/>
    <x v="0"/>
    <d v="1900-01-23T00:00:00"/>
    <n v="4"/>
    <x v="1"/>
    <x v="5"/>
  </r>
  <r>
    <x v="1432"/>
    <n v="-7.5"/>
    <x v="3000"/>
    <n v="8988.09"/>
    <s v="Complete Access"/>
    <x v="687"/>
    <x v="1"/>
    <x v="5"/>
    <d v="1900-01-23T00:00:00"/>
    <n v="4"/>
    <x v="1"/>
    <x v="5"/>
  </r>
  <r>
    <x v="1433"/>
    <n v="-180.11"/>
    <x v="3001"/>
    <n v="9661.1"/>
    <s v="Complete Access"/>
    <x v="438"/>
    <x v="12"/>
    <x v="21"/>
    <d v="1900-01-22T00:00:00"/>
    <n v="4"/>
    <x v="1"/>
    <x v="5"/>
  </r>
  <r>
    <x v="1433"/>
    <n v="1752.39"/>
    <x v="3002"/>
    <n v="9841.2099999999991"/>
    <s v="Complete Access"/>
    <x v="14"/>
    <x v="6"/>
    <x v="9"/>
    <d v="1900-01-22T00:00:00"/>
    <n v="4"/>
    <x v="1"/>
    <x v="5"/>
  </r>
  <r>
    <x v="1433"/>
    <n v="-500"/>
    <x v="2294"/>
    <n v="9161.1"/>
    <s v="Complete Access"/>
    <x v="571"/>
    <x v="19"/>
    <x v="61"/>
    <d v="1900-01-22T00:00:00"/>
    <n v="4"/>
    <x v="1"/>
    <x v="5"/>
  </r>
  <r>
    <x v="1433"/>
    <n v="-100.5"/>
    <x v="3003"/>
    <n v="9060.6"/>
    <s v="Complete Access"/>
    <x v="215"/>
    <x v="1"/>
    <x v="1"/>
    <d v="1900-01-22T00:00:00"/>
    <n v="4"/>
    <x v="1"/>
    <x v="5"/>
  </r>
  <r>
    <x v="1434"/>
    <n v="-11.13"/>
    <x v="2859"/>
    <n v="8093.57"/>
    <s v="Complete Access"/>
    <x v="61"/>
    <x v="1"/>
    <x v="1"/>
    <d v="1900-01-21T00:00:00"/>
    <n v="4"/>
    <x v="1"/>
    <x v="5"/>
  </r>
  <r>
    <x v="1434"/>
    <n v="-88.99"/>
    <x v="3004"/>
    <n v="8113.28"/>
    <s v="Complete Access"/>
    <x v="8"/>
    <x v="1"/>
    <x v="5"/>
    <d v="1900-01-21T00:00:00"/>
    <n v="4"/>
    <x v="1"/>
    <x v="5"/>
  </r>
  <r>
    <x v="1434"/>
    <n v="-35.49"/>
    <x v="3005"/>
    <n v="8202.27"/>
    <s v="Complete Access"/>
    <x v="8"/>
    <x v="1"/>
    <x v="5"/>
    <d v="1900-01-21T00:00:00"/>
    <n v="4"/>
    <x v="1"/>
    <x v="5"/>
  </r>
  <r>
    <x v="1434"/>
    <n v="-4.75"/>
    <x v="2643"/>
    <n v="8088.82"/>
    <s v="Complete Access"/>
    <x v="215"/>
    <x v="1"/>
    <x v="1"/>
    <d v="1900-01-21T00:00:00"/>
    <n v="4"/>
    <x v="1"/>
    <x v="5"/>
  </r>
  <r>
    <x v="1434"/>
    <n v="-4.29"/>
    <x v="3006"/>
    <n v="8104.7"/>
    <s v="Complete Access"/>
    <x v="574"/>
    <x v="8"/>
    <x v="29"/>
    <d v="1900-01-21T00:00:00"/>
    <n v="4"/>
    <x v="1"/>
    <x v="5"/>
  </r>
  <r>
    <x v="1434"/>
    <n v="-4.29"/>
    <x v="3006"/>
    <n v="8108.99"/>
    <s v="Complete Access"/>
    <x v="574"/>
    <x v="8"/>
    <x v="29"/>
    <d v="1900-01-21T00:00:00"/>
    <n v="4"/>
    <x v="1"/>
    <x v="5"/>
  </r>
  <r>
    <x v="1435"/>
    <n v="-8"/>
    <x v="2859"/>
    <n v="8487.76"/>
    <s v="Complete Access"/>
    <x v="61"/>
    <x v="1"/>
    <x v="1"/>
    <d v="1900-01-20T00:00:00"/>
    <n v="4"/>
    <x v="1"/>
    <x v="5"/>
  </r>
  <r>
    <x v="1435"/>
    <n v="-2.5"/>
    <x v="2859"/>
    <n v="8495.76"/>
    <s v="Complete Access"/>
    <x v="61"/>
    <x v="1"/>
    <x v="1"/>
    <d v="1900-01-20T00:00:00"/>
    <n v="4"/>
    <x v="1"/>
    <x v="5"/>
  </r>
  <r>
    <x v="1435"/>
    <n v="-9.8000000000000007"/>
    <x v="3007"/>
    <n v="8516.26"/>
    <s v="Complete Access"/>
    <x v="682"/>
    <x v="1"/>
    <x v="5"/>
    <d v="1900-01-20T00:00:00"/>
    <n v="4"/>
    <x v="1"/>
    <x v="5"/>
  </r>
  <r>
    <x v="1435"/>
    <n v="-9"/>
    <x v="3008"/>
    <n v="8507.26"/>
    <s v="Complete Access"/>
    <x v="682"/>
    <x v="1"/>
    <x v="5"/>
    <d v="1900-01-20T00:00:00"/>
    <n v="4"/>
    <x v="1"/>
    <x v="5"/>
  </r>
  <r>
    <x v="1435"/>
    <n v="-250"/>
    <x v="3009"/>
    <n v="8237.76"/>
    <s v="Complete Access"/>
    <x v="688"/>
    <x v="3"/>
    <x v="3"/>
    <d v="1900-01-20T00:00:00"/>
    <n v="4"/>
    <x v="1"/>
    <x v="5"/>
  </r>
  <r>
    <x v="1435"/>
    <n v="-9"/>
    <x v="3010"/>
    <n v="8498.26"/>
    <s v="Complete Access"/>
    <x v="662"/>
    <x v="1"/>
    <x v="5"/>
    <d v="1900-01-20T00:00:00"/>
    <n v="4"/>
    <x v="1"/>
    <x v="5"/>
  </r>
  <r>
    <x v="1436"/>
    <n v="-10"/>
    <x v="2859"/>
    <n v="8499.9699999999993"/>
    <s v="Complete Access"/>
    <x v="61"/>
    <x v="1"/>
    <x v="1"/>
    <d v="1900-01-19T00:00:00"/>
    <n v="4"/>
    <x v="1"/>
    <x v="5"/>
  </r>
  <r>
    <x v="1436"/>
    <n v="-19.739999999999998"/>
    <x v="2643"/>
    <n v="8466.06"/>
    <s v="Complete Access"/>
    <x v="215"/>
    <x v="1"/>
    <x v="1"/>
    <d v="1900-01-19T00:00:00"/>
    <n v="4"/>
    <x v="1"/>
    <x v="5"/>
  </r>
  <r>
    <x v="1436"/>
    <n v="-14.17"/>
    <x v="2688"/>
    <n v="8485.7999999999993"/>
    <s v="Complete Access"/>
    <x v="177"/>
    <x v="1"/>
    <x v="1"/>
    <d v="1900-01-19T00:00:00"/>
    <n v="4"/>
    <x v="1"/>
    <x v="5"/>
  </r>
  <r>
    <x v="1436"/>
    <n v="60"/>
    <x v="2556"/>
    <n v="8526.06"/>
    <s v="Complete Access"/>
    <x v="583"/>
    <x v="0"/>
    <x v="69"/>
    <d v="1900-01-19T00:00:00"/>
    <n v="4"/>
    <x v="1"/>
    <x v="5"/>
  </r>
  <r>
    <x v="1437"/>
    <n v="-18.600000000000001"/>
    <x v="3011"/>
    <n v="8509.9699999999993"/>
    <s v="Complete Access"/>
    <x v="613"/>
    <x v="10"/>
    <x v="79"/>
    <d v="1900-01-18T00:00:00"/>
    <n v="4"/>
    <x v="1"/>
    <x v="5"/>
  </r>
  <r>
    <x v="1437"/>
    <n v="-26"/>
    <x v="3011"/>
    <n v="8528.57"/>
    <s v="Complete Access"/>
    <x v="613"/>
    <x v="10"/>
    <x v="79"/>
    <d v="1900-01-18T00:00:00"/>
    <n v="4"/>
    <x v="1"/>
    <x v="5"/>
  </r>
  <r>
    <x v="1437"/>
    <n v="-12.4"/>
    <x v="3011"/>
    <n v="8494.57"/>
    <s v="Complete Access"/>
    <x v="613"/>
    <x v="10"/>
    <x v="79"/>
    <d v="1900-01-18T00:00:00"/>
    <n v="4"/>
    <x v="1"/>
    <x v="5"/>
  </r>
  <r>
    <x v="1437"/>
    <n v="60"/>
    <x v="2282"/>
    <n v="8554.57"/>
    <s v="Complete Access"/>
    <x v="567"/>
    <x v="0"/>
    <x v="69"/>
    <d v="1900-01-18T00:00:00"/>
    <n v="4"/>
    <x v="1"/>
    <x v="5"/>
  </r>
  <r>
    <x v="1438"/>
    <n v="-40"/>
    <x v="3012"/>
    <n v="8506.9699999999993"/>
    <s v="Complete Access"/>
    <x v="12"/>
    <x v="5"/>
    <x v="8"/>
    <d v="1900-01-17T00:00:00"/>
    <n v="3"/>
    <x v="1"/>
    <x v="5"/>
  </r>
  <r>
    <x v="1438"/>
    <n v="-100"/>
    <x v="2274"/>
    <n v="8546.9699999999993"/>
    <s v="Complete Access"/>
    <x v="552"/>
    <x v="0"/>
    <x v="74"/>
    <d v="1900-01-17T00:00:00"/>
    <n v="3"/>
    <x v="1"/>
    <x v="5"/>
  </r>
  <r>
    <x v="1439"/>
    <n v="-26.26"/>
    <x v="2643"/>
    <n v="8671.9699999999993"/>
    <s v="Complete Access"/>
    <x v="215"/>
    <x v="1"/>
    <x v="1"/>
    <d v="1900-01-16T00:00:00"/>
    <n v="3"/>
    <x v="1"/>
    <x v="5"/>
  </r>
  <r>
    <x v="1439"/>
    <n v="-25"/>
    <x v="2494"/>
    <n v="8646.9699999999993"/>
    <s v="Complete Access"/>
    <x v="27"/>
    <x v="1"/>
    <x v="5"/>
    <d v="1900-01-16T00:00:00"/>
    <n v="3"/>
    <x v="1"/>
    <x v="5"/>
  </r>
  <r>
    <x v="1440"/>
    <n v="-5.61"/>
    <x v="2859"/>
    <n v="8698.23"/>
    <s v="Complete Access"/>
    <x v="61"/>
    <x v="1"/>
    <x v="1"/>
    <d v="1900-01-15T00:00:00"/>
    <n v="3"/>
    <x v="1"/>
    <x v="5"/>
  </r>
  <r>
    <x v="1441"/>
    <n v="-4.93"/>
    <x v="2859"/>
    <n v="8716.58"/>
    <s v="Complete Access"/>
    <x v="61"/>
    <x v="1"/>
    <x v="1"/>
    <d v="1900-01-14T00:00:00"/>
    <n v="3"/>
    <x v="1"/>
    <x v="5"/>
  </r>
  <r>
    <x v="1441"/>
    <n v="-25.5"/>
    <x v="3013"/>
    <n v="8754.31"/>
    <s v="Complete Access"/>
    <x v="8"/>
    <x v="1"/>
    <x v="5"/>
    <d v="1900-01-14T00:00:00"/>
    <n v="3"/>
    <x v="1"/>
    <x v="5"/>
  </r>
  <r>
    <x v="1441"/>
    <n v="-32.799999999999997"/>
    <x v="3014"/>
    <n v="8721.51"/>
    <s v="Complete Access"/>
    <x v="8"/>
    <x v="1"/>
    <x v="5"/>
    <d v="1900-01-14T00:00:00"/>
    <n v="3"/>
    <x v="1"/>
    <x v="5"/>
  </r>
  <r>
    <x v="1441"/>
    <n v="-40"/>
    <x v="3015"/>
    <n v="8779.81"/>
    <s v="Complete Access"/>
    <x v="12"/>
    <x v="5"/>
    <x v="8"/>
    <d v="1900-01-14T00:00:00"/>
    <n v="3"/>
    <x v="1"/>
    <x v="5"/>
  </r>
  <r>
    <x v="1441"/>
    <n v="-12.74"/>
    <x v="2688"/>
    <n v="8703.84"/>
    <s v="Complete Access"/>
    <x v="177"/>
    <x v="1"/>
    <x v="1"/>
    <d v="1900-01-14T00:00:00"/>
    <n v="3"/>
    <x v="1"/>
    <x v="5"/>
  </r>
  <r>
    <x v="1442"/>
    <n v="-1.91"/>
    <x v="2859"/>
    <n v="8833.81"/>
    <s v="Complete Access"/>
    <x v="61"/>
    <x v="1"/>
    <x v="1"/>
    <d v="1900-01-13T00:00:00"/>
    <n v="3"/>
    <x v="1"/>
    <x v="5"/>
  </r>
  <r>
    <x v="1442"/>
    <n v="-73.59"/>
    <x v="3016"/>
    <n v="8835.7199999999993"/>
    <s v="Complete Access"/>
    <x v="8"/>
    <x v="1"/>
    <x v="5"/>
    <d v="1900-01-13T00:00:00"/>
    <n v="3"/>
    <x v="1"/>
    <x v="5"/>
  </r>
  <r>
    <x v="1442"/>
    <n v="-80.25"/>
    <x v="3017"/>
    <n v="9183.17"/>
    <s v="Complete Access"/>
    <x v="8"/>
    <x v="1"/>
    <x v="5"/>
    <d v="1900-01-13T00:00:00"/>
    <n v="3"/>
    <x v="1"/>
    <x v="5"/>
  </r>
  <r>
    <x v="1442"/>
    <n v="-37"/>
    <x v="3018"/>
    <n v="9146.17"/>
    <s v="Complete Access"/>
    <x v="8"/>
    <x v="1"/>
    <x v="5"/>
    <d v="1900-01-13T00:00:00"/>
    <n v="3"/>
    <x v="1"/>
    <x v="5"/>
  </r>
  <r>
    <x v="1442"/>
    <n v="-52.93"/>
    <x v="3019"/>
    <n v="9265.01"/>
    <s v="Complete Access"/>
    <x v="689"/>
    <x v="20"/>
    <x v="63"/>
    <d v="1900-01-13T00:00:00"/>
    <n v="3"/>
    <x v="1"/>
    <x v="5"/>
  </r>
  <r>
    <x v="1442"/>
    <n v="-50.63"/>
    <x v="3020"/>
    <n v="9319.4599999999991"/>
    <s v="Complete Access"/>
    <x v="689"/>
    <x v="20"/>
    <x v="63"/>
    <d v="1900-01-13T00:00:00"/>
    <n v="3"/>
    <x v="1"/>
    <x v="5"/>
  </r>
  <r>
    <x v="1442"/>
    <n v="-46.38"/>
    <x v="3021"/>
    <n v="8910.7000000000007"/>
    <s v="Complete Access"/>
    <x v="690"/>
    <x v="1"/>
    <x v="5"/>
    <d v="1900-01-13T00:00:00"/>
    <n v="3"/>
    <x v="1"/>
    <x v="5"/>
  </r>
  <r>
    <x v="1442"/>
    <n v="-183.58"/>
    <x v="3022"/>
    <n v="8962.59"/>
    <s v="Complete Access"/>
    <x v="690"/>
    <x v="1"/>
    <x v="5"/>
    <d v="1900-01-13T00:00:00"/>
    <n v="3"/>
    <x v="1"/>
    <x v="5"/>
  </r>
  <r>
    <x v="1442"/>
    <n v="-1.39"/>
    <x v="3023"/>
    <n v="8909.31"/>
    <s v="Complete Access"/>
    <x v="10"/>
    <x v="0"/>
    <x v="0"/>
    <d v="1900-01-13T00:00:00"/>
    <n v="3"/>
    <x v="1"/>
    <x v="5"/>
  </r>
  <r>
    <x v="1442"/>
    <n v="-5.51"/>
    <x v="3023"/>
    <n v="8957.08"/>
    <s v="Complete Access"/>
    <x v="10"/>
    <x v="0"/>
    <x v="0"/>
    <d v="1900-01-13T00:00:00"/>
    <n v="3"/>
    <x v="1"/>
    <x v="5"/>
  </r>
  <r>
    <x v="1442"/>
    <n v="-1.59"/>
    <x v="3023"/>
    <n v="9263.42"/>
    <s v="Complete Access"/>
    <x v="10"/>
    <x v="0"/>
    <x v="0"/>
    <d v="1900-01-13T00:00:00"/>
    <n v="3"/>
    <x v="1"/>
    <x v="5"/>
  </r>
  <r>
    <x v="1442"/>
    <n v="-1.52"/>
    <x v="3023"/>
    <n v="9317.94"/>
    <s v="Complete Access"/>
    <x v="10"/>
    <x v="0"/>
    <x v="0"/>
    <d v="1900-01-13T00:00:00"/>
    <n v="3"/>
    <x v="1"/>
    <x v="5"/>
  </r>
  <r>
    <x v="1442"/>
    <n v="-14"/>
    <x v="2863"/>
    <n v="8819.81"/>
    <s v="Complete Access"/>
    <x v="186"/>
    <x v="1"/>
    <x v="5"/>
    <d v="1900-01-13T00:00:00"/>
    <n v="3"/>
    <x v="1"/>
    <x v="5"/>
  </r>
  <r>
    <x v="1443"/>
    <n v="-17.739999999999998"/>
    <x v="2643"/>
    <n v="9443.09"/>
    <s v="Complete Access"/>
    <x v="215"/>
    <x v="1"/>
    <x v="1"/>
    <d v="1900-01-12T00:00:00"/>
    <n v="3"/>
    <x v="1"/>
    <x v="5"/>
  </r>
  <r>
    <x v="1443"/>
    <n v="-73"/>
    <x v="2543"/>
    <n v="9370.09"/>
    <s v="Complete Access"/>
    <x v="17"/>
    <x v="7"/>
    <x v="11"/>
    <d v="1900-01-12T00:00:00"/>
    <n v="3"/>
    <x v="1"/>
    <x v="5"/>
  </r>
  <r>
    <x v="1443"/>
    <n v="-14"/>
    <x v="3000"/>
    <n v="9460.83"/>
    <s v="Complete Access"/>
    <x v="687"/>
    <x v="1"/>
    <x v="5"/>
    <d v="1900-01-12T00:00:00"/>
    <n v="3"/>
    <x v="1"/>
    <x v="5"/>
  </r>
  <r>
    <x v="1444"/>
    <n v="-20"/>
    <x v="2494"/>
    <n v="9474.83"/>
    <s v="Complete Access"/>
    <x v="27"/>
    <x v="1"/>
    <x v="5"/>
    <d v="1900-01-11T00:00:00"/>
    <n v="3"/>
    <x v="1"/>
    <x v="5"/>
  </r>
  <r>
    <x v="1445"/>
    <n v="-100"/>
    <x v="2274"/>
    <n v="9468.83"/>
    <s v="Complete Access"/>
    <x v="552"/>
    <x v="0"/>
    <x v="74"/>
    <d v="1900-01-10T00:00:00"/>
    <n v="2"/>
    <x v="1"/>
    <x v="5"/>
  </r>
  <r>
    <x v="1445"/>
    <n v="26"/>
    <x v="3024"/>
    <n v="9494.83"/>
    <s v="Complete Access"/>
    <x v="27"/>
    <x v="1"/>
    <x v="5"/>
    <d v="1900-01-10T00:00:00"/>
    <n v="2"/>
    <x v="1"/>
    <x v="5"/>
  </r>
  <r>
    <x v="1446"/>
    <n v="40"/>
    <x v="2937"/>
    <n v="9597.83"/>
    <s v="Complete Access"/>
    <x v="567"/>
    <x v="0"/>
    <x v="69"/>
    <d v="1900-01-09T00:00:00"/>
    <n v="2"/>
    <x v="1"/>
    <x v="5"/>
  </r>
  <r>
    <x v="1446"/>
    <n v="-29"/>
    <x v="2494"/>
    <n v="9568.83"/>
    <s v="Complete Access"/>
    <x v="27"/>
    <x v="1"/>
    <x v="5"/>
    <d v="1900-01-09T00:00:00"/>
    <n v="2"/>
    <x v="1"/>
    <x v="5"/>
  </r>
  <r>
    <x v="1447"/>
    <n v="2053.5"/>
    <x v="3025"/>
    <n v="9857.83"/>
    <s v="Complete Access"/>
    <x v="14"/>
    <x v="6"/>
    <x v="9"/>
    <d v="1900-01-08T00:00:00"/>
    <n v="2"/>
    <x v="1"/>
    <x v="5"/>
  </r>
  <r>
    <x v="1447"/>
    <n v="-500"/>
    <x v="2294"/>
    <n v="9357.83"/>
    <s v="Complete Access"/>
    <x v="571"/>
    <x v="19"/>
    <x v="61"/>
    <d v="1900-01-08T00:00:00"/>
    <n v="2"/>
    <x v="1"/>
    <x v="5"/>
  </r>
  <r>
    <x v="1447"/>
    <n v="200"/>
    <x v="3026"/>
    <n v="9557.83"/>
    <s v="Complete Access"/>
    <x v="567"/>
    <x v="0"/>
    <x v="69"/>
    <d v="1900-01-08T00:00:00"/>
    <n v="2"/>
    <x v="1"/>
    <x v="5"/>
  </r>
  <r>
    <x v="1448"/>
    <n v="-162.91999999999999"/>
    <x v="3027"/>
    <n v="7814.22"/>
    <s v="Complete Access"/>
    <x v="601"/>
    <x v="0"/>
    <x v="0"/>
    <d v="1900-01-07T00:00:00"/>
    <n v="2"/>
    <x v="1"/>
    <x v="5"/>
  </r>
  <r>
    <x v="1448"/>
    <n v="-9.89"/>
    <x v="306"/>
    <n v="7804.33"/>
    <s v="Complete Access"/>
    <x v="129"/>
    <x v="0"/>
    <x v="42"/>
    <d v="1900-01-07T00:00:00"/>
    <n v="2"/>
    <x v="1"/>
    <x v="5"/>
  </r>
  <r>
    <x v="1449"/>
    <n v="-20.18"/>
    <x v="3028"/>
    <n v="7977.14"/>
    <s v="Complete Access"/>
    <x v="691"/>
    <x v="15"/>
    <x v="71"/>
    <d v="1900-01-06T00:00:00"/>
    <n v="2"/>
    <x v="1"/>
    <x v="5"/>
  </r>
  <r>
    <x v="1450"/>
    <n v="-15.23"/>
    <x v="3029"/>
    <n v="7997.32"/>
    <s v="Complete Access"/>
    <x v="8"/>
    <x v="1"/>
    <x v="5"/>
    <d v="1900-01-03T00:00:00"/>
    <n v="1"/>
    <x v="1"/>
    <x v="5"/>
  </r>
  <r>
    <x v="1450"/>
    <n v="-100"/>
    <x v="2274"/>
    <n v="8012.55"/>
    <s v="Complete Access"/>
    <x v="552"/>
    <x v="0"/>
    <x v="74"/>
    <d v="1900-01-03T00:00:00"/>
    <n v="1"/>
    <x v="1"/>
    <x v="5"/>
  </r>
  <r>
    <x v="1451"/>
    <n v="-26.53"/>
    <x v="3029"/>
    <n v="8214.35"/>
    <s v="Complete Access"/>
    <x v="8"/>
    <x v="1"/>
    <x v="5"/>
    <d v="1900-01-02T00:00:00"/>
    <n v="1"/>
    <x v="1"/>
    <x v="5"/>
  </r>
  <r>
    <x v="1451"/>
    <n v="-24.95"/>
    <x v="3030"/>
    <n v="8240.8799999999992"/>
    <s v="Complete Access"/>
    <x v="692"/>
    <x v="3"/>
    <x v="15"/>
    <d v="1900-01-02T00:00:00"/>
    <n v="1"/>
    <x v="1"/>
    <x v="5"/>
  </r>
  <r>
    <x v="1451"/>
    <n v="-18.3"/>
    <x v="3031"/>
    <n v="8196.0499999999993"/>
    <s v="Complete Access"/>
    <x v="693"/>
    <x v="1"/>
    <x v="5"/>
    <d v="1900-01-02T00:00:00"/>
    <n v="1"/>
    <x v="1"/>
    <x v="5"/>
  </r>
  <r>
    <x v="1451"/>
    <n v="-65"/>
    <x v="2999"/>
    <n v="8121.55"/>
    <s v="Complete Access"/>
    <x v="0"/>
    <x v="0"/>
    <x v="0"/>
    <d v="1900-01-02T00:00:00"/>
    <n v="1"/>
    <x v="1"/>
    <x v="5"/>
  </r>
  <r>
    <x v="1451"/>
    <n v="-9"/>
    <x v="3032"/>
    <n v="8112.55"/>
    <s v="Complete Access"/>
    <x v="694"/>
    <x v="1"/>
    <x v="5"/>
    <d v="1900-01-02T00:00:00"/>
    <n v="1"/>
    <x v="1"/>
    <x v="5"/>
  </r>
  <r>
    <x v="1451"/>
    <n v="-9.5"/>
    <x v="3033"/>
    <n v="8186.55"/>
    <s v="Complete Access"/>
    <x v="695"/>
    <x v="15"/>
    <x v="71"/>
    <d v="1900-01-02T00:00:00"/>
    <n v="1"/>
    <x v="1"/>
    <x v="5"/>
  </r>
  <r>
    <x v="1452"/>
    <n v="-19"/>
    <x v="2929"/>
    <n v="8438.1299999999992"/>
    <s v="Complete Access"/>
    <x v="645"/>
    <x v="0"/>
    <x v="69"/>
    <d v="1900-01-01T00:00:00"/>
    <n v="1"/>
    <x v="1"/>
    <x v="5"/>
  </r>
  <r>
    <x v="1452"/>
    <n v="-50"/>
    <x v="2929"/>
    <n v="8457.1299999999992"/>
    <s v="Complete Access"/>
    <x v="645"/>
    <x v="0"/>
    <x v="69"/>
    <d v="1900-01-01T00:00:00"/>
    <n v="1"/>
    <x v="1"/>
    <x v="5"/>
  </r>
  <r>
    <x v="1452"/>
    <n v="-172.3"/>
    <x v="3034"/>
    <n v="8265.83"/>
    <s v="Complete Access"/>
    <x v="76"/>
    <x v="2"/>
    <x v="2"/>
    <d v="1900-01-01T00:00:00"/>
    <n v="1"/>
    <x v="1"/>
    <x v="5"/>
  </r>
  <r>
    <x v="1452"/>
    <n v="-21"/>
    <x v="2999"/>
    <n v="8507.1299999999992"/>
    <s v="Complete Access"/>
    <x v="0"/>
    <x v="0"/>
    <x v="0"/>
    <d v="1900-01-01T00:00:00"/>
    <n v="1"/>
    <x v="1"/>
    <x v="5"/>
  </r>
  <r>
    <x v="1453"/>
    <n v="-67.489999999999995"/>
    <x v="3035"/>
    <n v="8592.1"/>
    <s v="Complete Access"/>
    <x v="8"/>
    <x v="1"/>
    <x v="5"/>
    <d v="1899-12-31T00:00:00"/>
    <n v="1"/>
    <x v="1"/>
    <x v="5"/>
  </r>
  <r>
    <x v="1453"/>
    <n v="-20"/>
    <x v="2229"/>
    <n v="8659.59"/>
    <s v="Complete Access"/>
    <x v="557"/>
    <x v="7"/>
    <x v="53"/>
    <d v="1899-12-31T00:00:00"/>
    <n v="1"/>
    <x v="1"/>
    <x v="5"/>
  </r>
  <r>
    <x v="1453"/>
    <n v="-34.6"/>
    <x v="3036"/>
    <n v="8528.1299999999992"/>
    <s v="Complete Access"/>
    <x v="696"/>
    <x v="8"/>
    <x v="29"/>
    <d v="1899-12-31T00:00:00"/>
    <n v="1"/>
    <x v="1"/>
    <x v="5"/>
  </r>
  <r>
    <x v="1453"/>
    <n v="-8.6"/>
    <x v="3036"/>
    <n v="8562.73"/>
    <s v="Complete Access"/>
    <x v="696"/>
    <x v="8"/>
    <x v="29"/>
    <d v="1899-12-31T00:00:00"/>
    <n v="1"/>
    <x v="1"/>
    <x v="5"/>
  </r>
  <r>
    <x v="1453"/>
    <n v="-7.9"/>
    <x v="3036"/>
    <n v="8571.33"/>
    <s v="Complete Access"/>
    <x v="696"/>
    <x v="8"/>
    <x v="29"/>
    <d v="1899-12-31T00:00:00"/>
    <n v="1"/>
    <x v="1"/>
    <x v="5"/>
  </r>
  <r>
    <x v="1453"/>
    <n v="-4.29"/>
    <x v="3037"/>
    <n v="8579.23"/>
    <s v="Complete Access"/>
    <x v="574"/>
    <x v="8"/>
    <x v="29"/>
    <d v="1899-12-31T00:00:00"/>
    <n v="1"/>
    <x v="1"/>
    <x v="5"/>
  </r>
  <r>
    <x v="1453"/>
    <n v="-4.29"/>
    <x v="3038"/>
    <n v="8583.52"/>
    <s v="Complete Access"/>
    <x v="574"/>
    <x v="8"/>
    <x v="29"/>
    <d v="1899-12-31T00:00:00"/>
    <n v="1"/>
    <x v="1"/>
    <x v="5"/>
  </r>
  <r>
    <x v="1453"/>
    <n v="-4.29"/>
    <x v="3038"/>
    <n v="8587.81"/>
    <s v="Complete Access"/>
    <x v="574"/>
    <x v="8"/>
    <x v="29"/>
    <d v="1899-12-31T00:00:00"/>
    <n v="1"/>
    <x v="1"/>
    <x v="5"/>
  </r>
  <r>
    <x v="1454"/>
    <n v="-31.94"/>
    <x v="3039"/>
    <n v="9571.31"/>
    <s v="Complete Access"/>
    <x v="8"/>
    <x v="1"/>
    <x v="5"/>
    <d v="1900-01-30T00:00:00"/>
    <n v="53"/>
    <x v="2"/>
    <x v="6"/>
  </r>
  <r>
    <x v="1454"/>
    <n v="-50.49"/>
    <x v="3040"/>
    <n v="9508.67"/>
    <s v="Complete Access"/>
    <x v="8"/>
    <x v="1"/>
    <x v="5"/>
    <d v="1900-01-30T00:00:00"/>
    <n v="53"/>
    <x v="2"/>
    <x v="6"/>
  </r>
  <r>
    <x v="1454"/>
    <n v="-12.15"/>
    <x v="3041"/>
    <n v="9559.16"/>
    <s v="Complete Access"/>
    <x v="8"/>
    <x v="1"/>
    <x v="5"/>
    <d v="1900-01-30T00:00:00"/>
    <n v="53"/>
    <x v="2"/>
    <x v="6"/>
  </r>
  <r>
    <x v="1454"/>
    <n v="-229"/>
    <x v="3042"/>
    <n v="9279.67"/>
    <s v="Complete Access"/>
    <x v="347"/>
    <x v="3"/>
    <x v="62"/>
    <d v="1900-01-30T00:00:00"/>
    <n v="53"/>
    <x v="2"/>
    <x v="6"/>
  </r>
  <r>
    <x v="1454"/>
    <n v="-16.63"/>
    <x v="2874"/>
    <n v="8662.0400000000009"/>
    <s v="Complete Access"/>
    <x v="663"/>
    <x v="1"/>
    <x v="1"/>
    <d v="1900-01-30T00:00:00"/>
    <n v="53"/>
    <x v="2"/>
    <x v="6"/>
  </r>
  <r>
    <x v="1454"/>
    <n v="-42.45"/>
    <x v="2756"/>
    <n v="8619.59"/>
    <s v="Complete Access"/>
    <x v="177"/>
    <x v="1"/>
    <x v="1"/>
    <d v="1900-01-30T00:00:00"/>
    <n v="53"/>
    <x v="2"/>
    <x v="6"/>
  </r>
  <r>
    <x v="1454"/>
    <n v="60"/>
    <x v="2556"/>
    <n v="8679.59"/>
    <s v="Complete Access"/>
    <x v="583"/>
    <x v="0"/>
    <x v="69"/>
    <d v="1900-01-30T00:00:00"/>
    <n v="53"/>
    <x v="2"/>
    <x v="6"/>
  </r>
  <r>
    <x v="1454"/>
    <n v="-77"/>
    <x v="3043"/>
    <n v="9603.25"/>
    <s v="Complete Access"/>
    <x v="697"/>
    <x v="8"/>
    <x v="22"/>
    <d v="1900-01-30T00:00:00"/>
    <n v="53"/>
    <x v="2"/>
    <x v="6"/>
  </r>
  <r>
    <x v="1454"/>
    <n v="-550"/>
    <x v="2999"/>
    <n v="8729.67"/>
    <s v="Complete Access"/>
    <x v="0"/>
    <x v="0"/>
    <x v="0"/>
    <d v="1900-01-30T00:00:00"/>
    <n v="53"/>
    <x v="2"/>
    <x v="6"/>
  </r>
  <r>
    <x v="1454"/>
    <n v="-51"/>
    <x v="2700"/>
    <n v="8678.67"/>
    <s v="Complete Access"/>
    <x v="243"/>
    <x v="1"/>
    <x v="23"/>
    <d v="1900-01-30T00:00:00"/>
    <n v="53"/>
    <x v="2"/>
    <x v="6"/>
  </r>
  <r>
    <x v="1455"/>
    <n v="-56"/>
    <x v="3044"/>
    <n v="9829.25"/>
    <s v="Complete Access"/>
    <x v="698"/>
    <x v="3"/>
    <x v="15"/>
    <d v="1900-01-29T00:00:00"/>
    <n v="53"/>
    <x v="2"/>
    <x v="6"/>
  </r>
  <r>
    <x v="1455"/>
    <n v="-89"/>
    <x v="3045"/>
    <n v="9740.25"/>
    <s v="Complete Access"/>
    <x v="699"/>
    <x v="3"/>
    <x v="60"/>
    <d v="1900-01-29T00:00:00"/>
    <n v="53"/>
    <x v="2"/>
    <x v="6"/>
  </r>
  <r>
    <x v="1455"/>
    <n v="-15.61"/>
    <x v="2874"/>
    <n v="9929.1"/>
    <s v="Complete Access"/>
    <x v="663"/>
    <x v="1"/>
    <x v="1"/>
    <d v="1900-01-29T00:00:00"/>
    <n v="53"/>
    <x v="2"/>
    <x v="6"/>
  </r>
  <r>
    <x v="1455"/>
    <n v="-43.85"/>
    <x v="2756"/>
    <n v="9885.25"/>
    <s v="Complete Access"/>
    <x v="177"/>
    <x v="1"/>
    <x v="1"/>
    <d v="1900-01-29T00:00:00"/>
    <n v="53"/>
    <x v="2"/>
    <x v="6"/>
  </r>
  <r>
    <x v="1455"/>
    <n v="-60"/>
    <x v="3046"/>
    <n v="9680.25"/>
    <s v="Complete Access"/>
    <x v="700"/>
    <x v="8"/>
    <x v="69"/>
    <d v="1900-01-29T00:00:00"/>
    <n v="53"/>
    <x v="2"/>
    <x v="6"/>
  </r>
  <r>
    <x v="1456"/>
    <n v="-20"/>
    <x v="3047"/>
    <n v="9947.51"/>
    <s v="Complete Access"/>
    <x v="601"/>
    <x v="0"/>
    <x v="0"/>
    <d v="1900-01-28T00:00:00"/>
    <n v="53"/>
    <x v="2"/>
    <x v="6"/>
  </r>
  <r>
    <x v="1456"/>
    <n v="-2.8"/>
    <x v="72"/>
    <n v="9944.7099999999991"/>
    <s v="Complete Access"/>
    <x v="37"/>
    <x v="0"/>
    <x v="0"/>
    <d v="1900-01-28T00:00:00"/>
    <n v="53"/>
    <x v="2"/>
    <x v="6"/>
  </r>
  <r>
    <x v="1457"/>
    <n v="-2.99"/>
    <x v="3048"/>
    <n v="10090.15"/>
    <s v="Complete Access"/>
    <x v="199"/>
    <x v="14"/>
    <x v="46"/>
    <d v="1900-01-27T00:00:00"/>
    <n v="52"/>
    <x v="2"/>
    <x v="6"/>
  </r>
  <r>
    <x v="1457"/>
    <n v="-9.99"/>
    <x v="3049"/>
    <n v="10093.14"/>
    <s v="Complete Access"/>
    <x v="373"/>
    <x v="8"/>
    <x v="7"/>
    <d v="1900-01-27T00:00:00"/>
    <n v="52"/>
    <x v="2"/>
    <x v="6"/>
  </r>
  <r>
    <x v="1457"/>
    <n v="-15.64"/>
    <x v="3050"/>
    <n v="10074.51"/>
    <s v="Complete Access"/>
    <x v="668"/>
    <x v="15"/>
    <x v="34"/>
    <d v="1900-01-27T00:00:00"/>
    <n v="52"/>
    <x v="2"/>
    <x v="6"/>
  </r>
  <r>
    <x v="1457"/>
    <n v="-18.579999999999998"/>
    <x v="2874"/>
    <n v="9995.93"/>
    <s v="Complete Access"/>
    <x v="663"/>
    <x v="1"/>
    <x v="1"/>
    <d v="1900-01-27T00:00:00"/>
    <n v="52"/>
    <x v="2"/>
    <x v="6"/>
  </r>
  <r>
    <x v="1457"/>
    <n v="-100"/>
    <x v="2274"/>
    <n v="10103.129999999999"/>
    <s v="Complete Access"/>
    <x v="552"/>
    <x v="0"/>
    <x v="74"/>
    <d v="1900-01-27T00:00:00"/>
    <n v="52"/>
    <x v="2"/>
    <x v="6"/>
  </r>
  <r>
    <x v="1457"/>
    <n v="-28.42"/>
    <x v="2688"/>
    <n v="9967.51"/>
    <s v="Complete Access"/>
    <x v="177"/>
    <x v="1"/>
    <x v="1"/>
    <d v="1900-01-27T00:00:00"/>
    <n v="52"/>
    <x v="2"/>
    <x v="6"/>
  </r>
  <r>
    <x v="1457"/>
    <n v="-25"/>
    <x v="3051"/>
    <n v="10014.51"/>
    <s v="Complete Access"/>
    <x v="701"/>
    <x v="16"/>
    <x v="35"/>
    <d v="1900-01-27T00:00:00"/>
    <n v="52"/>
    <x v="2"/>
    <x v="6"/>
  </r>
  <r>
    <x v="1457"/>
    <n v="-35"/>
    <x v="3051"/>
    <n v="10039.51"/>
    <s v="Complete Access"/>
    <x v="701"/>
    <x v="16"/>
    <x v="35"/>
    <d v="1900-01-27T00:00:00"/>
    <n v="52"/>
    <x v="2"/>
    <x v="6"/>
  </r>
  <r>
    <x v="1458"/>
    <n v="-12.5"/>
    <x v="3052"/>
    <n v="10203.129999999999"/>
    <s v="Complete Access"/>
    <x v="351"/>
    <x v="1"/>
    <x v="5"/>
    <d v="1900-01-26T00:00:00"/>
    <n v="52"/>
    <x v="2"/>
    <x v="6"/>
  </r>
  <r>
    <x v="1459"/>
    <n v="-500"/>
    <x v="2294"/>
    <n v="10315.629999999999"/>
    <s v="Complete Access"/>
    <x v="571"/>
    <x v="19"/>
    <x v="61"/>
    <d v="1900-01-25T00:00:00"/>
    <n v="52"/>
    <x v="2"/>
    <x v="6"/>
  </r>
  <r>
    <x v="1459"/>
    <n v="-100"/>
    <x v="2999"/>
    <n v="10215.629999999999"/>
    <s v="Complete Access"/>
    <x v="0"/>
    <x v="0"/>
    <x v="0"/>
    <d v="1900-01-25T00:00:00"/>
    <n v="52"/>
    <x v="2"/>
    <x v="6"/>
  </r>
  <r>
    <x v="1460"/>
    <n v="-92.49"/>
    <x v="3053"/>
    <n v="10822.63"/>
    <s v="Complete Access"/>
    <x v="8"/>
    <x v="1"/>
    <x v="5"/>
    <d v="1900-01-24T00:00:00"/>
    <n v="52"/>
    <x v="2"/>
    <x v="6"/>
  </r>
  <r>
    <x v="1460"/>
    <n v="-44.24"/>
    <x v="3054"/>
    <n v="11010.61"/>
    <s v="Complete Access"/>
    <x v="8"/>
    <x v="1"/>
    <x v="5"/>
    <d v="1900-01-24T00:00:00"/>
    <n v="52"/>
    <x v="2"/>
    <x v="6"/>
  </r>
  <r>
    <x v="1460"/>
    <n v="-20.16"/>
    <x v="3055"/>
    <n v="11054.85"/>
    <s v="Complete Access"/>
    <x v="8"/>
    <x v="1"/>
    <x v="5"/>
    <d v="1900-01-24T00:00:00"/>
    <n v="52"/>
    <x v="2"/>
    <x v="6"/>
  </r>
  <r>
    <x v="1460"/>
    <n v="-10"/>
    <x v="3055"/>
    <n v="11075.01"/>
    <s v="Complete Access"/>
    <x v="8"/>
    <x v="1"/>
    <x v="5"/>
    <d v="1900-01-24T00:00:00"/>
    <n v="52"/>
    <x v="2"/>
    <x v="6"/>
  </r>
  <r>
    <x v="1460"/>
    <n v="-95.49"/>
    <x v="3056"/>
    <n v="10915.12"/>
    <s v="Complete Access"/>
    <x v="8"/>
    <x v="1"/>
    <x v="5"/>
    <d v="1900-01-24T00:00:00"/>
    <n v="52"/>
    <x v="2"/>
    <x v="6"/>
  </r>
  <r>
    <x v="1460"/>
    <n v="-7"/>
    <x v="3057"/>
    <n v="10815.63"/>
    <s v="Complete Access"/>
    <x v="620"/>
    <x v="3"/>
    <x v="15"/>
    <d v="1900-01-24T00:00:00"/>
    <n v="52"/>
    <x v="2"/>
    <x v="6"/>
  </r>
  <r>
    <x v="1461"/>
    <n v="-15.93"/>
    <x v="3055"/>
    <n v="11020.01"/>
    <s v="Complete Access"/>
    <x v="8"/>
    <x v="1"/>
    <x v="5"/>
    <d v="1900-01-23T00:00:00"/>
    <n v="52"/>
    <x v="2"/>
    <x v="6"/>
  </r>
  <r>
    <x v="1461"/>
    <n v="-10.5"/>
    <x v="3058"/>
    <n v="10985.01"/>
    <s v="Complete Access"/>
    <x v="682"/>
    <x v="1"/>
    <x v="5"/>
    <d v="1900-01-23T00:00:00"/>
    <n v="52"/>
    <x v="2"/>
    <x v="6"/>
  </r>
  <r>
    <x v="1461"/>
    <n v="2053.4899999999998"/>
    <x v="3059"/>
    <n v="11035.94"/>
    <s v="Complete Access"/>
    <x v="14"/>
    <x v="6"/>
    <x v="9"/>
    <d v="1900-01-23T00:00:00"/>
    <n v="52"/>
    <x v="2"/>
    <x v="6"/>
  </r>
  <r>
    <x v="1461"/>
    <n v="115"/>
    <x v="3060"/>
    <n v="11100.01"/>
    <s v="Complete Access"/>
    <x v="567"/>
    <x v="0"/>
    <x v="69"/>
    <d v="1900-01-23T00:00:00"/>
    <n v="52"/>
    <x v="2"/>
    <x v="6"/>
  </r>
  <r>
    <x v="1461"/>
    <n v="-15"/>
    <x v="3061"/>
    <n v="11085.01"/>
    <s v="Complete Access"/>
    <x v="27"/>
    <x v="1"/>
    <x v="5"/>
    <d v="1900-01-23T00:00:00"/>
    <n v="52"/>
    <x v="2"/>
    <x v="6"/>
  </r>
  <r>
    <x v="1461"/>
    <n v="-15.5"/>
    <x v="3062"/>
    <n v="10995.51"/>
    <s v="Complete Access"/>
    <x v="702"/>
    <x v="8"/>
    <x v="29"/>
    <d v="1900-01-23T00:00:00"/>
    <n v="52"/>
    <x v="2"/>
    <x v="6"/>
  </r>
  <r>
    <x v="1461"/>
    <n v="-9"/>
    <x v="3062"/>
    <n v="11011.01"/>
    <s v="Complete Access"/>
    <x v="702"/>
    <x v="8"/>
    <x v="29"/>
    <d v="1900-01-23T00:00:00"/>
    <n v="52"/>
    <x v="2"/>
    <x v="6"/>
  </r>
  <r>
    <x v="1462"/>
    <n v="-0.59"/>
    <x v="2859"/>
    <n v="9012.4500000000007"/>
    <s v="Complete Access"/>
    <x v="61"/>
    <x v="1"/>
    <x v="1"/>
    <d v="1900-01-22T00:00:00"/>
    <n v="52"/>
    <x v="2"/>
    <x v="6"/>
  </r>
  <r>
    <x v="1462"/>
    <n v="-20"/>
    <x v="2494"/>
    <n v="8982.4500000000007"/>
    <s v="Complete Access"/>
    <x v="27"/>
    <x v="1"/>
    <x v="5"/>
    <d v="1900-01-22T00:00:00"/>
    <n v="52"/>
    <x v="2"/>
    <x v="6"/>
  </r>
  <r>
    <x v="1462"/>
    <n v="-10"/>
    <x v="2925"/>
    <n v="9002.4500000000007"/>
    <s v="Complete Access"/>
    <x v="678"/>
    <x v="20"/>
    <x v="63"/>
    <d v="1900-01-22T00:00:00"/>
    <n v="52"/>
    <x v="2"/>
    <x v="6"/>
  </r>
  <r>
    <x v="1463"/>
    <n v="18.5"/>
    <x v="3024"/>
    <n v="9013.0400000000009"/>
    <s v="Complete Access"/>
    <x v="27"/>
    <x v="1"/>
    <x v="5"/>
    <d v="1900-01-21T00:00:00"/>
    <n v="52"/>
    <x v="2"/>
    <x v="6"/>
  </r>
  <r>
    <x v="1463"/>
    <n v="20.5"/>
    <x v="2876"/>
    <n v="8994.5400000000009"/>
    <s v="Complete Access"/>
    <x v="27"/>
    <x v="1"/>
    <x v="5"/>
    <d v="1900-01-21T00:00:00"/>
    <n v="52"/>
    <x v="2"/>
    <x v="6"/>
  </r>
  <r>
    <x v="1464"/>
    <n v="-79.989999999999995"/>
    <x v="3063"/>
    <n v="8974.0400000000009"/>
    <s v="Complete Access"/>
    <x v="703"/>
    <x v="3"/>
    <x v="15"/>
    <d v="1900-01-20T00:00:00"/>
    <n v="51"/>
    <x v="2"/>
    <x v="6"/>
  </r>
  <r>
    <x v="1464"/>
    <n v="-100"/>
    <x v="2274"/>
    <n v="9104.02"/>
    <s v="Complete Access"/>
    <x v="552"/>
    <x v="0"/>
    <x v="74"/>
    <d v="1900-01-20T00:00:00"/>
    <n v="51"/>
    <x v="2"/>
    <x v="6"/>
  </r>
  <r>
    <x v="1464"/>
    <n v="-49.99"/>
    <x v="3064"/>
    <n v="9054.0300000000007"/>
    <s v="Complete Access"/>
    <x v="704"/>
    <x v="3"/>
    <x v="15"/>
    <d v="1900-01-20T00:00:00"/>
    <n v="51"/>
    <x v="2"/>
    <x v="6"/>
  </r>
  <r>
    <x v="1464"/>
    <n v="-7"/>
    <x v="2971"/>
    <n v="9204.02"/>
    <s v="Complete Access"/>
    <x v="0"/>
    <x v="0"/>
    <x v="0"/>
    <d v="1900-01-20T00:00:00"/>
    <n v="51"/>
    <x v="2"/>
    <x v="6"/>
  </r>
  <r>
    <x v="1465"/>
    <n v="-3"/>
    <x v="2859"/>
    <n v="9211.02"/>
    <s v="Complete Access"/>
    <x v="61"/>
    <x v="1"/>
    <x v="1"/>
    <d v="1900-01-19T00:00:00"/>
    <n v="51"/>
    <x v="2"/>
    <x v="6"/>
  </r>
  <r>
    <x v="1466"/>
    <n v="-16.350000000000001"/>
    <x v="3065"/>
    <n v="9214.02"/>
    <s v="Complete Access"/>
    <x v="705"/>
    <x v="8"/>
    <x v="29"/>
    <d v="1900-01-18T00:00:00"/>
    <n v="51"/>
    <x v="2"/>
    <x v="6"/>
  </r>
  <r>
    <x v="1466"/>
    <n v="-29.99"/>
    <x v="3066"/>
    <n v="9244.42"/>
    <s v="Complete Access"/>
    <x v="706"/>
    <x v="11"/>
    <x v="14"/>
    <d v="1900-01-18T00:00:00"/>
    <n v="51"/>
    <x v="2"/>
    <x v="6"/>
  </r>
  <r>
    <x v="1466"/>
    <n v="-14.05"/>
    <x v="3067"/>
    <n v="9230.3700000000008"/>
    <s v="Complete Access"/>
    <x v="47"/>
    <x v="1"/>
    <x v="5"/>
    <d v="1900-01-18T00:00:00"/>
    <n v="51"/>
    <x v="2"/>
    <x v="6"/>
  </r>
  <r>
    <x v="1466"/>
    <n v="-39"/>
    <x v="3068"/>
    <n v="9274.41"/>
    <s v="Complete Access"/>
    <x v="644"/>
    <x v="1"/>
    <x v="23"/>
    <d v="1900-01-18T00:00:00"/>
    <n v="51"/>
    <x v="2"/>
    <x v="6"/>
  </r>
  <r>
    <x v="1467"/>
    <n v="-3"/>
    <x v="2859"/>
    <n v="9338.8700000000008"/>
    <s v="Complete Access"/>
    <x v="61"/>
    <x v="1"/>
    <x v="1"/>
    <d v="1900-01-17T00:00:00"/>
    <n v="51"/>
    <x v="2"/>
    <x v="6"/>
  </r>
  <r>
    <x v="1467"/>
    <n v="-29.54"/>
    <x v="3069"/>
    <n v="9352.7900000000009"/>
    <s v="Complete Access"/>
    <x v="8"/>
    <x v="1"/>
    <x v="5"/>
    <d v="1900-01-17T00:00:00"/>
    <n v="51"/>
    <x v="2"/>
    <x v="6"/>
  </r>
  <r>
    <x v="1467"/>
    <n v="-40"/>
    <x v="3070"/>
    <n v="9382.33"/>
    <s v="Complete Access"/>
    <x v="12"/>
    <x v="5"/>
    <x v="8"/>
    <d v="1900-01-17T00:00:00"/>
    <n v="51"/>
    <x v="2"/>
    <x v="6"/>
  </r>
  <r>
    <x v="1467"/>
    <n v="-10.92"/>
    <x v="3071"/>
    <n v="9341.8700000000008"/>
    <s v="Complete Access"/>
    <x v="556"/>
    <x v="15"/>
    <x v="34"/>
    <d v="1900-01-17T00:00:00"/>
    <n v="51"/>
    <x v="2"/>
    <x v="6"/>
  </r>
  <r>
    <x v="1467"/>
    <n v="-25.46"/>
    <x v="2688"/>
    <n v="9313.41"/>
    <s v="Complete Access"/>
    <x v="177"/>
    <x v="1"/>
    <x v="1"/>
    <d v="1900-01-17T00:00:00"/>
    <n v="51"/>
    <x v="2"/>
    <x v="6"/>
  </r>
  <r>
    <x v="1468"/>
    <n v="-7.8"/>
    <x v="2859"/>
    <n v="9717.25"/>
    <s v="Complete Access"/>
    <x v="61"/>
    <x v="1"/>
    <x v="1"/>
    <d v="1900-01-16T00:00:00"/>
    <n v="51"/>
    <x v="2"/>
    <x v="6"/>
  </r>
  <r>
    <x v="1468"/>
    <n v="-52.99"/>
    <x v="3072"/>
    <n v="9704.84"/>
    <s v="Complete Access"/>
    <x v="8"/>
    <x v="1"/>
    <x v="5"/>
    <d v="1900-01-16T00:00:00"/>
    <n v="51"/>
    <x v="2"/>
    <x v="6"/>
  </r>
  <r>
    <x v="1468"/>
    <n v="-179.79"/>
    <x v="3073"/>
    <n v="9525.0499999999993"/>
    <s v="Complete Access"/>
    <x v="438"/>
    <x v="12"/>
    <x v="21"/>
    <d v="1900-01-16T00:00:00"/>
    <n v="51"/>
    <x v="2"/>
    <x v="6"/>
  </r>
  <r>
    <x v="1468"/>
    <n v="-31"/>
    <x v="2948"/>
    <n v="9686.25"/>
    <s v="Complete Access"/>
    <x v="562"/>
    <x v="1"/>
    <x v="5"/>
    <d v="1900-01-16T00:00:00"/>
    <n v="51"/>
    <x v="2"/>
    <x v="6"/>
  </r>
  <r>
    <x v="1468"/>
    <n v="-250"/>
    <x v="2929"/>
    <n v="9422.33"/>
    <s v="Complete Access"/>
    <x v="645"/>
    <x v="0"/>
    <x v="69"/>
    <d v="1900-01-16T00:00:00"/>
    <n v="51"/>
    <x v="2"/>
    <x v="6"/>
  </r>
  <r>
    <x v="1468"/>
    <n v="-13.92"/>
    <x v="2643"/>
    <n v="9672.33"/>
    <s v="Complete Access"/>
    <x v="215"/>
    <x v="1"/>
    <x v="1"/>
    <d v="1900-01-16T00:00:00"/>
    <n v="51"/>
    <x v="2"/>
    <x v="6"/>
  </r>
  <r>
    <x v="1468"/>
    <n v="200"/>
    <x v="3074"/>
    <n v="9725.0499999999993"/>
    <s v="Complete Access"/>
    <x v="657"/>
    <x v="0"/>
    <x v="69"/>
    <d v="1900-01-16T00:00:00"/>
    <n v="51"/>
    <x v="2"/>
    <x v="6"/>
  </r>
  <r>
    <x v="1469"/>
    <n v="-200"/>
    <x v="2929"/>
    <n v="9797.41"/>
    <s v="Complete Access"/>
    <x v="645"/>
    <x v="0"/>
    <x v="69"/>
    <d v="1900-01-15T00:00:00"/>
    <n v="51"/>
    <x v="2"/>
    <x v="6"/>
  </r>
  <r>
    <x v="1469"/>
    <n v="-11.68"/>
    <x v="2643"/>
    <n v="9767.73"/>
    <s v="Complete Access"/>
    <x v="215"/>
    <x v="1"/>
    <x v="1"/>
    <d v="1900-01-15T00:00:00"/>
    <n v="51"/>
    <x v="2"/>
    <x v="6"/>
  </r>
  <r>
    <x v="1469"/>
    <n v="-9.9"/>
    <x v="2688"/>
    <n v="9757.83"/>
    <s v="Complete Access"/>
    <x v="177"/>
    <x v="1"/>
    <x v="1"/>
    <d v="1900-01-15T00:00:00"/>
    <n v="51"/>
    <x v="2"/>
    <x v="6"/>
  </r>
  <r>
    <x v="1469"/>
    <n v="-4"/>
    <x v="2863"/>
    <n v="9779.41"/>
    <s v="Complete Access"/>
    <x v="186"/>
    <x v="1"/>
    <x v="5"/>
    <d v="1900-01-15T00:00:00"/>
    <n v="51"/>
    <x v="2"/>
    <x v="6"/>
  </r>
  <r>
    <x v="1469"/>
    <n v="-14"/>
    <x v="3000"/>
    <n v="9783.41"/>
    <s v="Complete Access"/>
    <x v="687"/>
    <x v="1"/>
    <x v="5"/>
    <d v="1900-01-15T00:00:00"/>
    <n v="51"/>
    <x v="2"/>
    <x v="6"/>
  </r>
  <r>
    <x v="1470"/>
    <n v="-12"/>
    <x v="2494"/>
    <n v="9997.41"/>
    <s v="Complete Access"/>
    <x v="27"/>
    <x v="1"/>
    <x v="5"/>
    <d v="1900-01-14T00:00:00"/>
    <n v="51"/>
    <x v="2"/>
    <x v="6"/>
  </r>
  <r>
    <x v="1471"/>
    <n v="-24"/>
    <x v="3075"/>
    <n v="10009.41"/>
    <s v="Complete Access"/>
    <x v="707"/>
    <x v="20"/>
    <x v="63"/>
    <d v="1900-01-13T00:00:00"/>
    <n v="50"/>
    <x v="2"/>
    <x v="6"/>
  </r>
  <r>
    <x v="1471"/>
    <n v="-9"/>
    <x v="3076"/>
    <n v="10033.41"/>
    <s v="Complete Access"/>
    <x v="708"/>
    <x v="1"/>
    <x v="5"/>
    <d v="1900-01-13T00:00:00"/>
    <n v="50"/>
    <x v="2"/>
    <x v="6"/>
  </r>
  <r>
    <x v="1471"/>
    <n v="-100"/>
    <x v="2274"/>
    <n v="10042.41"/>
    <s v="Complete Access"/>
    <x v="552"/>
    <x v="0"/>
    <x v="74"/>
    <d v="1900-01-13T00:00:00"/>
    <n v="50"/>
    <x v="2"/>
    <x v="6"/>
  </r>
  <r>
    <x v="1472"/>
    <n v="-1.01"/>
    <x v="2859"/>
    <n v="10150.41"/>
    <s v="Complete Access"/>
    <x v="61"/>
    <x v="1"/>
    <x v="1"/>
    <d v="1900-01-12T00:00:00"/>
    <n v="50"/>
    <x v="2"/>
    <x v="6"/>
  </r>
  <r>
    <x v="1472"/>
    <n v="-8"/>
    <x v="3000"/>
    <n v="10142.41"/>
    <s v="Complete Access"/>
    <x v="687"/>
    <x v="1"/>
    <x v="5"/>
    <d v="1900-01-12T00:00:00"/>
    <n v="50"/>
    <x v="2"/>
    <x v="6"/>
  </r>
  <r>
    <x v="1473"/>
    <n v="-4.8099999999999996"/>
    <x v="2859"/>
    <n v="10254.92"/>
    <s v="Complete Access"/>
    <x v="61"/>
    <x v="1"/>
    <x v="1"/>
    <d v="1900-01-11T00:00:00"/>
    <n v="50"/>
    <x v="2"/>
    <x v="6"/>
  </r>
  <r>
    <x v="1473"/>
    <n v="-38.29"/>
    <x v="3077"/>
    <n v="10259.73"/>
    <s v="Complete Access"/>
    <x v="8"/>
    <x v="1"/>
    <x v="5"/>
    <d v="1900-01-11T00:00:00"/>
    <n v="50"/>
    <x v="2"/>
    <x v="6"/>
  </r>
  <r>
    <x v="1473"/>
    <n v="-40"/>
    <x v="3078"/>
    <n v="10312.82"/>
    <s v="Complete Access"/>
    <x v="12"/>
    <x v="5"/>
    <x v="8"/>
    <d v="1900-01-11T00:00:00"/>
    <n v="50"/>
    <x v="2"/>
    <x v="6"/>
  </r>
  <r>
    <x v="1473"/>
    <n v="-14.8"/>
    <x v="3079"/>
    <n v="10298.02"/>
    <s v="Complete Access"/>
    <x v="709"/>
    <x v="8"/>
    <x v="29"/>
    <d v="1900-01-11T00:00:00"/>
    <n v="50"/>
    <x v="2"/>
    <x v="6"/>
  </r>
  <r>
    <x v="1473"/>
    <n v="2053.4899999999998"/>
    <x v="3080"/>
    <n v="10852.82"/>
    <s v="Complete Access"/>
    <x v="14"/>
    <x v="6"/>
    <x v="9"/>
    <d v="1900-01-11T00:00:00"/>
    <n v="50"/>
    <x v="2"/>
    <x v="6"/>
  </r>
  <r>
    <x v="1473"/>
    <n v="-500"/>
    <x v="2294"/>
    <n v="10352.82"/>
    <s v="Complete Access"/>
    <x v="571"/>
    <x v="19"/>
    <x v="61"/>
    <d v="1900-01-11T00:00:00"/>
    <n v="50"/>
    <x v="2"/>
    <x v="6"/>
  </r>
  <r>
    <x v="1473"/>
    <n v="-73.5"/>
    <x v="2543"/>
    <n v="10151.42"/>
    <s v="Complete Access"/>
    <x v="17"/>
    <x v="7"/>
    <x v="11"/>
    <d v="1900-01-11T00:00:00"/>
    <n v="50"/>
    <x v="2"/>
    <x v="6"/>
  </r>
  <r>
    <x v="1473"/>
    <n v="-30"/>
    <x v="3081"/>
    <n v="10224.92"/>
    <s v="Complete Access"/>
    <x v="710"/>
    <x v="18"/>
    <x v="69"/>
    <d v="1900-01-11T00:00:00"/>
    <n v="50"/>
    <x v="2"/>
    <x v="6"/>
  </r>
  <r>
    <x v="1474"/>
    <n v="-1.9"/>
    <x v="2859"/>
    <n v="8950.9"/>
    <s v="Complete Access"/>
    <x v="61"/>
    <x v="1"/>
    <x v="1"/>
    <d v="1900-01-10T00:00:00"/>
    <n v="50"/>
    <x v="2"/>
    <x v="6"/>
  </r>
  <r>
    <x v="1474"/>
    <n v="-21.49"/>
    <x v="3082"/>
    <n v="8977.7999999999993"/>
    <s v="Complete Access"/>
    <x v="8"/>
    <x v="1"/>
    <x v="5"/>
    <d v="1900-01-10T00:00:00"/>
    <n v="50"/>
    <x v="2"/>
    <x v="6"/>
  </r>
  <r>
    <x v="1474"/>
    <n v="-100"/>
    <x v="3083"/>
    <n v="8799.33"/>
    <s v="Complete Access"/>
    <x v="711"/>
    <x v="18"/>
    <x v="80"/>
    <d v="1900-01-10T00:00:00"/>
    <n v="50"/>
    <x v="2"/>
    <x v="6"/>
  </r>
  <r>
    <x v="1474"/>
    <n v="20.5"/>
    <x v="3024"/>
    <n v="8901.4"/>
    <s v="Complete Access"/>
    <x v="27"/>
    <x v="1"/>
    <x v="5"/>
    <d v="1900-01-10T00:00:00"/>
    <n v="50"/>
    <x v="2"/>
    <x v="6"/>
  </r>
  <r>
    <x v="1474"/>
    <n v="59.93"/>
    <x v="2282"/>
    <n v="8961.33"/>
    <s v="Complete Access"/>
    <x v="567"/>
    <x v="0"/>
    <x v="69"/>
    <d v="1900-01-10T00:00:00"/>
    <n v="50"/>
    <x v="2"/>
    <x v="6"/>
  </r>
  <r>
    <x v="1474"/>
    <n v="-62"/>
    <x v="3061"/>
    <n v="8899.33"/>
    <s v="Complete Access"/>
    <x v="27"/>
    <x v="1"/>
    <x v="5"/>
    <d v="1900-01-10T00:00:00"/>
    <n v="50"/>
    <x v="2"/>
    <x v="6"/>
  </r>
  <r>
    <x v="1474"/>
    <n v="-55"/>
    <x v="3084"/>
    <n v="8880.9"/>
    <s v="Complete Access"/>
    <x v="712"/>
    <x v="4"/>
    <x v="73"/>
    <d v="1900-01-10T00:00:00"/>
    <n v="50"/>
    <x v="2"/>
    <x v="6"/>
  </r>
  <r>
    <x v="1474"/>
    <n v="-15"/>
    <x v="3000"/>
    <n v="8935.9"/>
    <s v="Complete Access"/>
    <x v="687"/>
    <x v="1"/>
    <x v="5"/>
    <d v="1900-01-10T00:00:00"/>
    <n v="50"/>
    <x v="2"/>
    <x v="6"/>
  </r>
  <r>
    <x v="1474"/>
    <n v="-25"/>
    <x v="3085"/>
    <n v="8952.7999999999993"/>
    <s v="Complete Access"/>
    <x v="713"/>
    <x v="8"/>
    <x v="29"/>
    <d v="1900-01-10T00:00:00"/>
    <n v="50"/>
    <x v="2"/>
    <x v="6"/>
  </r>
  <r>
    <x v="1475"/>
    <n v="-1.53"/>
    <x v="2859"/>
    <n v="9059.98"/>
    <s v="Complete Access"/>
    <x v="61"/>
    <x v="1"/>
    <x v="1"/>
    <d v="1900-01-09T00:00:00"/>
    <n v="50"/>
    <x v="2"/>
    <x v="6"/>
  </r>
  <r>
    <x v="1475"/>
    <n v="-401.61"/>
    <x v="3086"/>
    <n v="9073.56"/>
    <s v="Complete Access"/>
    <x v="256"/>
    <x v="4"/>
    <x v="47"/>
    <d v="1900-01-09T00:00:00"/>
    <n v="50"/>
    <x v="2"/>
    <x v="6"/>
  </r>
  <r>
    <x v="1475"/>
    <n v="-45.89"/>
    <x v="3087"/>
    <n v="9475.17"/>
    <s v="Complete Access"/>
    <x v="8"/>
    <x v="1"/>
    <x v="5"/>
    <d v="1900-01-09T00:00:00"/>
    <n v="50"/>
    <x v="2"/>
    <x v="6"/>
  </r>
  <r>
    <x v="1475"/>
    <n v="-49.49"/>
    <x v="3088"/>
    <n v="9521.06"/>
    <s v="Complete Access"/>
    <x v="8"/>
    <x v="1"/>
    <x v="5"/>
    <d v="1900-01-09T00:00:00"/>
    <n v="50"/>
    <x v="2"/>
    <x v="6"/>
  </r>
  <r>
    <x v="1475"/>
    <n v="-12.05"/>
    <x v="3089"/>
    <n v="9061.51"/>
    <s v="Complete Access"/>
    <x v="10"/>
    <x v="0"/>
    <x v="0"/>
    <d v="1900-01-09T00:00:00"/>
    <n v="50"/>
    <x v="2"/>
    <x v="6"/>
  </r>
  <r>
    <x v="1475"/>
    <n v="-11.9"/>
    <x v="2874"/>
    <n v="9039.18"/>
    <s v="Complete Access"/>
    <x v="663"/>
    <x v="1"/>
    <x v="1"/>
    <d v="1900-01-09T00:00:00"/>
    <n v="50"/>
    <x v="2"/>
    <x v="6"/>
  </r>
  <r>
    <x v="1475"/>
    <n v="-6.99"/>
    <x v="2688"/>
    <n v="9032.19"/>
    <s v="Complete Access"/>
    <x v="177"/>
    <x v="1"/>
    <x v="1"/>
    <d v="1900-01-09T00:00:00"/>
    <n v="50"/>
    <x v="2"/>
    <x v="6"/>
  </r>
  <r>
    <x v="1475"/>
    <n v="-8.9"/>
    <x v="2863"/>
    <n v="9051.08"/>
    <s v="Complete Access"/>
    <x v="186"/>
    <x v="1"/>
    <x v="5"/>
    <d v="1900-01-09T00:00:00"/>
    <n v="50"/>
    <x v="2"/>
    <x v="6"/>
  </r>
  <r>
    <x v="1475"/>
    <n v="-32.9"/>
    <x v="3090"/>
    <n v="8999.2900000000009"/>
    <s v="Complete Access"/>
    <x v="580"/>
    <x v="9"/>
    <x v="12"/>
    <d v="1900-01-09T00:00:00"/>
    <n v="50"/>
    <x v="2"/>
    <x v="6"/>
  </r>
  <r>
    <x v="1476"/>
    <n v="230"/>
    <x v="3091"/>
    <n v="9570.5499999999993"/>
    <s v="Complete Access"/>
    <x v="584"/>
    <x v="0"/>
    <x v="69"/>
    <d v="1900-01-08T00:00:00"/>
    <n v="50"/>
    <x v="2"/>
    <x v="6"/>
  </r>
  <r>
    <x v="1477"/>
    <n v="-100"/>
    <x v="2274"/>
    <n v="9320.5499999999993"/>
    <s v="Complete Access"/>
    <x v="552"/>
    <x v="0"/>
    <x v="74"/>
    <d v="1900-01-06T00:00:00"/>
    <n v="49"/>
    <x v="2"/>
    <x v="6"/>
  </r>
  <r>
    <x v="1477"/>
    <n v="20"/>
    <x v="2876"/>
    <n v="9340.5499999999993"/>
    <s v="Complete Access"/>
    <x v="27"/>
    <x v="1"/>
    <x v="5"/>
    <d v="1900-01-06T00:00:00"/>
    <n v="49"/>
    <x v="2"/>
    <x v="6"/>
  </r>
  <r>
    <x v="1478"/>
    <n v="-0.99"/>
    <x v="2859"/>
    <n v="9400.0499999999993"/>
    <s v="Complete Access"/>
    <x v="61"/>
    <x v="1"/>
    <x v="1"/>
    <d v="1900-01-05T00:00:00"/>
    <n v="49"/>
    <x v="2"/>
    <x v="6"/>
  </r>
  <r>
    <x v="1478"/>
    <n v="-40"/>
    <x v="3092"/>
    <n v="9401.0400000000009"/>
    <s v="Complete Access"/>
    <x v="12"/>
    <x v="5"/>
    <x v="8"/>
    <d v="1900-01-05T00:00:00"/>
    <n v="49"/>
    <x v="2"/>
    <x v="6"/>
  </r>
  <r>
    <x v="1478"/>
    <n v="20.5"/>
    <x v="3024"/>
    <n v="9420.5499999999993"/>
    <s v="Complete Access"/>
    <x v="27"/>
    <x v="1"/>
    <x v="5"/>
    <d v="1900-01-05T00:00:00"/>
    <n v="49"/>
    <x v="2"/>
    <x v="6"/>
  </r>
  <r>
    <x v="1479"/>
    <n v="-8.9"/>
    <x v="2863"/>
    <n v="9441.0400000000009"/>
    <s v="Complete Access"/>
    <x v="186"/>
    <x v="1"/>
    <x v="5"/>
    <d v="1900-01-04T00:00:00"/>
    <n v="49"/>
    <x v="2"/>
    <x v="6"/>
  </r>
  <r>
    <x v="1480"/>
    <n v="-0.91"/>
    <x v="2859"/>
    <n v="9180.43"/>
    <s v="Complete Access"/>
    <x v="61"/>
    <x v="1"/>
    <x v="1"/>
    <d v="1900-01-03T00:00:00"/>
    <n v="49"/>
    <x v="2"/>
    <x v="6"/>
  </r>
  <r>
    <x v="1480"/>
    <n v="-20"/>
    <x v="2948"/>
    <n v="9460.43"/>
    <s v="Complete Access"/>
    <x v="562"/>
    <x v="1"/>
    <x v="5"/>
    <d v="1900-01-03T00:00:00"/>
    <n v="49"/>
    <x v="2"/>
    <x v="6"/>
  </r>
  <r>
    <x v="1480"/>
    <n v="-10.49"/>
    <x v="2643"/>
    <n v="9449.94"/>
    <s v="Complete Access"/>
    <x v="215"/>
    <x v="1"/>
    <x v="1"/>
    <d v="1900-01-03T00:00:00"/>
    <n v="49"/>
    <x v="2"/>
    <x v="6"/>
  </r>
  <r>
    <x v="1480"/>
    <n v="300"/>
    <x v="3093"/>
    <n v="9480.43"/>
    <s v="Complete Access"/>
    <x v="657"/>
    <x v="0"/>
    <x v="69"/>
    <d v="1900-01-03T00:00:00"/>
    <n v="49"/>
    <x v="2"/>
    <x v="6"/>
  </r>
  <r>
    <x v="1481"/>
    <n v="-4.75"/>
    <x v="2859"/>
    <n v="9207.64"/>
    <s v="Complete Access"/>
    <x v="61"/>
    <x v="1"/>
    <x v="1"/>
    <d v="1900-01-02T00:00:00"/>
    <n v="49"/>
    <x v="2"/>
    <x v="6"/>
  </r>
  <r>
    <x v="1481"/>
    <n v="-8.9"/>
    <x v="3094"/>
    <n v="9212.39"/>
    <s v="Complete Access"/>
    <x v="682"/>
    <x v="1"/>
    <x v="5"/>
    <d v="1900-01-02T00:00:00"/>
    <n v="49"/>
    <x v="2"/>
    <x v="6"/>
  </r>
  <r>
    <x v="1481"/>
    <n v="-26.3"/>
    <x v="2688"/>
    <n v="9181.34"/>
    <s v="Complete Access"/>
    <x v="177"/>
    <x v="1"/>
    <x v="1"/>
    <d v="1900-01-02T00:00:00"/>
    <n v="49"/>
    <x v="2"/>
    <x v="6"/>
  </r>
  <r>
    <x v="1482"/>
    <n v="-8.68"/>
    <x v="2859"/>
    <n v="9306.99"/>
    <s v="Complete Access"/>
    <x v="61"/>
    <x v="1"/>
    <x v="1"/>
    <d v="1900-01-01T00:00:00"/>
    <n v="49"/>
    <x v="2"/>
    <x v="6"/>
  </r>
  <r>
    <x v="1482"/>
    <n v="-13.4"/>
    <x v="3095"/>
    <n v="9293.59"/>
    <s v="Complete Access"/>
    <x v="714"/>
    <x v="1"/>
    <x v="5"/>
    <d v="1900-01-01T00:00:00"/>
    <n v="49"/>
    <x v="2"/>
    <x v="6"/>
  </r>
  <r>
    <x v="1482"/>
    <n v="100"/>
    <x v="3096"/>
    <n v="9221.2900000000009"/>
    <s v="Complete Access"/>
    <x v="584"/>
    <x v="0"/>
    <x v="69"/>
    <d v="1900-01-01T00:00:00"/>
    <n v="49"/>
    <x v="2"/>
    <x v="6"/>
  </r>
  <r>
    <x v="1482"/>
    <n v="-172.3"/>
    <x v="3097"/>
    <n v="9121.2900000000009"/>
    <s v="Complete Access"/>
    <x v="76"/>
    <x v="2"/>
    <x v="2"/>
    <d v="1900-01-01T00:00:00"/>
    <n v="49"/>
    <x v="2"/>
    <x v="6"/>
  </r>
  <r>
    <x v="1483"/>
    <n v="-20"/>
    <x v="2229"/>
    <n v="9315.67"/>
    <s v="Complete Access"/>
    <x v="557"/>
    <x v="7"/>
    <x v="53"/>
    <d v="1899-12-31T00:00:00"/>
    <n v="49"/>
    <x v="2"/>
    <x v="6"/>
  </r>
  <r>
    <x v="1484"/>
    <n v="-100"/>
    <x v="2274"/>
    <n v="9335.67"/>
    <s v="Complete Access"/>
    <x v="552"/>
    <x v="0"/>
    <x v="74"/>
    <d v="1900-01-29T00:00:00"/>
    <n v="48"/>
    <x v="3"/>
    <x v="6"/>
  </r>
  <r>
    <x v="1485"/>
    <n v="-40"/>
    <x v="3098"/>
    <n v="9456.34"/>
    <s v="Complete Access"/>
    <x v="12"/>
    <x v="5"/>
    <x v="8"/>
    <d v="1900-01-28T00:00:00"/>
    <n v="48"/>
    <x v="3"/>
    <x v="6"/>
  </r>
  <r>
    <x v="1485"/>
    <n v="-14"/>
    <x v="3000"/>
    <n v="9442.34"/>
    <s v="Complete Access"/>
    <x v="687"/>
    <x v="1"/>
    <x v="5"/>
    <d v="1900-01-28T00:00:00"/>
    <n v="48"/>
    <x v="3"/>
    <x v="6"/>
  </r>
  <r>
    <x v="1485"/>
    <n v="-6.67"/>
    <x v="2942"/>
    <n v="9435.67"/>
    <s v="Complete Access"/>
    <x v="681"/>
    <x v="1"/>
    <x v="5"/>
    <d v="1900-01-28T00:00:00"/>
    <n v="48"/>
    <x v="3"/>
    <x v="6"/>
  </r>
  <r>
    <x v="1486"/>
    <n v="-1.74"/>
    <x v="2859"/>
    <n v="9496.34"/>
    <s v="Complete Access"/>
    <x v="61"/>
    <x v="1"/>
    <x v="1"/>
    <d v="1900-01-27T00:00:00"/>
    <n v="48"/>
    <x v="3"/>
    <x v="6"/>
  </r>
  <r>
    <x v="1486"/>
    <n v="2053.4899999999998"/>
    <x v="3099"/>
    <n v="9998.08"/>
    <s v="Complete Access"/>
    <x v="14"/>
    <x v="6"/>
    <x v="9"/>
    <d v="1900-01-27T00:00:00"/>
    <n v="48"/>
    <x v="3"/>
    <x v="6"/>
  </r>
  <r>
    <x v="1486"/>
    <n v="-500"/>
    <x v="2294"/>
    <n v="9498.08"/>
    <s v="Complete Access"/>
    <x v="571"/>
    <x v="19"/>
    <x v="61"/>
    <d v="1900-01-27T00:00:00"/>
    <n v="48"/>
    <x v="3"/>
    <x v="6"/>
  </r>
  <r>
    <x v="1487"/>
    <n v="-8.1300000000000008"/>
    <x v="2859"/>
    <n v="7977.97"/>
    <s v="Complete Access"/>
    <x v="61"/>
    <x v="1"/>
    <x v="1"/>
    <d v="1900-01-26T00:00:00"/>
    <n v="48"/>
    <x v="3"/>
    <x v="6"/>
  </r>
  <r>
    <x v="1487"/>
    <n v="-65"/>
    <x v="3100"/>
    <n v="8071.47"/>
    <s v="Complete Access"/>
    <x v="8"/>
    <x v="1"/>
    <x v="5"/>
    <d v="1900-01-26T00:00:00"/>
    <n v="48"/>
    <x v="3"/>
    <x v="6"/>
  </r>
  <r>
    <x v="1487"/>
    <n v="-23.5"/>
    <x v="3101"/>
    <n v="8146.46"/>
    <s v="Complete Access"/>
    <x v="8"/>
    <x v="1"/>
    <x v="5"/>
    <d v="1900-01-26T00:00:00"/>
    <n v="48"/>
    <x v="3"/>
    <x v="6"/>
  </r>
  <r>
    <x v="1487"/>
    <n v="-41"/>
    <x v="3101"/>
    <n v="8169.96"/>
    <s v="Complete Access"/>
    <x v="8"/>
    <x v="1"/>
    <x v="5"/>
    <d v="1900-01-26T00:00:00"/>
    <n v="48"/>
    <x v="3"/>
    <x v="6"/>
  </r>
  <r>
    <x v="1487"/>
    <n v="-9.99"/>
    <x v="3102"/>
    <n v="8136.47"/>
    <s v="Complete Access"/>
    <x v="373"/>
    <x v="8"/>
    <x v="7"/>
    <d v="1900-01-26T00:00:00"/>
    <n v="48"/>
    <x v="3"/>
    <x v="6"/>
  </r>
  <r>
    <x v="1487"/>
    <n v="-50"/>
    <x v="2929"/>
    <n v="8210.9599999999991"/>
    <s v="Complete Access"/>
    <x v="645"/>
    <x v="0"/>
    <x v="69"/>
    <d v="1900-01-26T00:00:00"/>
    <n v="48"/>
    <x v="3"/>
    <x v="6"/>
  </r>
  <r>
    <x v="1487"/>
    <n v="-25.38"/>
    <x v="2643"/>
    <n v="7944.59"/>
    <s v="Complete Access"/>
    <x v="215"/>
    <x v="1"/>
    <x v="1"/>
    <d v="1900-01-26T00:00:00"/>
    <n v="48"/>
    <x v="3"/>
    <x v="6"/>
  </r>
  <r>
    <x v="1487"/>
    <n v="-61.4"/>
    <x v="3103"/>
    <n v="7986.1"/>
    <s v="Complete Access"/>
    <x v="1"/>
    <x v="1"/>
    <x v="1"/>
    <d v="1900-01-26T00:00:00"/>
    <n v="48"/>
    <x v="3"/>
    <x v="6"/>
  </r>
  <r>
    <x v="1487"/>
    <n v="-23.97"/>
    <x v="3104"/>
    <n v="8047.5"/>
    <s v="Complete Access"/>
    <x v="1"/>
    <x v="1"/>
    <x v="1"/>
    <d v="1900-01-26T00:00:00"/>
    <n v="48"/>
    <x v="3"/>
    <x v="6"/>
  </r>
  <r>
    <x v="1487"/>
    <n v="-8"/>
    <x v="3000"/>
    <n v="7969.97"/>
    <s v="Complete Access"/>
    <x v="687"/>
    <x v="1"/>
    <x v="5"/>
    <d v="1900-01-26T00:00:00"/>
    <n v="48"/>
    <x v="3"/>
    <x v="6"/>
  </r>
  <r>
    <x v="1488"/>
    <n v="-7"/>
    <x v="2891"/>
    <n v="8282.11"/>
    <s v="Complete Access"/>
    <x v="669"/>
    <x v="1"/>
    <x v="5"/>
    <d v="1900-01-25T00:00:00"/>
    <n v="48"/>
    <x v="3"/>
    <x v="6"/>
  </r>
  <r>
    <x v="1488"/>
    <n v="-11"/>
    <x v="3105"/>
    <n v="8289.11"/>
    <s v="Complete Access"/>
    <x v="682"/>
    <x v="1"/>
    <x v="5"/>
    <d v="1900-01-25T00:00:00"/>
    <n v="48"/>
    <x v="3"/>
    <x v="6"/>
  </r>
  <r>
    <x v="1488"/>
    <n v="-13.19"/>
    <x v="2874"/>
    <n v="8268.92"/>
    <s v="Complete Access"/>
    <x v="663"/>
    <x v="1"/>
    <x v="1"/>
    <d v="1900-01-25T00:00:00"/>
    <n v="48"/>
    <x v="3"/>
    <x v="6"/>
  </r>
  <r>
    <x v="1488"/>
    <n v="-7.96"/>
    <x v="2688"/>
    <n v="8260.9599999999991"/>
    <s v="Complete Access"/>
    <x v="177"/>
    <x v="1"/>
    <x v="1"/>
    <d v="1900-01-25T00:00:00"/>
    <n v="48"/>
    <x v="3"/>
    <x v="6"/>
  </r>
  <r>
    <x v="1489"/>
    <n v="-4.84"/>
    <x v="2859"/>
    <n v="8268.61"/>
    <s v="Complete Access"/>
    <x v="61"/>
    <x v="1"/>
    <x v="1"/>
    <d v="1900-01-24T00:00:00"/>
    <n v="48"/>
    <x v="3"/>
    <x v="6"/>
  </r>
  <r>
    <x v="1489"/>
    <n v="33.5"/>
    <x v="3024"/>
    <n v="8288.11"/>
    <s v="Complete Access"/>
    <x v="27"/>
    <x v="1"/>
    <x v="5"/>
    <d v="1900-01-24T00:00:00"/>
    <n v="48"/>
    <x v="3"/>
    <x v="6"/>
  </r>
  <r>
    <x v="1489"/>
    <n v="12"/>
    <x v="2876"/>
    <n v="8300.11"/>
    <s v="Complete Access"/>
    <x v="27"/>
    <x v="1"/>
    <x v="5"/>
    <d v="1900-01-24T00:00:00"/>
    <n v="48"/>
    <x v="3"/>
    <x v="6"/>
  </r>
  <r>
    <x v="1489"/>
    <n v="-14"/>
    <x v="3000"/>
    <n v="8254.61"/>
    <s v="Complete Access"/>
    <x v="687"/>
    <x v="1"/>
    <x v="5"/>
    <d v="1900-01-24T00:00:00"/>
    <n v="48"/>
    <x v="3"/>
    <x v="6"/>
  </r>
  <r>
    <x v="1490"/>
    <n v="-20"/>
    <x v="2971"/>
    <n v="8273.4500000000007"/>
    <s v="Complete Access"/>
    <x v="0"/>
    <x v="0"/>
    <x v="0"/>
    <d v="1900-01-23T00:00:00"/>
    <n v="48"/>
    <x v="3"/>
    <x v="6"/>
  </r>
  <r>
    <x v="1491"/>
    <n v="-40"/>
    <x v="3106"/>
    <n v="8293.4500000000007"/>
    <s v="Complete Access"/>
    <x v="12"/>
    <x v="5"/>
    <x v="8"/>
    <d v="1900-01-22T00:00:00"/>
    <n v="47"/>
    <x v="3"/>
    <x v="6"/>
  </r>
  <r>
    <x v="1491"/>
    <n v="-100"/>
    <x v="2274"/>
    <n v="8333.4500000000007"/>
    <s v="Complete Access"/>
    <x v="552"/>
    <x v="0"/>
    <x v="74"/>
    <d v="1900-01-22T00:00:00"/>
    <n v="47"/>
    <x v="3"/>
    <x v="6"/>
  </r>
  <r>
    <x v="1492"/>
    <n v="-3.5"/>
    <x v="2859"/>
    <n v="8447.4500000000007"/>
    <s v="Complete Access"/>
    <x v="61"/>
    <x v="1"/>
    <x v="1"/>
    <d v="1900-01-21T00:00:00"/>
    <n v="47"/>
    <x v="3"/>
    <x v="6"/>
  </r>
  <r>
    <x v="1492"/>
    <n v="-14"/>
    <x v="2863"/>
    <n v="8433.4500000000007"/>
    <s v="Complete Access"/>
    <x v="186"/>
    <x v="1"/>
    <x v="5"/>
    <d v="1900-01-21T00:00:00"/>
    <n v="47"/>
    <x v="3"/>
    <x v="6"/>
  </r>
  <r>
    <x v="1493"/>
    <n v="-4.25"/>
    <x v="2859"/>
    <n v="8450.9500000000007"/>
    <s v="Complete Access"/>
    <x v="61"/>
    <x v="1"/>
    <x v="1"/>
    <d v="1900-01-20T00:00:00"/>
    <n v="47"/>
    <x v="3"/>
    <x v="6"/>
  </r>
  <r>
    <x v="1493"/>
    <n v="-196.71"/>
    <x v="3107"/>
    <n v="8455.2000000000007"/>
    <s v="Complete Access"/>
    <x v="0"/>
    <x v="0"/>
    <x v="0"/>
    <d v="1900-01-20T00:00:00"/>
    <n v="47"/>
    <x v="3"/>
    <x v="6"/>
  </r>
  <r>
    <x v="1494"/>
    <n v="-24"/>
    <x v="3108"/>
    <n v="8688.83"/>
    <s v="Complete Access"/>
    <x v="8"/>
    <x v="1"/>
    <x v="5"/>
    <d v="1900-01-19T00:00:00"/>
    <n v="47"/>
    <x v="3"/>
    <x v="6"/>
  </r>
  <r>
    <x v="1494"/>
    <n v="-20.52"/>
    <x v="2643"/>
    <n v="8651.91"/>
    <s v="Complete Access"/>
    <x v="215"/>
    <x v="1"/>
    <x v="1"/>
    <d v="1900-01-19T00:00:00"/>
    <n v="47"/>
    <x v="3"/>
    <x v="6"/>
  </r>
  <r>
    <x v="1494"/>
    <n v="-16.399999999999999"/>
    <x v="2863"/>
    <n v="8672.43"/>
    <s v="Complete Access"/>
    <x v="186"/>
    <x v="1"/>
    <x v="5"/>
    <d v="1900-01-19T00:00:00"/>
    <n v="47"/>
    <x v="3"/>
    <x v="6"/>
  </r>
  <r>
    <x v="1495"/>
    <n v="-8.9"/>
    <x v="3109"/>
    <n v="8756.83"/>
    <s v="Complete Access"/>
    <x v="682"/>
    <x v="1"/>
    <x v="5"/>
    <d v="1900-01-18T00:00:00"/>
    <n v="47"/>
    <x v="3"/>
    <x v="6"/>
  </r>
  <r>
    <x v="1495"/>
    <n v="-11"/>
    <x v="2762"/>
    <n v="8712.83"/>
    <s v="Complete Access"/>
    <x v="616"/>
    <x v="1"/>
    <x v="1"/>
    <d v="1900-01-18T00:00:00"/>
    <n v="47"/>
    <x v="3"/>
    <x v="6"/>
  </r>
  <r>
    <x v="1495"/>
    <n v="-7"/>
    <x v="3110"/>
    <n v="8723.83"/>
    <s v="Complete Access"/>
    <x v="715"/>
    <x v="8"/>
    <x v="29"/>
    <d v="1900-01-18T00:00:00"/>
    <n v="47"/>
    <x v="3"/>
    <x v="6"/>
  </r>
  <r>
    <x v="1495"/>
    <n v="-22"/>
    <x v="3110"/>
    <n v="8730.83"/>
    <s v="Complete Access"/>
    <x v="715"/>
    <x v="8"/>
    <x v="29"/>
    <d v="1900-01-18T00:00:00"/>
    <n v="47"/>
    <x v="3"/>
    <x v="6"/>
  </r>
  <r>
    <x v="1495"/>
    <n v="-4"/>
    <x v="3111"/>
    <n v="8752.83"/>
    <s v="Complete Access"/>
    <x v="277"/>
    <x v="8"/>
    <x v="29"/>
    <d v="1900-01-18T00:00:00"/>
    <n v="47"/>
    <x v="3"/>
    <x v="6"/>
  </r>
  <r>
    <x v="1496"/>
    <n v="-1.1499999999999999"/>
    <x v="2643"/>
    <n v="8765.73"/>
    <s v="Complete Access"/>
    <x v="215"/>
    <x v="1"/>
    <x v="1"/>
    <d v="1900-01-17T00:00:00"/>
    <n v="47"/>
    <x v="3"/>
    <x v="6"/>
  </r>
  <r>
    <x v="1496"/>
    <n v="-10.39"/>
    <x v="2874"/>
    <n v="8776.8700000000008"/>
    <s v="Complete Access"/>
    <x v="663"/>
    <x v="1"/>
    <x v="1"/>
    <d v="1900-01-17T00:00:00"/>
    <n v="47"/>
    <x v="3"/>
    <x v="6"/>
  </r>
  <r>
    <x v="1496"/>
    <n v="-9.99"/>
    <x v="2688"/>
    <n v="8766.8799999999992"/>
    <s v="Complete Access"/>
    <x v="177"/>
    <x v="1"/>
    <x v="1"/>
    <d v="1900-01-17T00:00:00"/>
    <n v="47"/>
    <x v="3"/>
    <x v="6"/>
  </r>
  <r>
    <x v="1496"/>
    <n v="-14.5"/>
    <x v="2494"/>
    <n v="8770.26"/>
    <s v="Complete Access"/>
    <x v="27"/>
    <x v="1"/>
    <x v="5"/>
    <d v="1900-01-17T00:00:00"/>
    <n v="47"/>
    <x v="3"/>
    <x v="6"/>
  </r>
  <r>
    <x v="1496"/>
    <n v="17"/>
    <x v="3112"/>
    <n v="8787.26"/>
    <s v="Complete Access"/>
    <x v="76"/>
    <x v="2"/>
    <x v="2"/>
    <d v="1900-01-17T00:00:00"/>
    <n v="47"/>
    <x v="3"/>
    <x v="6"/>
  </r>
  <r>
    <x v="1497"/>
    <n v="-8.9"/>
    <x v="3113"/>
    <n v="8801.66"/>
    <s v="Complete Access"/>
    <x v="682"/>
    <x v="1"/>
    <x v="5"/>
    <d v="1900-01-15T00:00:00"/>
    <n v="46"/>
    <x v="3"/>
    <x v="6"/>
  </r>
  <r>
    <x v="1497"/>
    <n v="-100"/>
    <x v="2274"/>
    <n v="8810.56"/>
    <s v="Complete Access"/>
    <x v="552"/>
    <x v="0"/>
    <x v="74"/>
    <d v="1900-01-15T00:00:00"/>
    <n v="46"/>
    <x v="3"/>
    <x v="6"/>
  </r>
  <r>
    <x v="1497"/>
    <n v="-16.899999999999999"/>
    <x v="2638"/>
    <n v="8784.76"/>
    <s v="Complete Access"/>
    <x v="304"/>
    <x v="1"/>
    <x v="5"/>
    <d v="1900-01-15T00:00:00"/>
    <n v="46"/>
    <x v="3"/>
    <x v="6"/>
  </r>
  <r>
    <x v="1498"/>
    <n v="-2.5"/>
    <x v="2859"/>
    <n v="8916.64"/>
    <s v="Complete Access"/>
    <x v="61"/>
    <x v="1"/>
    <x v="1"/>
    <d v="1900-01-14T00:00:00"/>
    <n v="46"/>
    <x v="3"/>
    <x v="6"/>
  </r>
  <r>
    <x v="1498"/>
    <n v="-40"/>
    <x v="3114"/>
    <n v="8928.64"/>
    <s v="Complete Access"/>
    <x v="12"/>
    <x v="5"/>
    <x v="8"/>
    <d v="1900-01-14T00:00:00"/>
    <n v="46"/>
    <x v="3"/>
    <x v="6"/>
  </r>
  <r>
    <x v="1498"/>
    <n v="-6.08"/>
    <x v="2643"/>
    <n v="8910.56"/>
    <s v="Complete Access"/>
    <x v="215"/>
    <x v="1"/>
    <x v="1"/>
    <d v="1900-01-14T00:00:00"/>
    <n v="46"/>
    <x v="3"/>
    <x v="6"/>
  </r>
  <r>
    <x v="1498"/>
    <n v="-9.5"/>
    <x v="3115"/>
    <n v="8919.14"/>
    <s v="Complete Access"/>
    <x v="277"/>
    <x v="8"/>
    <x v="29"/>
    <d v="1900-01-14T00:00:00"/>
    <n v="46"/>
    <x v="3"/>
    <x v="6"/>
  </r>
  <r>
    <x v="1499"/>
    <n v="-3.18"/>
    <x v="2859"/>
    <n v="8968.64"/>
    <s v="Complete Access"/>
    <x v="61"/>
    <x v="1"/>
    <x v="1"/>
    <d v="1900-01-13T00:00:00"/>
    <n v="46"/>
    <x v="3"/>
    <x v="6"/>
  </r>
  <r>
    <x v="1499"/>
    <n v="-46.5"/>
    <x v="3116"/>
    <n v="8971.82"/>
    <s v="Complete Access"/>
    <x v="8"/>
    <x v="1"/>
    <x v="5"/>
    <d v="1900-01-13T00:00:00"/>
    <n v="46"/>
    <x v="3"/>
    <x v="6"/>
  </r>
  <r>
    <x v="1499"/>
    <n v="2053.4899999999998"/>
    <x v="3117"/>
    <n v="9518.32"/>
    <s v="Complete Access"/>
    <x v="14"/>
    <x v="6"/>
    <x v="9"/>
    <d v="1900-01-13T00:00:00"/>
    <n v="46"/>
    <x v="3"/>
    <x v="6"/>
  </r>
  <r>
    <x v="1499"/>
    <n v="-500"/>
    <x v="2294"/>
    <n v="9018.32"/>
    <s v="Complete Access"/>
    <x v="571"/>
    <x v="19"/>
    <x v="61"/>
    <d v="1900-01-13T00:00:00"/>
    <n v="46"/>
    <x v="3"/>
    <x v="6"/>
  </r>
  <r>
    <x v="1500"/>
    <n v="-1.62"/>
    <x v="2859"/>
    <n v="7476.23"/>
    <s v="Complete Access"/>
    <x v="61"/>
    <x v="1"/>
    <x v="1"/>
    <d v="1900-01-12T00:00:00"/>
    <n v="46"/>
    <x v="3"/>
    <x v="6"/>
  </r>
  <r>
    <x v="1500"/>
    <n v="-37.5"/>
    <x v="3118"/>
    <n v="7477.85"/>
    <s v="Complete Access"/>
    <x v="8"/>
    <x v="1"/>
    <x v="5"/>
    <d v="1900-01-12T00:00:00"/>
    <n v="46"/>
    <x v="3"/>
    <x v="6"/>
  </r>
  <r>
    <x v="1500"/>
    <n v="-11.4"/>
    <x v="2762"/>
    <n v="7464.83"/>
    <s v="Complete Access"/>
    <x v="616"/>
    <x v="1"/>
    <x v="1"/>
    <d v="1900-01-12T00:00:00"/>
    <n v="46"/>
    <x v="3"/>
    <x v="6"/>
  </r>
  <r>
    <x v="1501"/>
    <n v="-23.5"/>
    <x v="3119"/>
    <n v="7595.35"/>
    <s v="Complete Access"/>
    <x v="8"/>
    <x v="1"/>
    <x v="5"/>
    <d v="1900-01-11T00:00:00"/>
    <n v="46"/>
    <x v="3"/>
    <x v="6"/>
  </r>
  <r>
    <x v="1501"/>
    <n v="-25"/>
    <x v="3120"/>
    <n v="7618.85"/>
    <s v="Complete Access"/>
    <x v="192"/>
    <x v="4"/>
    <x v="20"/>
    <d v="1900-01-11T00:00:00"/>
    <n v="46"/>
    <x v="3"/>
    <x v="6"/>
  </r>
  <r>
    <x v="1501"/>
    <n v="-80"/>
    <x v="3121"/>
    <n v="7515.35"/>
    <s v="Complete Access"/>
    <x v="716"/>
    <x v="11"/>
    <x v="49"/>
    <d v="1900-01-11T00:00:00"/>
    <n v="46"/>
    <x v="3"/>
    <x v="6"/>
  </r>
  <r>
    <x v="1502"/>
    <n v="-1.1100000000000001"/>
    <x v="2859"/>
    <n v="7822.12"/>
    <s v="Complete Access"/>
    <x v="61"/>
    <x v="1"/>
    <x v="1"/>
    <d v="1900-01-10T00:00:00"/>
    <n v="46"/>
    <x v="3"/>
    <x v="6"/>
  </r>
  <r>
    <x v="1502"/>
    <n v="-52"/>
    <x v="2929"/>
    <n v="7716.85"/>
    <s v="Complete Access"/>
    <x v="645"/>
    <x v="0"/>
    <x v="69"/>
    <d v="1900-01-10T00:00:00"/>
    <n v="46"/>
    <x v="3"/>
    <x v="6"/>
  </r>
  <r>
    <x v="1502"/>
    <n v="-39.270000000000003"/>
    <x v="2688"/>
    <n v="7768.85"/>
    <s v="Complete Access"/>
    <x v="177"/>
    <x v="1"/>
    <x v="1"/>
    <d v="1900-01-10T00:00:00"/>
    <n v="46"/>
    <x v="3"/>
    <x v="6"/>
  </r>
  <r>
    <x v="1502"/>
    <n v="-73"/>
    <x v="2543"/>
    <n v="7643.85"/>
    <s v="Complete Access"/>
    <x v="17"/>
    <x v="7"/>
    <x v="11"/>
    <d v="1900-01-10T00:00:00"/>
    <n v="46"/>
    <x v="3"/>
    <x v="6"/>
  </r>
  <r>
    <x v="1502"/>
    <n v="-14"/>
    <x v="3000"/>
    <n v="7808.12"/>
    <s v="Complete Access"/>
    <x v="687"/>
    <x v="1"/>
    <x v="5"/>
    <d v="1900-01-10T00:00:00"/>
    <n v="46"/>
    <x v="3"/>
    <x v="6"/>
  </r>
  <r>
    <x v="1503"/>
    <n v="-362.07"/>
    <x v="3122"/>
    <n v="7934.09"/>
    <s v="Complete Access"/>
    <x v="256"/>
    <x v="4"/>
    <x v="47"/>
    <d v="1900-01-08T00:00:00"/>
    <n v="45"/>
    <x v="3"/>
    <x v="6"/>
  </r>
  <r>
    <x v="1503"/>
    <n v="-40"/>
    <x v="3123"/>
    <n v="8388.66"/>
    <s v="Complete Access"/>
    <x v="12"/>
    <x v="5"/>
    <x v="8"/>
    <d v="1900-01-08T00:00:00"/>
    <n v="45"/>
    <x v="3"/>
    <x v="6"/>
  </r>
  <r>
    <x v="1503"/>
    <n v="-58.31"/>
    <x v="3124"/>
    <n v="8330.35"/>
    <s v="Complete Access"/>
    <x v="717"/>
    <x v="1"/>
    <x v="5"/>
    <d v="1900-01-08T00:00:00"/>
    <n v="45"/>
    <x v="3"/>
    <x v="6"/>
  </r>
  <r>
    <x v="1503"/>
    <n v="-10.86"/>
    <x v="3125"/>
    <n v="7923.23"/>
    <s v="Complete Access"/>
    <x v="10"/>
    <x v="0"/>
    <x v="0"/>
    <d v="1900-01-08T00:00:00"/>
    <n v="45"/>
    <x v="3"/>
    <x v="6"/>
  </r>
  <r>
    <x v="1503"/>
    <n v="-100"/>
    <x v="2274"/>
    <n v="7823.23"/>
    <s v="Complete Access"/>
    <x v="552"/>
    <x v="0"/>
    <x v="74"/>
    <d v="1900-01-08T00:00:00"/>
    <n v="45"/>
    <x v="3"/>
    <x v="6"/>
  </r>
  <r>
    <x v="1503"/>
    <n v="-34.19"/>
    <x v="3126"/>
    <n v="8296.16"/>
    <s v="Complete Access"/>
    <x v="718"/>
    <x v="4"/>
    <x v="30"/>
    <d v="1900-01-08T00:00:00"/>
    <n v="45"/>
    <x v="3"/>
    <x v="6"/>
  </r>
  <r>
    <x v="1504"/>
    <n v="-5"/>
    <x v="2859"/>
    <n v="8464.66"/>
    <s v="Complete Access"/>
    <x v="61"/>
    <x v="1"/>
    <x v="1"/>
    <d v="1900-01-07T00:00:00"/>
    <n v="45"/>
    <x v="3"/>
    <x v="6"/>
  </r>
  <r>
    <x v="1504"/>
    <n v="-12.5"/>
    <x v="3127"/>
    <n v="8497.7999999999993"/>
    <s v="Complete Access"/>
    <x v="682"/>
    <x v="1"/>
    <x v="5"/>
    <d v="1900-01-07T00:00:00"/>
    <n v="45"/>
    <x v="3"/>
    <x v="6"/>
  </r>
  <r>
    <x v="1504"/>
    <n v="-17.5"/>
    <x v="3128"/>
    <n v="8447.16"/>
    <s v="Complete Access"/>
    <x v="719"/>
    <x v="1"/>
    <x v="5"/>
    <d v="1900-01-07T00:00:00"/>
    <n v="45"/>
    <x v="3"/>
    <x v="6"/>
  </r>
  <r>
    <x v="1504"/>
    <n v="-28.14"/>
    <x v="3129"/>
    <n v="8469.66"/>
    <s v="Complete Access"/>
    <x v="237"/>
    <x v="15"/>
    <x v="34"/>
    <d v="1900-01-07T00:00:00"/>
    <n v="45"/>
    <x v="3"/>
    <x v="6"/>
  </r>
  <r>
    <x v="1504"/>
    <n v="-18.5"/>
    <x v="2700"/>
    <n v="8428.66"/>
    <s v="Complete Access"/>
    <x v="243"/>
    <x v="1"/>
    <x v="23"/>
    <d v="1900-01-07T00:00:00"/>
    <n v="45"/>
    <x v="3"/>
    <x v="6"/>
  </r>
  <r>
    <x v="1505"/>
    <n v="-28.79"/>
    <x v="3130"/>
    <n v="8524.2999999999993"/>
    <s v="Complete Access"/>
    <x v="720"/>
    <x v="8"/>
    <x v="29"/>
    <d v="1900-01-06T00:00:00"/>
    <n v="45"/>
    <x v="3"/>
    <x v="6"/>
  </r>
  <r>
    <x v="1505"/>
    <n v="-19.190000000000001"/>
    <x v="3130"/>
    <n v="8553.09"/>
    <s v="Complete Access"/>
    <x v="720"/>
    <x v="8"/>
    <x v="29"/>
    <d v="1900-01-06T00:00:00"/>
    <n v="45"/>
    <x v="3"/>
    <x v="6"/>
  </r>
  <r>
    <x v="1505"/>
    <n v="-38.380000000000003"/>
    <x v="3130"/>
    <n v="8572.2800000000007"/>
    <s v="Complete Access"/>
    <x v="720"/>
    <x v="8"/>
    <x v="29"/>
    <d v="1900-01-06T00:00:00"/>
    <n v="45"/>
    <x v="3"/>
    <x v="6"/>
  </r>
  <r>
    <x v="1505"/>
    <n v="-33.08"/>
    <x v="3131"/>
    <n v="8610.66"/>
    <s v="Complete Access"/>
    <x v="668"/>
    <x v="15"/>
    <x v="34"/>
    <d v="1900-01-06T00:00:00"/>
    <n v="45"/>
    <x v="3"/>
    <x v="6"/>
  </r>
  <r>
    <x v="1505"/>
    <n v="-14"/>
    <x v="3000"/>
    <n v="8510.2999999999993"/>
    <s v="Complete Access"/>
    <x v="687"/>
    <x v="1"/>
    <x v="5"/>
    <d v="1900-01-06T00:00:00"/>
    <n v="45"/>
    <x v="3"/>
    <x v="6"/>
  </r>
  <r>
    <x v="1506"/>
    <n v="-42"/>
    <x v="3132"/>
    <n v="8673.11"/>
    <s v="Complete Access"/>
    <x v="8"/>
    <x v="1"/>
    <x v="5"/>
    <d v="1900-01-05T00:00:00"/>
    <n v="45"/>
    <x v="3"/>
    <x v="6"/>
  </r>
  <r>
    <x v="1506"/>
    <n v="-15"/>
    <x v="2948"/>
    <n v="8658.11"/>
    <s v="Complete Access"/>
    <x v="562"/>
    <x v="1"/>
    <x v="5"/>
    <d v="1900-01-05T00:00:00"/>
    <n v="45"/>
    <x v="3"/>
    <x v="6"/>
  </r>
  <r>
    <x v="1506"/>
    <n v="-14.37"/>
    <x v="2688"/>
    <n v="8643.74"/>
    <s v="Complete Access"/>
    <x v="177"/>
    <x v="1"/>
    <x v="1"/>
    <d v="1900-01-05T00:00:00"/>
    <n v="45"/>
    <x v="3"/>
    <x v="6"/>
  </r>
  <r>
    <x v="1507"/>
    <n v="-2.16"/>
    <x v="2859"/>
    <n v="8715.11"/>
    <s v="Complete Access"/>
    <x v="61"/>
    <x v="1"/>
    <x v="1"/>
    <d v="1900-01-04T00:00:00"/>
    <n v="45"/>
    <x v="3"/>
    <x v="6"/>
  </r>
  <r>
    <x v="1507"/>
    <n v="-40"/>
    <x v="3133"/>
    <n v="8756.7199999999993"/>
    <s v="Complete Access"/>
    <x v="12"/>
    <x v="5"/>
    <x v="8"/>
    <d v="1900-01-04T00:00:00"/>
    <n v="45"/>
    <x v="3"/>
    <x v="6"/>
  </r>
  <r>
    <x v="1507"/>
    <n v="-9"/>
    <x v="3134"/>
    <n v="8747.7199999999993"/>
    <s v="Complete Access"/>
    <x v="512"/>
    <x v="1"/>
    <x v="5"/>
    <d v="1900-01-04T00:00:00"/>
    <n v="45"/>
    <x v="3"/>
    <x v="6"/>
  </r>
  <r>
    <x v="1507"/>
    <n v="-30.45"/>
    <x v="3135"/>
    <n v="8717.27"/>
    <s v="Complete Access"/>
    <x v="237"/>
    <x v="15"/>
    <x v="34"/>
    <d v="1900-01-04T00:00:00"/>
    <n v="45"/>
    <x v="3"/>
    <x v="6"/>
  </r>
  <r>
    <x v="1508"/>
    <n v="-2.4300000000000002"/>
    <x v="2859"/>
    <n v="8823.6200000000008"/>
    <s v="Complete Access"/>
    <x v="61"/>
    <x v="1"/>
    <x v="1"/>
    <d v="1900-01-03T00:00:00"/>
    <n v="45"/>
    <x v="3"/>
    <x v="6"/>
  </r>
  <r>
    <x v="1508"/>
    <n v="-26.9"/>
    <x v="2688"/>
    <n v="8796.7199999999993"/>
    <s v="Complete Access"/>
    <x v="177"/>
    <x v="1"/>
    <x v="1"/>
    <d v="1900-01-03T00:00:00"/>
    <n v="45"/>
    <x v="3"/>
    <x v="6"/>
  </r>
  <r>
    <x v="1509"/>
    <n v="18.5"/>
    <x v="3136"/>
    <n v="8839.5499999999993"/>
    <s v="Complete Access"/>
    <x v="27"/>
    <x v="1"/>
    <x v="5"/>
    <d v="1900-01-02T00:00:00"/>
    <n v="45"/>
    <x v="3"/>
    <x v="6"/>
  </r>
  <r>
    <x v="1509"/>
    <n v="-13.5"/>
    <x v="2971"/>
    <n v="8826.0499999999993"/>
    <s v="Complete Access"/>
    <x v="0"/>
    <x v="0"/>
    <x v="0"/>
    <d v="1900-01-02T00:00:00"/>
    <n v="45"/>
    <x v="3"/>
    <x v="6"/>
  </r>
  <r>
    <x v="1510"/>
    <n v="-8.9"/>
    <x v="3137"/>
    <n v="8849.0499999999993"/>
    <s v="Complete Access"/>
    <x v="682"/>
    <x v="1"/>
    <x v="5"/>
    <d v="1900-01-01T00:00:00"/>
    <n v="44"/>
    <x v="3"/>
    <x v="6"/>
  </r>
  <r>
    <x v="1510"/>
    <n v="-100"/>
    <x v="2274"/>
    <n v="8857.9500000000007"/>
    <s v="Complete Access"/>
    <x v="552"/>
    <x v="0"/>
    <x v="74"/>
    <d v="1900-01-01T00:00:00"/>
    <n v="44"/>
    <x v="3"/>
    <x v="6"/>
  </r>
  <r>
    <x v="1510"/>
    <n v="-28"/>
    <x v="3061"/>
    <n v="8821.0499999999993"/>
    <s v="Complete Access"/>
    <x v="27"/>
    <x v="1"/>
    <x v="5"/>
    <d v="1900-01-01T00:00:00"/>
    <n v="44"/>
    <x v="3"/>
    <x v="6"/>
  </r>
  <r>
    <x v="1511"/>
    <n v="-80"/>
    <x v="3138"/>
    <n v="8960.75"/>
    <s v="Complete Access"/>
    <x v="601"/>
    <x v="0"/>
    <x v="0"/>
    <d v="1899-12-31T00:00:00"/>
    <n v="44"/>
    <x v="3"/>
    <x v="6"/>
  </r>
  <r>
    <x v="1511"/>
    <n v="-32"/>
    <x v="3139"/>
    <n v="9213.0499999999993"/>
    <s v="Complete Access"/>
    <x v="721"/>
    <x v="8"/>
    <x v="29"/>
    <d v="1899-12-31T00:00:00"/>
    <n v="44"/>
    <x v="3"/>
    <x v="6"/>
  </r>
  <r>
    <x v="1511"/>
    <n v="-10"/>
    <x v="3128"/>
    <n v="9245.0499999999993"/>
    <s v="Complete Access"/>
    <x v="719"/>
    <x v="1"/>
    <x v="5"/>
    <d v="1899-12-31T00:00:00"/>
    <n v="44"/>
    <x v="3"/>
    <x v="6"/>
  </r>
  <r>
    <x v="1511"/>
    <n v="-2.8"/>
    <x v="3140"/>
    <n v="8957.9500000000007"/>
    <s v="Complete Access"/>
    <x v="37"/>
    <x v="0"/>
    <x v="0"/>
    <d v="1899-12-31T00:00:00"/>
    <n v="44"/>
    <x v="3"/>
    <x v="6"/>
  </r>
  <r>
    <x v="1511"/>
    <n v="-20"/>
    <x v="2229"/>
    <n v="9255.0499999999993"/>
    <s v="Complete Access"/>
    <x v="557"/>
    <x v="7"/>
    <x v="53"/>
    <d v="1899-12-31T00:00:00"/>
    <n v="44"/>
    <x v="3"/>
    <x v="6"/>
  </r>
  <r>
    <x v="1511"/>
    <n v="-24.5"/>
    <x v="3141"/>
    <n v="9275.0499999999993"/>
    <s v="Complete Access"/>
    <x v="460"/>
    <x v="8"/>
    <x v="29"/>
    <d v="1899-12-31T00:00:00"/>
    <n v="44"/>
    <x v="3"/>
    <x v="6"/>
  </r>
  <r>
    <x v="1511"/>
    <n v="-172.3"/>
    <x v="3142"/>
    <n v="9040.75"/>
    <s v="Complete Access"/>
    <x v="76"/>
    <x v="2"/>
    <x v="2"/>
    <d v="1899-12-31T00:00:00"/>
    <n v="44"/>
    <x v="3"/>
    <x v="6"/>
  </r>
  <r>
    <x v="1512"/>
    <n v="-4"/>
    <x v="2859"/>
    <n v="9514.35"/>
    <s v="Complete Access"/>
    <x v="61"/>
    <x v="1"/>
    <x v="1"/>
    <d v="1900-01-30T00:00:00"/>
    <n v="44"/>
    <x v="4"/>
    <x v="6"/>
  </r>
  <r>
    <x v="1512"/>
    <n v="2053.4899999999998"/>
    <x v="3143"/>
    <n v="10018.35"/>
    <s v="Complete Access"/>
    <x v="14"/>
    <x v="6"/>
    <x v="9"/>
    <d v="1900-01-30T00:00:00"/>
    <n v="44"/>
    <x v="4"/>
    <x v="6"/>
  </r>
  <r>
    <x v="1512"/>
    <n v="-500"/>
    <x v="2294"/>
    <n v="9518.35"/>
    <s v="Complete Access"/>
    <x v="571"/>
    <x v="19"/>
    <x v="61"/>
    <d v="1900-01-30T00:00:00"/>
    <n v="44"/>
    <x v="4"/>
    <x v="6"/>
  </r>
  <r>
    <x v="1512"/>
    <n v="-200"/>
    <x v="2999"/>
    <n v="9299.5499999999993"/>
    <s v="Complete Access"/>
    <x v="0"/>
    <x v="0"/>
    <x v="0"/>
    <d v="1900-01-30T00:00:00"/>
    <n v="44"/>
    <x v="4"/>
    <x v="6"/>
  </r>
  <r>
    <x v="1512"/>
    <n v="-4.9000000000000004"/>
    <x v="2863"/>
    <n v="9499.5499999999993"/>
    <s v="Complete Access"/>
    <x v="186"/>
    <x v="1"/>
    <x v="5"/>
    <d v="1900-01-30T00:00:00"/>
    <n v="44"/>
    <x v="4"/>
    <x v="6"/>
  </r>
  <r>
    <x v="1512"/>
    <n v="-9.9"/>
    <x v="2863"/>
    <n v="9504.4500000000007"/>
    <s v="Complete Access"/>
    <x v="186"/>
    <x v="1"/>
    <x v="5"/>
    <d v="1900-01-30T00:00:00"/>
    <n v="44"/>
    <x v="4"/>
    <x v="6"/>
  </r>
  <r>
    <x v="1513"/>
    <n v="-7.2"/>
    <x v="2859"/>
    <n v="7986.74"/>
    <s v="Complete Access"/>
    <x v="61"/>
    <x v="1"/>
    <x v="1"/>
    <d v="1900-01-29T00:00:00"/>
    <n v="44"/>
    <x v="4"/>
    <x v="6"/>
  </r>
  <r>
    <x v="1513"/>
    <n v="-33.5"/>
    <x v="3144"/>
    <n v="7993.94"/>
    <s v="Complete Access"/>
    <x v="8"/>
    <x v="1"/>
    <x v="5"/>
    <d v="1900-01-29T00:00:00"/>
    <n v="44"/>
    <x v="4"/>
    <x v="6"/>
  </r>
  <r>
    <x v="1513"/>
    <n v="-3.73"/>
    <x v="3145"/>
    <n v="8027.44"/>
    <s v="Complete Access"/>
    <x v="285"/>
    <x v="5"/>
    <x v="8"/>
    <d v="1900-01-29T00:00:00"/>
    <n v="44"/>
    <x v="4"/>
    <x v="6"/>
  </r>
  <r>
    <x v="1513"/>
    <n v="-21.88"/>
    <x v="2688"/>
    <n v="7964.86"/>
    <s v="Complete Access"/>
    <x v="177"/>
    <x v="1"/>
    <x v="1"/>
    <d v="1900-01-29T00:00:00"/>
    <n v="44"/>
    <x v="4"/>
    <x v="6"/>
  </r>
  <r>
    <x v="1514"/>
    <n v="-2.33"/>
    <x v="2859"/>
    <n v="8042.81"/>
    <s v="Complete Access"/>
    <x v="61"/>
    <x v="1"/>
    <x v="1"/>
    <d v="1900-01-28T00:00:00"/>
    <n v="44"/>
    <x v="4"/>
    <x v="6"/>
  </r>
  <r>
    <x v="1514"/>
    <n v="-10.14"/>
    <x v="3146"/>
    <n v="8057.34"/>
    <s v="Complete Access"/>
    <x v="285"/>
    <x v="5"/>
    <x v="8"/>
    <d v="1900-01-28T00:00:00"/>
    <n v="44"/>
    <x v="4"/>
    <x v="6"/>
  </r>
  <r>
    <x v="1514"/>
    <n v="-40"/>
    <x v="3147"/>
    <n v="8067.48"/>
    <s v="Complete Access"/>
    <x v="12"/>
    <x v="5"/>
    <x v="8"/>
    <d v="1900-01-28T00:00:00"/>
    <n v="44"/>
    <x v="4"/>
    <x v="6"/>
  </r>
  <r>
    <x v="1514"/>
    <n v="-8.4499999999999993"/>
    <x v="2762"/>
    <n v="8034.36"/>
    <s v="Complete Access"/>
    <x v="616"/>
    <x v="1"/>
    <x v="1"/>
    <d v="1900-01-28T00:00:00"/>
    <n v="44"/>
    <x v="4"/>
    <x v="6"/>
  </r>
  <r>
    <x v="1514"/>
    <n v="-12.2"/>
    <x v="3148"/>
    <n v="8045.14"/>
    <s v="Complete Access"/>
    <x v="213"/>
    <x v="1"/>
    <x v="23"/>
    <d v="1900-01-28T00:00:00"/>
    <n v="44"/>
    <x v="4"/>
    <x v="6"/>
  </r>
  <r>
    <x v="1514"/>
    <n v="-3.19"/>
    <x v="2643"/>
    <n v="8031.17"/>
    <s v="Complete Access"/>
    <x v="215"/>
    <x v="1"/>
    <x v="1"/>
    <d v="1900-01-28T00:00:00"/>
    <n v="44"/>
    <x v="4"/>
    <x v="6"/>
  </r>
  <r>
    <x v="1515"/>
    <n v="-15.03"/>
    <x v="2915"/>
    <n v="8107.48"/>
    <s v="Complete Access"/>
    <x v="674"/>
    <x v="8"/>
    <x v="29"/>
    <d v="1900-01-27T00:00:00"/>
    <n v="44"/>
    <x v="4"/>
    <x v="6"/>
  </r>
  <r>
    <x v="1515"/>
    <n v="-3.5"/>
    <x v="2859"/>
    <n v="7003.41"/>
    <s v="Complete Access"/>
    <x v="61"/>
    <x v="1"/>
    <x v="1"/>
    <d v="1900-01-27T00:00:00"/>
    <n v="44"/>
    <x v="4"/>
    <x v="6"/>
  </r>
  <r>
    <x v="1515"/>
    <n v="1130"/>
    <x v="3149"/>
    <n v="8133.41"/>
    <s v="Complete Access"/>
    <x v="722"/>
    <x v="0"/>
    <x v="0"/>
    <d v="1900-01-27T00:00:00"/>
    <n v="44"/>
    <x v="4"/>
    <x v="6"/>
  </r>
  <r>
    <x v="1515"/>
    <n v="-10.9"/>
    <x v="2863"/>
    <n v="8122.51"/>
    <s v="Complete Access"/>
    <x v="186"/>
    <x v="1"/>
    <x v="5"/>
    <d v="1900-01-27T00:00:00"/>
    <n v="44"/>
    <x v="4"/>
    <x v="6"/>
  </r>
  <r>
    <x v="1516"/>
    <n v="-100"/>
    <x v="2274"/>
    <n v="7027.31"/>
    <s v="Complete Access"/>
    <x v="552"/>
    <x v="0"/>
    <x v="74"/>
    <d v="1900-01-25T00:00:00"/>
    <n v="43"/>
    <x v="4"/>
    <x v="6"/>
  </r>
  <r>
    <x v="1516"/>
    <n v="-7.5"/>
    <x v="3061"/>
    <n v="7006.91"/>
    <s v="Complete Access"/>
    <x v="27"/>
    <x v="1"/>
    <x v="5"/>
    <d v="1900-01-25T00:00:00"/>
    <n v="43"/>
    <x v="4"/>
    <x v="6"/>
  </r>
  <r>
    <x v="1516"/>
    <n v="-12.9"/>
    <x v="3150"/>
    <n v="7014.41"/>
    <s v="Complete Access"/>
    <x v="186"/>
    <x v="1"/>
    <x v="5"/>
    <d v="1900-01-25T00:00:00"/>
    <n v="43"/>
    <x v="4"/>
    <x v="6"/>
  </r>
  <r>
    <x v="1517"/>
    <n v="1300"/>
    <x v="3151"/>
    <n v="7129.81"/>
    <s v="Complete Access"/>
    <x v="723"/>
    <x v="0"/>
    <x v="69"/>
    <d v="1900-01-24T00:00:00"/>
    <n v="43"/>
    <x v="4"/>
    <x v="6"/>
  </r>
  <r>
    <x v="1517"/>
    <n v="-8.9"/>
    <x v="3152"/>
    <n v="5857.81"/>
    <s v="Complete Access"/>
    <x v="682"/>
    <x v="1"/>
    <x v="5"/>
    <d v="1900-01-24T00:00:00"/>
    <n v="43"/>
    <x v="4"/>
    <x v="6"/>
  </r>
  <r>
    <x v="1517"/>
    <n v="-28"/>
    <x v="3128"/>
    <n v="5829.81"/>
    <s v="Complete Access"/>
    <x v="719"/>
    <x v="1"/>
    <x v="5"/>
    <d v="1900-01-24T00:00:00"/>
    <n v="43"/>
    <x v="4"/>
    <x v="6"/>
  </r>
  <r>
    <x v="1517"/>
    <n v="-2.5"/>
    <x v="2979"/>
    <n v="7127.31"/>
    <s v="Complete Access"/>
    <x v="685"/>
    <x v="20"/>
    <x v="63"/>
    <d v="1900-01-24T00:00:00"/>
    <n v="43"/>
    <x v="4"/>
    <x v="6"/>
  </r>
  <r>
    <x v="1518"/>
    <n v="-8.9"/>
    <x v="3153"/>
    <n v="5886.73"/>
    <s v="Complete Access"/>
    <x v="682"/>
    <x v="1"/>
    <x v="5"/>
    <d v="1900-01-23T00:00:00"/>
    <n v="43"/>
    <x v="4"/>
    <x v="6"/>
  </r>
  <r>
    <x v="1518"/>
    <n v="-20.02"/>
    <x v="3090"/>
    <n v="5866.71"/>
    <s v="Complete Access"/>
    <x v="580"/>
    <x v="9"/>
    <x v="12"/>
    <d v="1900-01-23T00:00:00"/>
    <n v="43"/>
    <x v="4"/>
    <x v="6"/>
  </r>
  <r>
    <x v="1519"/>
    <n v="-4.8099999999999996"/>
    <x v="2859"/>
    <n v="7325.63"/>
    <s v="Complete Access"/>
    <x v="61"/>
    <x v="1"/>
    <x v="1"/>
    <d v="1900-01-22T00:00:00"/>
    <n v="43"/>
    <x v="4"/>
    <x v="6"/>
  </r>
  <r>
    <x v="1519"/>
    <n v="-1300"/>
    <x v="3154"/>
    <n v="6025.63"/>
    <s v="Complete Access"/>
    <x v="724"/>
    <x v="8"/>
    <x v="40"/>
    <d v="1900-01-22T00:00:00"/>
    <n v="43"/>
    <x v="4"/>
    <x v="6"/>
  </r>
  <r>
    <x v="1519"/>
    <n v="-62"/>
    <x v="3155"/>
    <n v="7335.09"/>
    <s v="Complete Access"/>
    <x v="8"/>
    <x v="1"/>
    <x v="5"/>
    <d v="1900-01-22T00:00:00"/>
    <n v="43"/>
    <x v="4"/>
    <x v="6"/>
  </r>
  <r>
    <x v="1519"/>
    <n v="-9.99"/>
    <x v="3156"/>
    <n v="7397.09"/>
    <s v="Complete Access"/>
    <x v="373"/>
    <x v="8"/>
    <x v="7"/>
    <d v="1900-01-22T00:00:00"/>
    <n v="43"/>
    <x v="4"/>
    <x v="6"/>
  </r>
  <r>
    <x v="1519"/>
    <n v="-130"/>
    <x v="2929"/>
    <n v="5895.63"/>
    <s v="Complete Access"/>
    <x v="645"/>
    <x v="0"/>
    <x v="69"/>
    <d v="1900-01-22T00:00:00"/>
    <n v="43"/>
    <x v="4"/>
    <x v="6"/>
  </r>
  <r>
    <x v="1519"/>
    <n v="-4.6500000000000004"/>
    <x v="3157"/>
    <n v="7330.44"/>
    <s v="Complete Access"/>
    <x v="34"/>
    <x v="9"/>
    <x v="12"/>
    <d v="1900-01-22T00:00:00"/>
    <n v="43"/>
    <x v="4"/>
    <x v="6"/>
  </r>
  <r>
    <x v="1520"/>
    <n v="-40"/>
    <x v="3158"/>
    <n v="7447.08"/>
    <s v="Complete Access"/>
    <x v="12"/>
    <x v="5"/>
    <x v="8"/>
    <d v="1900-01-21T00:00:00"/>
    <n v="43"/>
    <x v="4"/>
    <x v="6"/>
  </r>
  <r>
    <x v="1520"/>
    <n v="-14"/>
    <x v="3159"/>
    <n v="7433.08"/>
    <s v="Complete Access"/>
    <x v="687"/>
    <x v="1"/>
    <x v="5"/>
    <d v="1900-01-21T00:00:00"/>
    <n v="43"/>
    <x v="4"/>
    <x v="6"/>
  </r>
  <r>
    <x v="1520"/>
    <n v="-26"/>
    <x v="3000"/>
    <n v="7407.08"/>
    <s v="Complete Access"/>
    <x v="687"/>
    <x v="1"/>
    <x v="5"/>
    <d v="1900-01-21T00:00:00"/>
    <n v="43"/>
    <x v="4"/>
    <x v="6"/>
  </r>
  <r>
    <x v="1521"/>
    <n v="-3.92"/>
    <x v="2859"/>
    <n v="7496.98"/>
    <s v="Complete Access"/>
    <x v="61"/>
    <x v="1"/>
    <x v="1"/>
    <d v="1900-01-20T00:00:00"/>
    <n v="43"/>
    <x v="4"/>
    <x v="6"/>
  </r>
  <r>
    <x v="1521"/>
    <n v="-9.9"/>
    <x v="2688"/>
    <n v="7487.08"/>
    <s v="Complete Access"/>
    <x v="177"/>
    <x v="1"/>
    <x v="1"/>
    <d v="1900-01-20T00:00:00"/>
    <n v="43"/>
    <x v="4"/>
    <x v="6"/>
  </r>
  <r>
    <x v="1522"/>
    <n v="-41.19"/>
    <x v="2643"/>
    <n v="7500.9"/>
    <s v="Complete Access"/>
    <x v="215"/>
    <x v="1"/>
    <x v="1"/>
    <d v="1900-01-19T00:00:00"/>
    <n v="43"/>
    <x v="4"/>
    <x v="6"/>
  </r>
  <r>
    <x v="1522"/>
    <n v="-40.79"/>
    <x v="2688"/>
    <n v="7542.09"/>
    <s v="Complete Access"/>
    <x v="177"/>
    <x v="1"/>
    <x v="1"/>
    <d v="1900-01-19T00:00:00"/>
    <n v="43"/>
    <x v="4"/>
    <x v="6"/>
  </r>
  <r>
    <x v="1523"/>
    <n v="-8.9"/>
    <x v="3160"/>
    <n v="7702.47"/>
    <s v="Complete Access"/>
    <x v="682"/>
    <x v="1"/>
    <x v="5"/>
    <d v="1900-01-18T00:00:00"/>
    <n v="42"/>
    <x v="4"/>
    <x v="6"/>
  </r>
  <r>
    <x v="1523"/>
    <n v="-60.71"/>
    <x v="2643"/>
    <n v="7611.96"/>
    <s v="Complete Access"/>
    <x v="215"/>
    <x v="1"/>
    <x v="1"/>
    <d v="1900-01-18T00:00:00"/>
    <n v="42"/>
    <x v="4"/>
    <x v="6"/>
  </r>
  <r>
    <x v="1523"/>
    <n v="-100"/>
    <x v="2274"/>
    <n v="7711.37"/>
    <s v="Complete Access"/>
    <x v="552"/>
    <x v="0"/>
    <x v="74"/>
    <d v="1900-01-18T00:00:00"/>
    <n v="42"/>
    <x v="4"/>
    <x v="6"/>
  </r>
  <r>
    <x v="1523"/>
    <n v="-29.08"/>
    <x v="2688"/>
    <n v="7582.88"/>
    <s v="Complete Access"/>
    <x v="177"/>
    <x v="1"/>
    <x v="1"/>
    <d v="1900-01-18T00:00:00"/>
    <n v="42"/>
    <x v="4"/>
    <x v="6"/>
  </r>
  <r>
    <x v="1523"/>
    <n v="-29.8"/>
    <x v="3061"/>
    <n v="7672.67"/>
    <s v="Complete Access"/>
    <x v="27"/>
    <x v="1"/>
    <x v="5"/>
    <d v="1900-01-18T00:00:00"/>
    <n v="42"/>
    <x v="4"/>
    <x v="6"/>
  </r>
  <r>
    <x v="1524"/>
    <n v="-50"/>
    <x v="2956"/>
    <n v="7811.37"/>
    <s v="Complete Access"/>
    <x v="601"/>
    <x v="0"/>
    <x v="0"/>
    <d v="1900-01-17T00:00:00"/>
    <n v="42"/>
    <x v="4"/>
    <x v="6"/>
  </r>
  <r>
    <x v="1524"/>
    <n v="-42"/>
    <x v="3161"/>
    <n v="7988.24"/>
    <s v="Complete Access"/>
    <x v="8"/>
    <x v="1"/>
    <x v="5"/>
    <d v="1900-01-17T00:00:00"/>
    <n v="42"/>
    <x v="4"/>
    <x v="6"/>
  </r>
  <r>
    <x v="1524"/>
    <n v="-26.09"/>
    <x v="3162"/>
    <n v="7962.15"/>
    <s v="Complete Access"/>
    <x v="725"/>
    <x v="4"/>
    <x v="73"/>
    <d v="1900-01-17T00:00:00"/>
    <n v="42"/>
    <x v="4"/>
    <x v="6"/>
  </r>
  <r>
    <x v="1524"/>
    <n v="-100"/>
    <x v="2929"/>
    <n v="7861.37"/>
    <s v="Complete Access"/>
    <x v="645"/>
    <x v="0"/>
    <x v="69"/>
    <d v="1900-01-17T00:00:00"/>
    <n v="42"/>
    <x v="4"/>
    <x v="6"/>
  </r>
  <r>
    <x v="1524"/>
    <n v="-0.78"/>
    <x v="3163"/>
    <n v="7961.37"/>
    <s v="Complete Access"/>
    <x v="10"/>
    <x v="0"/>
    <x v="0"/>
    <d v="1900-01-17T00:00:00"/>
    <n v="42"/>
    <x v="4"/>
    <x v="6"/>
  </r>
  <r>
    <x v="1525"/>
    <n v="-1.69"/>
    <x v="2859"/>
    <n v="8030.24"/>
    <s v="Complete Access"/>
    <x v="61"/>
    <x v="1"/>
    <x v="1"/>
    <d v="1900-01-16T00:00:00"/>
    <n v="42"/>
    <x v="4"/>
    <x v="6"/>
  </r>
  <r>
    <x v="1525"/>
    <n v="2620.59"/>
    <x v="3164"/>
    <n v="8531.93"/>
    <s v="Complete Access"/>
    <x v="14"/>
    <x v="6"/>
    <x v="9"/>
    <d v="1900-01-16T00:00:00"/>
    <n v="42"/>
    <x v="4"/>
    <x v="6"/>
  </r>
  <r>
    <x v="1525"/>
    <n v="-500"/>
    <x v="2294"/>
    <n v="8031.93"/>
    <s v="Complete Access"/>
    <x v="571"/>
    <x v="19"/>
    <x v="61"/>
    <d v="1900-01-16T00:00:00"/>
    <n v="42"/>
    <x v="4"/>
    <x v="6"/>
  </r>
  <r>
    <x v="1526"/>
    <n v="-27.9"/>
    <x v="3165"/>
    <n v="6545.14"/>
    <s v="Complete Access"/>
    <x v="8"/>
    <x v="1"/>
    <x v="5"/>
    <d v="1900-01-15T00:00:00"/>
    <n v="42"/>
    <x v="4"/>
    <x v="6"/>
  </r>
  <r>
    <x v="1526"/>
    <n v="-40"/>
    <x v="3166"/>
    <n v="6573.04"/>
    <s v="Complete Access"/>
    <x v="12"/>
    <x v="5"/>
    <x v="8"/>
    <d v="1900-01-15T00:00:00"/>
    <n v="42"/>
    <x v="4"/>
    <x v="6"/>
  </r>
  <r>
    <x v="1526"/>
    <n v="-6.2"/>
    <x v="2762"/>
    <n v="5911.34"/>
    <s v="Complete Access"/>
    <x v="616"/>
    <x v="1"/>
    <x v="1"/>
    <d v="1900-01-15T00:00:00"/>
    <n v="42"/>
    <x v="4"/>
    <x v="6"/>
  </r>
  <r>
    <x v="1526"/>
    <n v="-599"/>
    <x v="3167"/>
    <n v="5933.94"/>
    <s v="Complete Access"/>
    <x v="347"/>
    <x v="3"/>
    <x v="62"/>
    <d v="1900-01-15T00:00:00"/>
    <n v="42"/>
    <x v="4"/>
    <x v="6"/>
  </r>
  <r>
    <x v="1526"/>
    <n v="-16.399999999999999"/>
    <x v="2863"/>
    <n v="5917.54"/>
    <s v="Complete Access"/>
    <x v="186"/>
    <x v="1"/>
    <x v="5"/>
    <d v="1900-01-15T00:00:00"/>
    <n v="42"/>
    <x v="4"/>
    <x v="6"/>
  </r>
  <r>
    <x v="1526"/>
    <n v="-12.2"/>
    <x v="3168"/>
    <n v="6532.94"/>
    <s v="Complete Access"/>
    <x v="34"/>
    <x v="9"/>
    <x v="12"/>
    <d v="1900-01-15T00:00:00"/>
    <n v="42"/>
    <x v="4"/>
    <x v="6"/>
  </r>
  <r>
    <x v="1527"/>
    <n v="-8.9"/>
    <x v="3169"/>
    <n v="6613.04"/>
    <s v="Complete Access"/>
    <x v="682"/>
    <x v="1"/>
    <x v="5"/>
    <d v="1900-01-14T00:00:00"/>
    <n v="42"/>
    <x v="4"/>
    <x v="6"/>
  </r>
  <r>
    <x v="1528"/>
    <n v="-1.78"/>
    <x v="2859"/>
    <n v="6643.29"/>
    <s v="Complete Access"/>
    <x v="61"/>
    <x v="1"/>
    <x v="1"/>
    <d v="1900-01-13T00:00:00"/>
    <n v="42"/>
    <x v="4"/>
    <x v="6"/>
  </r>
  <r>
    <x v="1528"/>
    <n v="-7.35"/>
    <x v="2762"/>
    <n v="6621.94"/>
    <s v="Complete Access"/>
    <x v="616"/>
    <x v="1"/>
    <x v="1"/>
    <d v="1900-01-13T00:00:00"/>
    <n v="42"/>
    <x v="4"/>
    <x v="6"/>
  </r>
  <r>
    <x v="1528"/>
    <n v="-14"/>
    <x v="3000"/>
    <n v="6629.29"/>
    <s v="Complete Access"/>
    <x v="687"/>
    <x v="1"/>
    <x v="5"/>
    <d v="1900-01-13T00:00:00"/>
    <n v="42"/>
    <x v="4"/>
    <x v="6"/>
  </r>
  <r>
    <x v="1529"/>
    <n v="-33.61"/>
    <x v="2643"/>
    <n v="6645.07"/>
    <s v="Complete Access"/>
    <x v="215"/>
    <x v="1"/>
    <x v="1"/>
    <d v="1900-01-12T00:00:00"/>
    <n v="42"/>
    <x v="4"/>
    <x v="6"/>
  </r>
  <r>
    <x v="1530"/>
    <n v="-25"/>
    <x v="3170"/>
    <n v="6523.68"/>
    <s v="Complete Access"/>
    <x v="8"/>
    <x v="1"/>
    <x v="5"/>
    <d v="1900-01-11T00:00:00"/>
    <n v="41"/>
    <x v="4"/>
    <x v="6"/>
  </r>
  <r>
    <x v="1530"/>
    <n v="-100"/>
    <x v="2274"/>
    <n v="6548.68"/>
    <s v="Complete Access"/>
    <x v="552"/>
    <x v="0"/>
    <x v="74"/>
    <d v="1900-01-11T00:00:00"/>
    <n v="41"/>
    <x v="4"/>
    <x v="6"/>
  </r>
  <r>
    <x v="1530"/>
    <n v="155"/>
    <x v="3171"/>
    <n v="6678.68"/>
    <s v="Complete Access"/>
    <x v="567"/>
    <x v="0"/>
    <x v="69"/>
    <d v="1900-01-11T00:00:00"/>
    <n v="41"/>
    <x v="4"/>
    <x v="6"/>
  </r>
  <r>
    <x v="1531"/>
    <n v="-0.64"/>
    <x v="2859"/>
    <n v="6673.53"/>
    <s v="Complete Access"/>
    <x v="61"/>
    <x v="1"/>
    <x v="1"/>
    <d v="1900-01-10T00:00:00"/>
    <n v="41"/>
    <x v="4"/>
    <x v="6"/>
  </r>
  <r>
    <x v="1531"/>
    <n v="-40"/>
    <x v="3172"/>
    <n v="6683.07"/>
    <s v="Complete Access"/>
    <x v="12"/>
    <x v="5"/>
    <x v="8"/>
    <d v="1900-01-10T00:00:00"/>
    <n v="41"/>
    <x v="4"/>
    <x v="6"/>
  </r>
  <r>
    <x v="1531"/>
    <n v="-8.9"/>
    <x v="3173"/>
    <n v="6674.17"/>
    <s v="Complete Access"/>
    <x v="682"/>
    <x v="1"/>
    <x v="5"/>
    <d v="1900-01-10T00:00:00"/>
    <n v="41"/>
    <x v="4"/>
    <x v="6"/>
  </r>
  <r>
    <x v="1531"/>
    <n v="-9.4499999999999993"/>
    <x v="2762"/>
    <n v="6648.68"/>
    <s v="Complete Access"/>
    <x v="616"/>
    <x v="1"/>
    <x v="1"/>
    <d v="1900-01-10T00:00:00"/>
    <n v="41"/>
    <x v="4"/>
    <x v="6"/>
  </r>
  <r>
    <x v="1531"/>
    <n v="-15.4"/>
    <x v="2863"/>
    <n v="6658.13"/>
    <s v="Complete Access"/>
    <x v="186"/>
    <x v="1"/>
    <x v="5"/>
    <d v="1900-01-10T00:00:00"/>
    <n v="41"/>
    <x v="4"/>
    <x v="6"/>
  </r>
  <r>
    <x v="1532"/>
    <n v="-36.869999999999997"/>
    <x v="3174"/>
    <n v="6796.07"/>
    <s v="Complete Access"/>
    <x v="726"/>
    <x v="20"/>
    <x v="63"/>
    <d v="1900-01-09T00:00:00"/>
    <n v="41"/>
    <x v="4"/>
    <x v="6"/>
  </r>
  <r>
    <x v="1532"/>
    <n v="-73"/>
    <x v="2543"/>
    <n v="6723.07"/>
    <s v="Complete Access"/>
    <x v="17"/>
    <x v="7"/>
    <x v="11"/>
    <d v="1900-01-09T00:00:00"/>
    <n v="41"/>
    <x v="4"/>
    <x v="6"/>
  </r>
  <r>
    <x v="1533"/>
    <n v="-4.01"/>
    <x v="2859"/>
    <n v="6848.34"/>
    <s v="Complete Access"/>
    <x v="61"/>
    <x v="1"/>
    <x v="1"/>
    <d v="1900-01-08T00:00:00"/>
    <n v="41"/>
    <x v="4"/>
    <x v="6"/>
  </r>
  <r>
    <x v="1533"/>
    <n v="-28.5"/>
    <x v="3175"/>
    <n v="6852.35"/>
    <s v="Complete Access"/>
    <x v="8"/>
    <x v="1"/>
    <x v="5"/>
    <d v="1900-01-08T00:00:00"/>
    <n v="41"/>
    <x v="4"/>
    <x v="6"/>
  </r>
  <r>
    <x v="1533"/>
    <n v="-20"/>
    <x v="3176"/>
    <n v="6917.21"/>
    <s v="Complete Access"/>
    <x v="8"/>
    <x v="1"/>
    <x v="5"/>
    <d v="1900-01-08T00:00:00"/>
    <n v="41"/>
    <x v="4"/>
    <x v="6"/>
  </r>
  <r>
    <x v="1533"/>
    <n v="-11"/>
    <x v="3177"/>
    <n v="6937.21"/>
    <s v="Complete Access"/>
    <x v="727"/>
    <x v="1"/>
    <x v="5"/>
    <d v="1900-01-08T00:00:00"/>
    <n v="41"/>
    <x v="4"/>
    <x v="6"/>
  </r>
  <r>
    <x v="1533"/>
    <n v="-36.36"/>
    <x v="3178"/>
    <n v="6880.85"/>
    <s v="Complete Access"/>
    <x v="728"/>
    <x v="3"/>
    <x v="26"/>
    <d v="1900-01-08T00:00:00"/>
    <n v="41"/>
    <x v="4"/>
    <x v="6"/>
  </r>
  <r>
    <x v="1533"/>
    <n v="-15.4"/>
    <x v="2863"/>
    <n v="6832.94"/>
    <s v="Complete Access"/>
    <x v="186"/>
    <x v="1"/>
    <x v="5"/>
    <d v="1900-01-08T00:00:00"/>
    <n v="41"/>
    <x v="4"/>
    <x v="6"/>
  </r>
  <r>
    <x v="1533"/>
    <n v="-10.15"/>
    <x v="3179"/>
    <n v="6948.21"/>
    <s v="Complete Access"/>
    <x v="729"/>
    <x v="8"/>
    <x v="29"/>
    <d v="1900-01-08T00:00:00"/>
    <n v="41"/>
    <x v="4"/>
    <x v="6"/>
  </r>
  <r>
    <x v="1534"/>
    <n v="-40"/>
    <x v="3176"/>
    <n v="7037.02"/>
    <s v="Complete Access"/>
    <x v="8"/>
    <x v="1"/>
    <x v="5"/>
    <d v="1900-01-07T00:00:00"/>
    <n v="41"/>
    <x v="4"/>
    <x v="6"/>
  </r>
  <r>
    <x v="1534"/>
    <n v="-46"/>
    <x v="3180"/>
    <n v="7077.02"/>
    <s v="Complete Access"/>
    <x v="8"/>
    <x v="1"/>
    <x v="5"/>
    <d v="1900-01-07T00:00:00"/>
    <n v="41"/>
    <x v="4"/>
    <x v="6"/>
  </r>
  <r>
    <x v="1534"/>
    <n v="-38"/>
    <x v="3181"/>
    <n v="6990.12"/>
    <s v="Complete Access"/>
    <x v="8"/>
    <x v="1"/>
    <x v="5"/>
    <d v="1900-01-07T00:00:00"/>
    <n v="41"/>
    <x v="4"/>
    <x v="6"/>
  </r>
  <r>
    <x v="1534"/>
    <n v="-8.9"/>
    <x v="3182"/>
    <n v="7028.12"/>
    <s v="Complete Access"/>
    <x v="682"/>
    <x v="1"/>
    <x v="5"/>
    <d v="1900-01-07T00:00:00"/>
    <n v="41"/>
    <x v="4"/>
    <x v="6"/>
  </r>
  <r>
    <x v="1534"/>
    <n v="-10.5"/>
    <x v="2762"/>
    <n v="6979.62"/>
    <s v="Complete Access"/>
    <x v="616"/>
    <x v="1"/>
    <x v="1"/>
    <d v="1900-01-07T00:00:00"/>
    <n v="41"/>
    <x v="4"/>
    <x v="6"/>
  </r>
  <r>
    <x v="1534"/>
    <n v="-21.26"/>
    <x v="2643"/>
    <n v="6958.36"/>
    <s v="Complete Access"/>
    <x v="215"/>
    <x v="1"/>
    <x v="1"/>
    <d v="1900-01-07T00:00:00"/>
    <n v="41"/>
    <x v="4"/>
    <x v="6"/>
  </r>
  <r>
    <x v="1535"/>
    <n v="-140"/>
    <x v="3183"/>
    <n v="7125.92"/>
    <s v="Complete Access"/>
    <x v="601"/>
    <x v="0"/>
    <x v="0"/>
    <d v="1900-01-05T00:00:00"/>
    <n v="41"/>
    <x v="4"/>
    <x v="6"/>
  </r>
  <r>
    <x v="1535"/>
    <n v="-17"/>
    <x v="3184"/>
    <n v="7265.92"/>
    <s v="Complete Access"/>
    <x v="730"/>
    <x v="8"/>
    <x v="29"/>
    <d v="1900-01-05T00:00:00"/>
    <n v="41"/>
    <x v="4"/>
    <x v="6"/>
  </r>
  <r>
    <x v="1535"/>
    <n v="-2.9"/>
    <x v="72"/>
    <n v="7123.02"/>
    <s v="Complete Access"/>
    <x v="37"/>
    <x v="0"/>
    <x v="0"/>
    <d v="1900-01-05T00:00:00"/>
    <n v="41"/>
    <x v="4"/>
    <x v="6"/>
  </r>
  <r>
    <x v="1536"/>
    <n v="-15"/>
    <x v="3185"/>
    <n v="7282.92"/>
    <s v="Complete Access"/>
    <x v="254"/>
    <x v="16"/>
    <x v="35"/>
    <d v="1900-01-04T00:00:00"/>
    <n v="40"/>
    <x v="4"/>
    <x v="6"/>
  </r>
  <r>
    <x v="1536"/>
    <n v="-100"/>
    <x v="2274"/>
    <n v="7297.92"/>
    <s v="Complete Access"/>
    <x v="552"/>
    <x v="0"/>
    <x v="74"/>
    <d v="1900-01-04T00:00:00"/>
    <n v="40"/>
    <x v="4"/>
    <x v="6"/>
  </r>
  <r>
    <x v="1537"/>
    <n v="-51.6"/>
    <x v="3186"/>
    <n v="6368.14"/>
    <s v="Complete Access"/>
    <x v="8"/>
    <x v="1"/>
    <x v="5"/>
    <d v="1900-01-03T00:00:00"/>
    <n v="40"/>
    <x v="4"/>
    <x v="6"/>
  </r>
  <r>
    <x v="1537"/>
    <n v="-9.5"/>
    <x v="3187"/>
    <n v="6419.74"/>
    <s v="Complete Access"/>
    <x v="682"/>
    <x v="1"/>
    <x v="5"/>
    <d v="1900-01-03T00:00:00"/>
    <n v="40"/>
    <x v="4"/>
    <x v="6"/>
  </r>
  <r>
    <x v="1537"/>
    <n v="1044.94"/>
    <x v="3188"/>
    <n v="7397.92"/>
    <s v="Complete Access"/>
    <x v="14"/>
    <x v="6"/>
    <x v="9"/>
    <d v="1900-01-03T00:00:00"/>
    <n v="40"/>
    <x v="4"/>
    <x v="6"/>
  </r>
  <r>
    <x v="1537"/>
    <n v="-15.16"/>
    <x v="3189"/>
    <n v="6352.98"/>
    <s v="Complete Access"/>
    <x v="731"/>
    <x v="8"/>
    <x v="29"/>
    <d v="1900-01-03T00:00:00"/>
    <n v="40"/>
    <x v="4"/>
    <x v="6"/>
  </r>
  <r>
    <x v="1538"/>
    <n v="-40"/>
    <x v="3190"/>
    <n v="6454.24"/>
    <s v="Complete Access"/>
    <x v="12"/>
    <x v="5"/>
    <x v="8"/>
    <d v="1900-01-02T00:00:00"/>
    <n v="40"/>
    <x v="4"/>
    <x v="6"/>
  </r>
  <r>
    <x v="1538"/>
    <n v="-500"/>
    <x v="2294"/>
    <n v="6494.24"/>
    <s v="Complete Access"/>
    <x v="571"/>
    <x v="19"/>
    <x v="61"/>
    <d v="1900-01-02T00:00:00"/>
    <n v="40"/>
    <x v="4"/>
    <x v="6"/>
  </r>
  <r>
    <x v="1538"/>
    <n v="-25"/>
    <x v="3191"/>
    <n v="6429.24"/>
    <s v="Complete Access"/>
    <x v="732"/>
    <x v="8"/>
    <x v="29"/>
    <d v="1900-01-02T00:00:00"/>
    <n v="40"/>
    <x v="4"/>
    <x v="6"/>
  </r>
  <r>
    <x v="1539"/>
    <n v="-44.5"/>
    <x v="3192"/>
    <n v="7071.26"/>
    <s v="Complete Access"/>
    <x v="8"/>
    <x v="1"/>
    <x v="5"/>
    <d v="1900-01-01T00:00:00"/>
    <n v="40"/>
    <x v="4"/>
    <x v="6"/>
  </r>
  <r>
    <x v="1539"/>
    <n v="-23.3"/>
    <x v="3193"/>
    <n v="7047.96"/>
    <s v="Complete Access"/>
    <x v="8"/>
    <x v="1"/>
    <x v="5"/>
    <d v="1900-01-01T00:00:00"/>
    <n v="40"/>
    <x v="4"/>
    <x v="6"/>
  </r>
  <r>
    <x v="1539"/>
    <n v="-10"/>
    <x v="2929"/>
    <n v="6994.24"/>
    <s v="Complete Access"/>
    <x v="645"/>
    <x v="0"/>
    <x v="69"/>
    <d v="1900-01-01T00:00:00"/>
    <n v="40"/>
    <x v="4"/>
    <x v="6"/>
  </r>
  <r>
    <x v="1539"/>
    <n v="-30"/>
    <x v="2929"/>
    <n v="7004.24"/>
    <s v="Complete Access"/>
    <x v="645"/>
    <x v="0"/>
    <x v="69"/>
    <d v="1900-01-01T00:00:00"/>
    <n v="40"/>
    <x v="4"/>
    <x v="6"/>
  </r>
  <r>
    <x v="1539"/>
    <n v="-13.72"/>
    <x v="2688"/>
    <n v="7034.24"/>
    <s v="Complete Access"/>
    <x v="177"/>
    <x v="1"/>
    <x v="1"/>
    <d v="1900-01-01T00:00:00"/>
    <n v="40"/>
    <x v="4"/>
    <x v="6"/>
  </r>
  <r>
    <x v="1540"/>
    <n v="-53"/>
    <x v="3194"/>
    <n v="7298.96"/>
    <s v="Complete Access"/>
    <x v="8"/>
    <x v="1"/>
    <x v="5"/>
    <d v="1899-12-31T00:00:00"/>
    <n v="40"/>
    <x v="4"/>
    <x v="6"/>
  </r>
  <r>
    <x v="1540"/>
    <n v="-23"/>
    <x v="3195"/>
    <n v="7351.96"/>
    <s v="Complete Access"/>
    <x v="8"/>
    <x v="1"/>
    <x v="5"/>
    <d v="1899-12-31T00:00:00"/>
    <n v="40"/>
    <x v="4"/>
    <x v="6"/>
  </r>
  <r>
    <x v="1540"/>
    <n v="-9"/>
    <x v="3196"/>
    <n v="7374.96"/>
    <s v="Complete Access"/>
    <x v="682"/>
    <x v="1"/>
    <x v="5"/>
    <d v="1899-12-31T00:00:00"/>
    <n v="40"/>
    <x v="4"/>
    <x v="6"/>
  </r>
  <r>
    <x v="1540"/>
    <n v="-20"/>
    <x v="2229"/>
    <n v="7383.96"/>
    <s v="Complete Access"/>
    <x v="557"/>
    <x v="7"/>
    <x v="53"/>
    <d v="1899-12-31T00:00:00"/>
    <n v="40"/>
    <x v="4"/>
    <x v="6"/>
  </r>
  <r>
    <x v="1540"/>
    <n v="-172.3"/>
    <x v="3197"/>
    <n v="7115.76"/>
    <s v="Complete Access"/>
    <x v="76"/>
    <x v="2"/>
    <x v="2"/>
    <d v="1899-12-31T00:00:00"/>
    <n v="40"/>
    <x v="4"/>
    <x v="6"/>
  </r>
  <r>
    <x v="1540"/>
    <n v="-10.9"/>
    <x v="2863"/>
    <n v="7288.06"/>
    <s v="Complete Access"/>
    <x v="186"/>
    <x v="1"/>
    <x v="5"/>
    <d v="1899-12-31T00:00:00"/>
    <n v="40"/>
    <x v="4"/>
    <x v="6"/>
  </r>
  <r>
    <x v="1541"/>
    <n v="-0.93"/>
    <x v="2859"/>
    <n v="7443.03"/>
    <s v="Complete Access"/>
    <x v="61"/>
    <x v="1"/>
    <x v="1"/>
    <d v="1900-01-29T00:00:00"/>
    <n v="40"/>
    <x v="5"/>
    <x v="6"/>
  </r>
  <r>
    <x v="1541"/>
    <n v="-29.1"/>
    <x v="2762"/>
    <n v="7413.93"/>
    <s v="Complete Access"/>
    <x v="616"/>
    <x v="1"/>
    <x v="1"/>
    <d v="1900-01-29T00:00:00"/>
    <n v="40"/>
    <x v="5"/>
    <x v="6"/>
  </r>
  <r>
    <x v="1541"/>
    <n v="-9.9700000000000006"/>
    <x v="2643"/>
    <n v="7403.96"/>
    <s v="Complete Access"/>
    <x v="215"/>
    <x v="1"/>
    <x v="1"/>
    <d v="1900-01-29T00:00:00"/>
    <n v="40"/>
    <x v="5"/>
    <x v="6"/>
  </r>
  <r>
    <x v="1542"/>
    <n v="-25"/>
    <x v="2929"/>
    <n v="7443.96"/>
    <s v="Complete Access"/>
    <x v="645"/>
    <x v="0"/>
    <x v="69"/>
    <d v="1900-01-27T00:00:00"/>
    <n v="39"/>
    <x v="5"/>
    <x v="6"/>
  </r>
  <r>
    <x v="1542"/>
    <n v="-100"/>
    <x v="2274"/>
    <n v="7468.96"/>
    <s v="Complete Access"/>
    <x v="552"/>
    <x v="0"/>
    <x v="74"/>
    <d v="1900-01-27T00:00:00"/>
    <n v="39"/>
    <x v="5"/>
    <x v="6"/>
  </r>
  <r>
    <x v="1543"/>
    <n v="-0.99"/>
    <x v="2859"/>
    <n v="7568.96"/>
    <s v="Complete Access"/>
    <x v="61"/>
    <x v="1"/>
    <x v="1"/>
    <d v="1900-01-25T00:00:00"/>
    <n v="39"/>
    <x v="5"/>
    <x v="6"/>
  </r>
  <r>
    <x v="1543"/>
    <n v="-40"/>
    <x v="3198"/>
    <n v="7587.28"/>
    <s v="Complete Access"/>
    <x v="12"/>
    <x v="5"/>
    <x v="8"/>
    <d v="1900-01-25T00:00:00"/>
    <n v="39"/>
    <x v="5"/>
    <x v="6"/>
  </r>
  <r>
    <x v="1543"/>
    <n v="-17.329999999999998"/>
    <x v="3199"/>
    <n v="7569.95"/>
    <s v="Complete Access"/>
    <x v="237"/>
    <x v="15"/>
    <x v="34"/>
    <d v="1900-01-25T00:00:00"/>
    <n v="39"/>
    <x v="5"/>
    <x v="6"/>
  </r>
  <r>
    <x v="1544"/>
    <n v="-3.8"/>
    <x v="2859"/>
    <n v="5294.36"/>
    <s v="Complete Access"/>
    <x v="61"/>
    <x v="1"/>
    <x v="1"/>
    <d v="1900-01-24T00:00:00"/>
    <n v="39"/>
    <x v="5"/>
    <x v="6"/>
  </r>
  <r>
    <x v="1544"/>
    <n v="-15.2"/>
    <x v="3200"/>
    <n v="5298.16"/>
    <s v="Complete Access"/>
    <x v="8"/>
    <x v="1"/>
    <x v="5"/>
    <d v="1900-01-24T00:00:00"/>
    <n v="39"/>
    <x v="5"/>
    <x v="6"/>
  </r>
  <r>
    <x v="1544"/>
    <n v="-47"/>
    <x v="3200"/>
    <n v="5313.36"/>
    <s v="Complete Access"/>
    <x v="8"/>
    <x v="1"/>
    <x v="5"/>
    <d v="1900-01-24T00:00:00"/>
    <n v="39"/>
    <x v="5"/>
    <x v="6"/>
  </r>
  <r>
    <x v="1544"/>
    <n v="2366.8000000000002"/>
    <x v="3188"/>
    <n v="7627.28"/>
    <s v="Complete Access"/>
    <x v="14"/>
    <x v="6"/>
    <x v="9"/>
    <d v="1900-01-24T00:00:00"/>
    <n v="39"/>
    <x v="5"/>
    <x v="6"/>
  </r>
  <r>
    <x v="1544"/>
    <n v="-14.98"/>
    <x v="2643"/>
    <n v="5260.48"/>
    <s v="Complete Access"/>
    <x v="215"/>
    <x v="1"/>
    <x v="1"/>
    <d v="1900-01-24T00:00:00"/>
    <n v="39"/>
    <x v="5"/>
    <x v="6"/>
  </r>
  <r>
    <x v="1544"/>
    <n v="-18.899999999999999"/>
    <x v="2863"/>
    <n v="5275.46"/>
    <s v="Complete Access"/>
    <x v="186"/>
    <x v="1"/>
    <x v="5"/>
    <d v="1900-01-24T00:00:00"/>
    <n v="39"/>
    <x v="5"/>
    <x v="6"/>
  </r>
  <r>
    <x v="1544"/>
    <n v="-15.5"/>
    <x v="3201"/>
    <n v="5360.36"/>
    <s v="Complete Access"/>
    <x v="702"/>
    <x v="8"/>
    <x v="29"/>
    <d v="1900-01-24T00:00:00"/>
    <n v="39"/>
    <x v="5"/>
    <x v="6"/>
  </r>
  <r>
    <x v="1544"/>
    <n v="-14"/>
    <x v="3201"/>
    <n v="5375.86"/>
    <s v="Complete Access"/>
    <x v="702"/>
    <x v="8"/>
    <x v="29"/>
    <d v="1900-01-24T00:00:00"/>
    <n v="39"/>
    <x v="5"/>
    <x v="6"/>
  </r>
  <r>
    <x v="1545"/>
    <n v="-6.55"/>
    <x v="2762"/>
    <n v="5389.86"/>
    <s v="Complete Access"/>
    <x v="616"/>
    <x v="1"/>
    <x v="1"/>
    <d v="1900-01-23T00:00:00"/>
    <n v="39"/>
    <x v="5"/>
    <x v="6"/>
  </r>
  <r>
    <x v="1546"/>
    <n v="-1.1599999999999999"/>
    <x v="2859"/>
    <n v="5421.55"/>
    <s v="Complete Access"/>
    <x v="61"/>
    <x v="1"/>
    <x v="1"/>
    <d v="1900-01-22T00:00:00"/>
    <n v="39"/>
    <x v="5"/>
    <x v="6"/>
  </r>
  <r>
    <x v="1546"/>
    <n v="-20"/>
    <x v="3202"/>
    <n v="5401.55"/>
    <s v="Complete Access"/>
    <x v="601"/>
    <x v="0"/>
    <x v="0"/>
    <d v="1900-01-22T00:00:00"/>
    <n v="39"/>
    <x v="5"/>
    <x v="6"/>
  </r>
  <r>
    <x v="1546"/>
    <n v="-5.14"/>
    <x v="2643"/>
    <n v="5396.41"/>
    <s v="Complete Access"/>
    <x v="215"/>
    <x v="1"/>
    <x v="1"/>
    <d v="1900-01-22T00:00:00"/>
    <n v="39"/>
    <x v="5"/>
    <x v="6"/>
  </r>
  <r>
    <x v="1547"/>
    <n v="-100"/>
    <x v="2274"/>
    <n v="5422.71"/>
    <s v="Complete Access"/>
    <x v="552"/>
    <x v="0"/>
    <x v="74"/>
    <d v="1900-01-20T00:00:00"/>
    <n v="38"/>
    <x v="5"/>
    <x v="6"/>
  </r>
  <r>
    <x v="1548"/>
    <n v="-0.3"/>
    <x v="3203"/>
    <n v="5522.71"/>
    <s v="Complete Access"/>
    <x v="188"/>
    <x v="1"/>
    <x v="1"/>
    <d v="1900-01-19T00:00:00"/>
    <n v="38"/>
    <x v="5"/>
    <x v="6"/>
  </r>
  <r>
    <x v="1548"/>
    <n v="-1.37"/>
    <x v="2859"/>
    <n v="5523.01"/>
    <s v="Complete Access"/>
    <x v="61"/>
    <x v="1"/>
    <x v="1"/>
    <d v="1900-01-19T00:00:00"/>
    <n v="38"/>
    <x v="5"/>
    <x v="6"/>
  </r>
  <r>
    <x v="1548"/>
    <n v="-40"/>
    <x v="3204"/>
    <n v="5533.38"/>
    <s v="Complete Access"/>
    <x v="12"/>
    <x v="5"/>
    <x v="8"/>
    <d v="1900-01-19T00:00:00"/>
    <n v="38"/>
    <x v="5"/>
    <x v="6"/>
  </r>
  <r>
    <x v="1548"/>
    <n v="-9"/>
    <x v="3205"/>
    <n v="5524.38"/>
    <s v="Complete Access"/>
    <x v="682"/>
    <x v="1"/>
    <x v="5"/>
    <d v="1900-01-19T00:00:00"/>
    <n v="38"/>
    <x v="5"/>
    <x v="6"/>
  </r>
  <r>
    <x v="1549"/>
    <n v="-16.899999999999999"/>
    <x v="3206"/>
    <n v="5573.38"/>
    <s v="Complete Access"/>
    <x v="733"/>
    <x v="8"/>
    <x v="29"/>
    <d v="1900-01-18T00:00:00"/>
    <n v="38"/>
    <x v="5"/>
    <x v="6"/>
  </r>
  <r>
    <x v="1549"/>
    <n v="-500"/>
    <x v="2294"/>
    <n v="5590.28"/>
    <s v="Complete Access"/>
    <x v="571"/>
    <x v="19"/>
    <x v="61"/>
    <d v="1900-01-18T00:00:00"/>
    <n v="38"/>
    <x v="5"/>
    <x v="6"/>
  </r>
  <r>
    <x v="1550"/>
    <n v="-0.96"/>
    <x v="2859"/>
    <n v="6124.28"/>
    <s v="Complete Access"/>
    <x v="61"/>
    <x v="1"/>
    <x v="1"/>
    <d v="1900-01-17T00:00:00"/>
    <n v="38"/>
    <x v="5"/>
    <x v="6"/>
  </r>
  <r>
    <x v="1550"/>
    <n v="-23"/>
    <x v="3207"/>
    <n v="6160.24"/>
    <s v="Complete Access"/>
    <x v="8"/>
    <x v="1"/>
    <x v="5"/>
    <d v="1900-01-17T00:00:00"/>
    <n v="38"/>
    <x v="5"/>
    <x v="6"/>
  </r>
  <r>
    <x v="1550"/>
    <n v="-7"/>
    <x v="3208"/>
    <n v="6125.24"/>
    <s v="Complete Access"/>
    <x v="561"/>
    <x v="8"/>
    <x v="22"/>
    <d v="1900-01-17T00:00:00"/>
    <n v="38"/>
    <x v="5"/>
    <x v="6"/>
  </r>
  <r>
    <x v="1550"/>
    <n v="-3"/>
    <x v="3208"/>
    <n v="6132.24"/>
    <s v="Complete Access"/>
    <x v="561"/>
    <x v="8"/>
    <x v="22"/>
    <d v="1900-01-17T00:00:00"/>
    <n v="38"/>
    <x v="5"/>
    <x v="6"/>
  </r>
  <r>
    <x v="1550"/>
    <n v="-8.6999999999999993"/>
    <x v="2762"/>
    <n v="6090.28"/>
    <s v="Complete Access"/>
    <x v="616"/>
    <x v="1"/>
    <x v="1"/>
    <d v="1900-01-17T00:00:00"/>
    <n v="38"/>
    <x v="5"/>
    <x v="6"/>
  </r>
  <r>
    <x v="1550"/>
    <n v="-32.22"/>
    <x v="3209"/>
    <n v="6183.24"/>
    <s v="Complete Access"/>
    <x v="734"/>
    <x v="1"/>
    <x v="5"/>
    <d v="1900-01-17T00:00:00"/>
    <n v="38"/>
    <x v="5"/>
    <x v="6"/>
  </r>
  <r>
    <x v="1550"/>
    <n v="-25"/>
    <x v="3210"/>
    <n v="6135.24"/>
    <s v="Complete Access"/>
    <x v="735"/>
    <x v="8"/>
    <x v="22"/>
    <d v="1900-01-17T00:00:00"/>
    <n v="38"/>
    <x v="5"/>
    <x v="6"/>
  </r>
  <r>
    <x v="1550"/>
    <n v="-25.3"/>
    <x v="2863"/>
    <n v="6098.98"/>
    <s v="Complete Access"/>
    <x v="186"/>
    <x v="1"/>
    <x v="5"/>
    <d v="1900-01-17T00:00:00"/>
    <n v="38"/>
    <x v="5"/>
    <x v="6"/>
  </r>
  <r>
    <x v="1551"/>
    <n v="-2.56"/>
    <x v="2859"/>
    <n v="6254.86"/>
    <s v="Complete Access"/>
    <x v="61"/>
    <x v="1"/>
    <x v="1"/>
    <d v="1900-01-16T00:00:00"/>
    <n v="38"/>
    <x v="5"/>
    <x v="6"/>
  </r>
  <r>
    <x v="1551"/>
    <n v="-18.2"/>
    <x v="3211"/>
    <n v="6257.42"/>
    <s v="Complete Access"/>
    <x v="333"/>
    <x v="1"/>
    <x v="5"/>
    <d v="1900-01-16T00:00:00"/>
    <n v="38"/>
    <x v="5"/>
    <x v="6"/>
  </r>
  <r>
    <x v="1551"/>
    <n v="-26.5"/>
    <x v="3061"/>
    <n v="6215.46"/>
    <s v="Complete Access"/>
    <x v="27"/>
    <x v="1"/>
    <x v="5"/>
    <d v="1900-01-16T00:00:00"/>
    <n v="38"/>
    <x v="5"/>
    <x v="6"/>
  </r>
  <r>
    <x v="1551"/>
    <n v="-12.9"/>
    <x v="2863"/>
    <n v="6241.96"/>
    <s v="Complete Access"/>
    <x v="186"/>
    <x v="1"/>
    <x v="5"/>
    <d v="1900-01-16T00:00:00"/>
    <n v="38"/>
    <x v="5"/>
    <x v="6"/>
  </r>
  <r>
    <x v="1552"/>
    <n v="-23.15"/>
    <x v="2762"/>
    <n v="6237.92"/>
    <s v="Complete Access"/>
    <x v="616"/>
    <x v="1"/>
    <x v="1"/>
    <d v="1900-01-15T00:00:00"/>
    <n v="38"/>
    <x v="5"/>
    <x v="6"/>
  </r>
  <r>
    <x v="1552"/>
    <n v="-28.3"/>
    <x v="2643"/>
    <n v="6209.62"/>
    <s v="Complete Access"/>
    <x v="215"/>
    <x v="1"/>
    <x v="1"/>
    <d v="1900-01-15T00:00:00"/>
    <n v="38"/>
    <x v="5"/>
    <x v="6"/>
  </r>
  <r>
    <x v="1552"/>
    <n v="66"/>
    <x v="3024"/>
    <n v="6275.62"/>
    <s v="Complete Access"/>
    <x v="27"/>
    <x v="1"/>
    <x v="5"/>
    <d v="1900-01-15T00:00:00"/>
    <n v="38"/>
    <x v="5"/>
    <x v="6"/>
  </r>
  <r>
    <x v="1553"/>
    <n v="-39"/>
    <x v="3212"/>
    <n v="6370.07"/>
    <s v="Complete Access"/>
    <x v="8"/>
    <x v="1"/>
    <x v="5"/>
    <d v="1900-01-13T00:00:00"/>
    <n v="37"/>
    <x v="5"/>
    <x v="6"/>
  </r>
  <r>
    <x v="1553"/>
    <n v="-9"/>
    <x v="3213"/>
    <n v="6361.07"/>
    <s v="Complete Access"/>
    <x v="682"/>
    <x v="1"/>
    <x v="5"/>
    <d v="1900-01-13T00:00:00"/>
    <n v="37"/>
    <x v="5"/>
    <x v="6"/>
  </r>
  <r>
    <x v="1553"/>
    <n v="-100"/>
    <x v="2274"/>
    <n v="6261.07"/>
    <s v="Complete Access"/>
    <x v="552"/>
    <x v="0"/>
    <x v="74"/>
    <d v="1900-01-13T00:00:00"/>
    <n v="37"/>
    <x v="5"/>
    <x v="6"/>
  </r>
  <r>
    <x v="1554"/>
    <n v="-7.05"/>
    <x v="2859"/>
    <n v="4561.1099999999997"/>
    <s v="Complete Access"/>
    <x v="61"/>
    <x v="1"/>
    <x v="1"/>
    <d v="1900-01-12T00:00:00"/>
    <n v="37"/>
    <x v="5"/>
    <x v="6"/>
  </r>
  <r>
    <x v="1554"/>
    <n v="-100"/>
    <x v="3214"/>
    <n v="6411.57"/>
    <s v="Complete Access"/>
    <x v="601"/>
    <x v="0"/>
    <x v="0"/>
    <d v="1900-01-12T00:00:00"/>
    <n v="37"/>
    <x v="5"/>
    <x v="6"/>
  </r>
  <r>
    <x v="1554"/>
    <n v="-40"/>
    <x v="3215"/>
    <n v="4568.16"/>
    <s v="Complete Access"/>
    <x v="12"/>
    <x v="5"/>
    <x v="8"/>
    <d v="1900-01-12T00:00:00"/>
    <n v="37"/>
    <x v="5"/>
    <x v="6"/>
  </r>
  <r>
    <x v="1554"/>
    <n v="-23.1"/>
    <x v="2762"/>
    <n v="6526.11"/>
    <s v="Complete Access"/>
    <x v="616"/>
    <x v="1"/>
    <x v="1"/>
    <d v="1900-01-12T00:00:00"/>
    <n v="37"/>
    <x v="5"/>
    <x v="6"/>
  </r>
  <r>
    <x v="1554"/>
    <n v="-2.5"/>
    <x v="72"/>
    <n v="6409.07"/>
    <s v="Complete Access"/>
    <x v="37"/>
    <x v="0"/>
    <x v="0"/>
    <d v="1900-01-12T00:00:00"/>
    <n v="37"/>
    <x v="5"/>
    <x v="6"/>
  </r>
  <r>
    <x v="1554"/>
    <n v="-14.54"/>
    <x v="2643"/>
    <n v="6511.57"/>
    <s v="Complete Access"/>
    <x v="215"/>
    <x v="1"/>
    <x v="1"/>
    <d v="1900-01-12T00:00:00"/>
    <n v="37"/>
    <x v="5"/>
    <x v="6"/>
  </r>
  <r>
    <x v="1554"/>
    <n v="2000"/>
    <x v="3216"/>
    <n v="6549.21"/>
    <s v="Complete Access"/>
    <x v="736"/>
    <x v="4"/>
    <x v="27"/>
    <d v="1900-01-12T00:00:00"/>
    <n v="37"/>
    <x v="5"/>
    <x v="6"/>
  </r>
  <r>
    <x v="1554"/>
    <n v="-11.9"/>
    <x v="2863"/>
    <n v="4549.21"/>
    <s v="Complete Access"/>
    <x v="186"/>
    <x v="1"/>
    <x v="5"/>
    <d v="1900-01-12T00:00:00"/>
    <n v="37"/>
    <x v="5"/>
    <x v="6"/>
  </r>
  <r>
    <x v="1555"/>
    <n v="-1.19"/>
    <x v="2859"/>
    <n v="4608.16"/>
    <s v="Complete Access"/>
    <x v="61"/>
    <x v="1"/>
    <x v="1"/>
    <d v="1900-01-11T00:00:00"/>
    <n v="37"/>
    <x v="5"/>
    <x v="6"/>
  </r>
  <r>
    <x v="1556"/>
    <n v="-1.1599999999999999"/>
    <x v="2859"/>
    <n v="3505.5"/>
    <s v="Complete Access"/>
    <x v="61"/>
    <x v="1"/>
    <x v="1"/>
    <d v="1900-01-10T00:00:00"/>
    <n v="37"/>
    <x v="5"/>
    <x v="6"/>
  </r>
  <r>
    <x v="1556"/>
    <n v="-63.5"/>
    <x v="3217"/>
    <n v="3442"/>
    <s v="Complete Access"/>
    <x v="8"/>
    <x v="1"/>
    <x v="5"/>
    <d v="1900-01-10T00:00:00"/>
    <n v="37"/>
    <x v="5"/>
    <x v="6"/>
  </r>
  <r>
    <x v="1556"/>
    <n v="1182.25"/>
    <x v="3188"/>
    <n v="4609.3500000000004"/>
    <s v="Complete Access"/>
    <x v="14"/>
    <x v="6"/>
    <x v="9"/>
    <d v="1900-01-10T00:00:00"/>
    <n v="37"/>
    <x v="5"/>
    <x v="6"/>
  </r>
  <r>
    <x v="1556"/>
    <n v="-14.9"/>
    <x v="2863"/>
    <n v="3427.1"/>
    <s v="Complete Access"/>
    <x v="186"/>
    <x v="1"/>
    <x v="5"/>
    <d v="1900-01-10T00:00:00"/>
    <n v="37"/>
    <x v="5"/>
    <x v="6"/>
  </r>
  <r>
    <x v="1557"/>
    <n v="-2.09"/>
    <x v="2859"/>
    <n v="3518.96"/>
    <s v="Complete Access"/>
    <x v="61"/>
    <x v="1"/>
    <x v="1"/>
    <d v="1900-01-09T00:00:00"/>
    <n v="37"/>
    <x v="5"/>
    <x v="6"/>
  </r>
  <r>
    <x v="1557"/>
    <n v="-48.5"/>
    <x v="3218"/>
    <n v="3521.05"/>
    <s v="Complete Access"/>
    <x v="8"/>
    <x v="1"/>
    <x v="5"/>
    <d v="1900-01-09T00:00:00"/>
    <n v="37"/>
    <x v="5"/>
    <x v="6"/>
  </r>
  <r>
    <x v="1557"/>
    <n v="-12.3"/>
    <x v="2762"/>
    <n v="3506.66"/>
    <s v="Complete Access"/>
    <x v="616"/>
    <x v="1"/>
    <x v="1"/>
    <d v="1900-01-09T00:00:00"/>
    <n v="37"/>
    <x v="5"/>
    <x v="6"/>
  </r>
  <r>
    <x v="1557"/>
    <n v="-47"/>
    <x v="3219"/>
    <n v="3569.55"/>
    <s v="Complete Access"/>
    <x v="737"/>
    <x v="9"/>
    <x v="39"/>
    <d v="1900-01-09T00:00:00"/>
    <n v="37"/>
    <x v="5"/>
    <x v="6"/>
  </r>
  <r>
    <x v="1558"/>
    <n v="-0.99"/>
    <x v="2859"/>
    <n v="3703.55"/>
    <s v="Complete Access"/>
    <x v="61"/>
    <x v="1"/>
    <x v="1"/>
    <d v="1900-01-08T00:00:00"/>
    <n v="37"/>
    <x v="5"/>
    <x v="6"/>
  </r>
  <r>
    <x v="1558"/>
    <n v="-73"/>
    <x v="2543"/>
    <n v="3616.55"/>
    <s v="Complete Access"/>
    <x v="17"/>
    <x v="7"/>
    <x v="11"/>
    <d v="1900-01-08T00:00:00"/>
    <n v="37"/>
    <x v="5"/>
    <x v="6"/>
  </r>
  <r>
    <x v="1558"/>
    <n v="-14"/>
    <x v="3000"/>
    <n v="3689.55"/>
    <s v="Complete Access"/>
    <x v="687"/>
    <x v="1"/>
    <x v="5"/>
    <d v="1900-01-08T00:00:00"/>
    <n v="37"/>
    <x v="5"/>
    <x v="6"/>
  </r>
  <r>
    <x v="1559"/>
    <n v="31"/>
    <x v="3220"/>
    <n v="3704.54"/>
    <s v="Complete Access"/>
    <x v="583"/>
    <x v="0"/>
    <x v="69"/>
    <d v="1900-01-07T00:00:00"/>
    <n v="37"/>
    <x v="5"/>
    <x v="6"/>
  </r>
  <r>
    <x v="1560"/>
    <n v="-300"/>
    <x v="2956"/>
    <n v="3697.54"/>
    <s v="Complete Access"/>
    <x v="601"/>
    <x v="0"/>
    <x v="0"/>
    <d v="1900-01-06T00:00:00"/>
    <n v="36"/>
    <x v="5"/>
    <x v="6"/>
  </r>
  <r>
    <x v="1560"/>
    <n v="-10"/>
    <x v="3221"/>
    <n v="3673.54"/>
    <s v="Complete Access"/>
    <x v="738"/>
    <x v="8"/>
    <x v="29"/>
    <d v="1900-01-06T00:00:00"/>
    <n v="36"/>
    <x v="5"/>
    <x v="6"/>
  </r>
  <r>
    <x v="1560"/>
    <n v="-7"/>
    <x v="3221"/>
    <n v="3683.54"/>
    <s v="Complete Access"/>
    <x v="738"/>
    <x v="8"/>
    <x v="29"/>
    <d v="1900-01-06T00:00:00"/>
    <n v="36"/>
    <x v="5"/>
    <x v="6"/>
  </r>
  <r>
    <x v="1560"/>
    <n v="-7"/>
    <x v="3221"/>
    <n v="3690.54"/>
    <s v="Complete Access"/>
    <x v="738"/>
    <x v="8"/>
    <x v="29"/>
    <d v="1900-01-06T00:00:00"/>
    <n v="36"/>
    <x v="5"/>
    <x v="6"/>
  </r>
  <r>
    <x v="1560"/>
    <n v="-40"/>
    <x v="3222"/>
    <n v="3855.5"/>
    <s v="Complete Access"/>
    <x v="12"/>
    <x v="5"/>
    <x v="8"/>
    <d v="1900-01-06T00:00:00"/>
    <n v="36"/>
    <x v="5"/>
    <x v="6"/>
  </r>
  <r>
    <x v="1560"/>
    <n v="-9"/>
    <x v="3223"/>
    <n v="4116.49"/>
    <s v="Complete Access"/>
    <x v="682"/>
    <x v="1"/>
    <x v="5"/>
    <d v="1900-01-06T00:00:00"/>
    <n v="36"/>
    <x v="5"/>
    <x v="6"/>
  </r>
  <r>
    <x v="1560"/>
    <n v="-130"/>
    <x v="3224"/>
    <m/>
    <s v="Complete Access"/>
    <x v="739"/>
    <x v="4"/>
    <x v="20"/>
    <d v="1900-01-06T00:00:00"/>
    <n v="36"/>
    <x v="5"/>
    <x v="6"/>
  </r>
  <r>
    <x v="1560"/>
    <n v="269.99"/>
    <x v="3225"/>
    <n v="4125.49"/>
    <s v="Complete Access"/>
    <x v="703"/>
    <x v="3"/>
    <x v="15"/>
    <d v="1900-01-06T00:00:00"/>
    <n v="36"/>
    <x v="5"/>
    <x v="6"/>
  </r>
  <r>
    <x v="1560"/>
    <n v="-18.95"/>
    <x v="2643"/>
    <n v="3997.54"/>
    <s v="Complete Access"/>
    <x v="215"/>
    <x v="1"/>
    <x v="1"/>
    <d v="1900-01-06T00:00:00"/>
    <n v="36"/>
    <x v="5"/>
    <x v="6"/>
  </r>
  <r>
    <x v="1560"/>
    <n v="-100"/>
    <x v="2274"/>
    <n v="4016.49"/>
    <s v="Complete Access"/>
    <x v="552"/>
    <x v="0"/>
    <x v="74"/>
    <d v="1900-01-06T00:00:00"/>
    <n v="36"/>
    <x v="5"/>
    <x v="6"/>
  </r>
  <r>
    <x v="1561"/>
    <n v="-28.75"/>
    <x v="3226"/>
    <n v="3895.5"/>
    <s v="Complete Access"/>
    <x v="740"/>
    <x v="18"/>
    <x v="59"/>
    <d v="1900-01-05T00:00:00"/>
    <n v="36"/>
    <x v="5"/>
    <x v="6"/>
  </r>
  <r>
    <x v="1561"/>
    <n v="-21.95"/>
    <x v="3227"/>
    <n v="3924.25"/>
    <s v="Complete Access"/>
    <x v="617"/>
    <x v="4"/>
    <x v="73"/>
    <d v="1900-01-05T00:00:00"/>
    <n v="36"/>
    <x v="5"/>
    <x v="6"/>
  </r>
  <r>
    <x v="1562"/>
    <n v="-500"/>
    <x v="2294"/>
    <n v="4044.65"/>
    <s v="Complete Access"/>
    <x v="571"/>
    <x v="19"/>
    <x v="61"/>
    <d v="1900-01-04T00:00:00"/>
    <n v="36"/>
    <x v="5"/>
    <x v="6"/>
  </r>
  <r>
    <x v="1562"/>
    <n v="-82.55"/>
    <x v="3228"/>
    <n v="3946.2"/>
    <s v="Complete Access"/>
    <x v="512"/>
    <x v="1"/>
    <x v="5"/>
    <d v="1900-01-04T00:00:00"/>
    <n v="36"/>
    <x v="5"/>
    <x v="6"/>
  </r>
  <r>
    <x v="1562"/>
    <n v="-15.9"/>
    <x v="2863"/>
    <n v="4028.75"/>
    <s v="Complete Access"/>
    <x v="186"/>
    <x v="1"/>
    <x v="5"/>
    <d v="1900-01-04T00:00:00"/>
    <n v="36"/>
    <x v="5"/>
    <x v="6"/>
  </r>
  <r>
    <x v="1563"/>
    <n v="-8.98"/>
    <x v="2859"/>
    <n v="3511.21"/>
    <s v="Complete Access"/>
    <x v="61"/>
    <x v="1"/>
    <x v="1"/>
    <d v="1900-01-03T00:00:00"/>
    <n v="36"/>
    <x v="5"/>
    <x v="6"/>
  </r>
  <r>
    <x v="1563"/>
    <n v="-67.7"/>
    <x v="3229"/>
    <n v="3520.19"/>
    <s v="Complete Access"/>
    <x v="8"/>
    <x v="1"/>
    <x v="5"/>
    <d v="1900-01-03T00:00:00"/>
    <n v="36"/>
    <x v="5"/>
    <x v="6"/>
  </r>
  <r>
    <x v="1563"/>
    <n v="1048.94"/>
    <x v="3188"/>
    <n v="4544.6499999999996"/>
    <s v="Complete Access"/>
    <x v="14"/>
    <x v="6"/>
    <x v="9"/>
    <d v="1900-01-03T00:00:00"/>
    <n v="36"/>
    <x v="5"/>
    <x v="6"/>
  </r>
  <r>
    <x v="1563"/>
    <n v="-15.5"/>
    <x v="2863"/>
    <n v="3495.71"/>
    <s v="Complete Access"/>
    <x v="186"/>
    <x v="1"/>
    <x v="5"/>
    <d v="1900-01-03T00:00:00"/>
    <n v="36"/>
    <x v="5"/>
    <x v="6"/>
  </r>
  <r>
    <x v="1564"/>
    <n v="-18.899999999999999"/>
    <x v="3230"/>
    <n v="3602.64"/>
    <s v="Complete Access"/>
    <x v="8"/>
    <x v="1"/>
    <x v="5"/>
    <d v="1900-01-02T00:00:00"/>
    <n v="36"/>
    <x v="5"/>
    <x v="6"/>
  </r>
  <r>
    <x v="1564"/>
    <n v="-82"/>
    <x v="3231"/>
    <n v="3621.54"/>
    <s v="Complete Access"/>
    <x v="8"/>
    <x v="1"/>
    <x v="5"/>
    <d v="1900-01-02T00:00:00"/>
    <n v="36"/>
    <x v="5"/>
    <x v="6"/>
  </r>
  <r>
    <x v="1564"/>
    <n v="-0.49"/>
    <x v="3232"/>
    <n v="3703.54"/>
    <s v="Complete Access"/>
    <x v="10"/>
    <x v="0"/>
    <x v="0"/>
    <d v="1900-01-02T00:00:00"/>
    <n v="36"/>
    <x v="5"/>
    <x v="6"/>
  </r>
  <r>
    <x v="1564"/>
    <n v="-0.49"/>
    <x v="3232"/>
    <n v="3720.36"/>
    <s v="Complete Access"/>
    <x v="10"/>
    <x v="0"/>
    <x v="0"/>
    <d v="1900-01-02T00:00:00"/>
    <n v="36"/>
    <x v="5"/>
    <x v="6"/>
  </r>
  <r>
    <x v="1564"/>
    <n v="-14.75"/>
    <x v="2874"/>
    <n v="3587.89"/>
    <s v="Complete Access"/>
    <x v="663"/>
    <x v="1"/>
    <x v="1"/>
    <d v="1900-01-02T00:00:00"/>
    <n v="36"/>
    <x v="5"/>
    <x v="6"/>
  </r>
  <r>
    <x v="1564"/>
    <n v="-26.67"/>
    <x v="3233"/>
    <n v="3737.18"/>
    <s v="Complete Access"/>
    <x v="237"/>
    <x v="15"/>
    <x v="34"/>
    <d v="1900-01-02T00:00:00"/>
    <n v="36"/>
    <x v="5"/>
    <x v="6"/>
  </r>
  <r>
    <x v="1564"/>
    <n v="-16.329999999999998"/>
    <x v="3234"/>
    <n v="3704.03"/>
    <s v="Complete Access"/>
    <x v="327"/>
    <x v="4"/>
    <x v="27"/>
    <d v="1900-01-02T00:00:00"/>
    <n v="36"/>
    <x v="5"/>
    <x v="6"/>
  </r>
  <r>
    <x v="1564"/>
    <n v="-16.329999999999998"/>
    <x v="3235"/>
    <n v="3720.85"/>
    <s v="Complete Access"/>
    <x v="327"/>
    <x v="4"/>
    <x v="27"/>
    <d v="1900-01-02T00:00:00"/>
    <n v="36"/>
    <x v="5"/>
    <x v="6"/>
  </r>
  <r>
    <x v="1565"/>
    <n v="-4.51"/>
    <x v="2859"/>
    <n v="3922.82"/>
    <s v="Complete Access"/>
    <x v="61"/>
    <x v="1"/>
    <x v="1"/>
    <d v="1900-01-01T00:00:00"/>
    <n v="36"/>
    <x v="5"/>
    <x v="6"/>
  </r>
  <r>
    <x v="1565"/>
    <n v="-15.15"/>
    <x v="2916"/>
    <n v="3907.67"/>
    <s v="Complete Access"/>
    <x v="675"/>
    <x v="1"/>
    <x v="5"/>
    <d v="1900-01-01T00:00:00"/>
    <n v="36"/>
    <x v="5"/>
    <x v="6"/>
  </r>
  <r>
    <x v="1565"/>
    <n v="-21.52"/>
    <x v="2688"/>
    <n v="3886.15"/>
    <s v="Complete Access"/>
    <x v="177"/>
    <x v="1"/>
    <x v="1"/>
    <d v="1900-01-01T00:00:00"/>
    <n v="36"/>
    <x v="5"/>
    <x v="6"/>
  </r>
  <r>
    <x v="1565"/>
    <n v="50"/>
    <x v="3024"/>
    <n v="3936.15"/>
    <s v="Complete Access"/>
    <x v="27"/>
    <x v="1"/>
    <x v="5"/>
    <d v="1900-01-01T00:00:00"/>
    <n v="36"/>
    <x v="5"/>
    <x v="6"/>
  </r>
  <r>
    <x v="1565"/>
    <n v="-172.3"/>
    <x v="3236"/>
    <n v="3763.85"/>
    <s v="Complete Access"/>
    <x v="76"/>
    <x v="2"/>
    <x v="2"/>
    <d v="1900-01-01T00:00:00"/>
    <n v="36"/>
    <x v="5"/>
    <x v="6"/>
  </r>
  <r>
    <x v="1566"/>
    <n v="-20"/>
    <x v="2229"/>
    <n v="3927.33"/>
    <s v="Complete Access"/>
    <x v="557"/>
    <x v="7"/>
    <x v="53"/>
    <d v="1899-12-31T00:00:00"/>
    <n v="36"/>
    <x v="5"/>
    <x v="6"/>
  </r>
  <r>
    <x v="1567"/>
    <n v="-40"/>
    <x v="3237"/>
    <n v="3991.08"/>
    <s v="Complete Access"/>
    <x v="12"/>
    <x v="5"/>
    <x v="8"/>
    <d v="1900-01-30T00:00:00"/>
    <n v="35"/>
    <x v="6"/>
    <x v="6"/>
  </r>
  <r>
    <x v="1567"/>
    <n v="-22.05"/>
    <x v="3238"/>
    <n v="3969.03"/>
    <s v="Complete Access"/>
    <x v="47"/>
    <x v="1"/>
    <x v="5"/>
    <d v="1900-01-30T00:00:00"/>
    <n v="35"/>
    <x v="6"/>
    <x v="6"/>
  </r>
  <r>
    <x v="1567"/>
    <n v="-100"/>
    <x v="2274"/>
    <n v="4031.08"/>
    <s v="Complete Access"/>
    <x v="552"/>
    <x v="0"/>
    <x v="74"/>
    <d v="1900-01-30T00:00:00"/>
    <n v="35"/>
    <x v="6"/>
    <x v="6"/>
  </r>
  <r>
    <x v="1567"/>
    <n v="-21.7"/>
    <x v="3239"/>
    <n v="3947.33"/>
    <s v="Complete Access"/>
    <x v="460"/>
    <x v="8"/>
    <x v="29"/>
    <d v="1900-01-30T00:00:00"/>
    <n v="35"/>
    <x v="6"/>
    <x v="6"/>
  </r>
  <r>
    <x v="1568"/>
    <n v="-29.4"/>
    <x v="3240"/>
    <n v="4145.9799999999996"/>
    <s v="Complete Access"/>
    <x v="237"/>
    <x v="15"/>
    <x v="34"/>
    <d v="1900-01-29T00:00:00"/>
    <n v="35"/>
    <x v="6"/>
    <x v="6"/>
  </r>
  <r>
    <x v="1568"/>
    <n v="-14.9"/>
    <x v="2863"/>
    <n v="4131.08"/>
    <s v="Complete Access"/>
    <x v="186"/>
    <x v="1"/>
    <x v="5"/>
    <d v="1900-01-29T00:00:00"/>
    <n v="35"/>
    <x v="6"/>
    <x v="6"/>
  </r>
  <r>
    <x v="1569"/>
    <n v="-1.42"/>
    <x v="3241"/>
    <n v="4282.6099999999997"/>
    <s v="Complete Access"/>
    <x v="61"/>
    <x v="1"/>
    <x v="1"/>
    <d v="1900-01-28T00:00:00"/>
    <n v="35"/>
    <x v="6"/>
    <x v="6"/>
  </r>
  <r>
    <x v="1569"/>
    <n v="-51"/>
    <x v="3242"/>
    <n v="4385.2299999999996"/>
    <s v="Complete Access"/>
    <x v="8"/>
    <x v="1"/>
    <x v="5"/>
    <d v="1900-01-28T00:00:00"/>
    <n v="35"/>
    <x v="6"/>
    <x v="6"/>
  </r>
  <r>
    <x v="1569"/>
    <n v="-8.9"/>
    <x v="3243"/>
    <n v="4284.03"/>
    <s v="Complete Access"/>
    <x v="682"/>
    <x v="1"/>
    <x v="5"/>
    <d v="1900-01-28T00:00:00"/>
    <n v="35"/>
    <x v="6"/>
    <x v="6"/>
  </r>
  <r>
    <x v="1569"/>
    <n v="-27.83"/>
    <x v="2897"/>
    <n v="4175.38"/>
    <s v="Complete Access"/>
    <x v="559"/>
    <x v="20"/>
    <x v="63"/>
    <d v="1900-01-28T00:00:00"/>
    <n v="35"/>
    <x v="6"/>
    <x v="6"/>
  </r>
  <r>
    <x v="1569"/>
    <n v="-30.45"/>
    <x v="3244"/>
    <n v="4292.93"/>
    <s v="Complete Access"/>
    <x v="237"/>
    <x v="15"/>
    <x v="34"/>
    <d v="1900-01-28T00:00:00"/>
    <n v="35"/>
    <x v="6"/>
    <x v="6"/>
  </r>
  <r>
    <x v="1569"/>
    <n v="-12.29"/>
    <x v="3244"/>
    <n v="4323.38"/>
    <s v="Complete Access"/>
    <x v="237"/>
    <x v="15"/>
    <x v="34"/>
    <d v="1900-01-28T00:00:00"/>
    <n v="35"/>
    <x v="6"/>
    <x v="6"/>
  </r>
  <r>
    <x v="1569"/>
    <n v="-15.75"/>
    <x v="3244"/>
    <n v="4335.67"/>
    <s v="Complete Access"/>
    <x v="237"/>
    <x v="15"/>
    <x v="34"/>
    <d v="1900-01-28T00:00:00"/>
    <n v="35"/>
    <x v="6"/>
    <x v="6"/>
  </r>
  <r>
    <x v="1569"/>
    <n v="-33.81"/>
    <x v="3245"/>
    <n v="4351.42"/>
    <s v="Complete Access"/>
    <x v="237"/>
    <x v="15"/>
    <x v="34"/>
    <d v="1900-01-28T00:00:00"/>
    <n v="35"/>
    <x v="6"/>
    <x v="6"/>
  </r>
  <r>
    <x v="1569"/>
    <n v="-45.4"/>
    <x v="3246"/>
    <n v="4203.21"/>
    <s v="Complete Access"/>
    <x v="741"/>
    <x v="16"/>
    <x v="81"/>
    <d v="1900-01-28T00:00:00"/>
    <n v="35"/>
    <x v="6"/>
    <x v="6"/>
  </r>
  <r>
    <x v="1569"/>
    <n v="-14"/>
    <x v="3000"/>
    <n v="4248.6099999999997"/>
    <s v="Complete Access"/>
    <x v="687"/>
    <x v="1"/>
    <x v="5"/>
    <d v="1900-01-28T00:00:00"/>
    <n v="35"/>
    <x v="6"/>
    <x v="6"/>
  </r>
  <r>
    <x v="1569"/>
    <n v="-20"/>
    <x v="3247"/>
    <n v="4262.6099999999997"/>
    <s v="Complete Access"/>
    <x v="34"/>
    <x v="9"/>
    <x v="12"/>
    <d v="1900-01-28T00:00:00"/>
    <n v="35"/>
    <x v="6"/>
    <x v="6"/>
  </r>
  <r>
    <x v="1570"/>
    <n v="-36.5"/>
    <x v="3248"/>
    <n v="3280.15"/>
    <s v="Complete Access"/>
    <x v="8"/>
    <x v="1"/>
    <x v="5"/>
    <d v="1900-01-27T00:00:00"/>
    <n v="35"/>
    <x v="6"/>
    <x v="6"/>
  </r>
  <r>
    <x v="1570"/>
    <n v="1178.48"/>
    <x v="3188"/>
    <n v="4436.2299999999996"/>
    <s v="Complete Access"/>
    <x v="14"/>
    <x v="6"/>
    <x v="9"/>
    <d v="1900-01-27T00:00:00"/>
    <n v="35"/>
    <x v="6"/>
    <x v="6"/>
  </r>
  <r>
    <x v="1570"/>
    <n v="-16.899999999999999"/>
    <x v="2863"/>
    <n v="3257.75"/>
    <s v="Complete Access"/>
    <x v="186"/>
    <x v="1"/>
    <x v="5"/>
    <d v="1900-01-27T00:00:00"/>
    <n v="35"/>
    <x v="6"/>
    <x v="6"/>
  </r>
  <r>
    <x v="1570"/>
    <n v="-5.5"/>
    <x v="3249"/>
    <n v="3274.65"/>
    <s v="Complete Access"/>
    <x v="34"/>
    <x v="9"/>
    <x v="12"/>
    <d v="1900-01-27T00:00:00"/>
    <n v="35"/>
    <x v="6"/>
    <x v="6"/>
  </r>
  <r>
    <x v="1571"/>
    <n v="-18.14"/>
    <x v="3250"/>
    <n v="3316.65"/>
    <s v="Complete Access"/>
    <x v="8"/>
    <x v="1"/>
    <x v="5"/>
    <d v="1900-01-26T00:00:00"/>
    <n v="35"/>
    <x v="6"/>
    <x v="6"/>
  </r>
  <r>
    <x v="1571"/>
    <n v="-9.18"/>
    <x v="3251"/>
    <n v="3350.79"/>
    <s v="Complete Access"/>
    <x v="742"/>
    <x v="8"/>
    <x v="29"/>
    <d v="1900-01-26T00:00:00"/>
    <n v="35"/>
    <x v="6"/>
    <x v="6"/>
  </r>
  <r>
    <x v="1571"/>
    <n v="-16"/>
    <x v="3252"/>
    <n v="3334.79"/>
    <s v="Complete Access"/>
    <x v="743"/>
    <x v="1"/>
    <x v="5"/>
    <d v="1900-01-26T00:00:00"/>
    <n v="35"/>
    <x v="6"/>
    <x v="6"/>
  </r>
  <r>
    <x v="1572"/>
    <n v="-26"/>
    <x v="3253"/>
    <n v="3359.97"/>
    <s v="Complete Access"/>
    <x v="27"/>
    <x v="1"/>
    <x v="5"/>
    <d v="1900-01-24T00:00:00"/>
    <n v="35"/>
    <x v="6"/>
    <x v="6"/>
  </r>
  <r>
    <x v="1573"/>
    <n v="-22.15"/>
    <x v="2762"/>
    <n v="3471.97"/>
    <s v="Complete Access"/>
    <x v="616"/>
    <x v="1"/>
    <x v="1"/>
    <d v="1900-01-23T00:00:00"/>
    <n v="34"/>
    <x v="6"/>
    <x v="6"/>
  </r>
  <r>
    <x v="1573"/>
    <n v="-12.95"/>
    <x v="3254"/>
    <n v="3531.59"/>
    <s v="Complete Access"/>
    <x v="744"/>
    <x v="3"/>
    <x v="15"/>
    <d v="1900-01-23T00:00:00"/>
    <n v="34"/>
    <x v="6"/>
    <x v="6"/>
  </r>
  <r>
    <x v="1573"/>
    <n v="-269.99"/>
    <x v="3255"/>
    <n v="3544.54"/>
    <s v="Complete Access"/>
    <x v="703"/>
    <x v="3"/>
    <x v="15"/>
    <d v="1900-01-23T00:00:00"/>
    <n v="34"/>
    <x v="6"/>
    <x v="6"/>
  </r>
  <r>
    <x v="1573"/>
    <n v="-10.19"/>
    <x v="2874"/>
    <n v="3521.4"/>
    <s v="Complete Access"/>
    <x v="663"/>
    <x v="1"/>
    <x v="1"/>
    <d v="1900-01-23T00:00:00"/>
    <n v="34"/>
    <x v="6"/>
    <x v="6"/>
  </r>
  <r>
    <x v="1573"/>
    <n v="-100"/>
    <x v="2274"/>
    <n v="3814.53"/>
    <s v="Complete Access"/>
    <x v="552"/>
    <x v="0"/>
    <x v="74"/>
    <d v="1900-01-23T00:00:00"/>
    <n v="34"/>
    <x v="6"/>
    <x v="6"/>
  </r>
  <r>
    <x v="1573"/>
    <n v="-27.28"/>
    <x v="2688"/>
    <n v="3494.12"/>
    <s v="Complete Access"/>
    <x v="177"/>
    <x v="1"/>
    <x v="1"/>
    <d v="1900-01-23T00:00:00"/>
    <n v="34"/>
    <x v="6"/>
    <x v="6"/>
  </r>
  <r>
    <x v="1573"/>
    <n v="-86"/>
    <x v="2700"/>
    <n v="3385.97"/>
    <s v="Complete Access"/>
    <x v="243"/>
    <x v="1"/>
    <x v="23"/>
    <d v="1900-01-23T00:00:00"/>
    <n v="34"/>
    <x v="6"/>
    <x v="6"/>
  </r>
  <r>
    <x v="1574"/>
    <n v="-2.97"/>
    <x v="2859"/>
    <n v="3951.03"/>
    <s v="Complete Access"/>
    <x v="61"/>
    <x v="1"/>
    <x v="1"/>
    <d v="1900-01-22T00:00:00"/>
    <n v="34"/>
    <x v="6"/>
    <x v="6"/>
  </r>
  <r>
    <x v="1574"/>
    <n v="-21.5"/>
    <x v="3256"/>
    <n v="3914.53"/>
    <s v="Complete Access"/>
    <x v="745"/>
    <x v="8"/>
    <x v="22"/>
    <d v="1900-01-22T00:00:00"/>
    <n v="34"/>
    <x v="6"/>
    <x v="6"/>
  </r>
  <r>
    <x v="1574"/>
    <n v="-15"/>
    <x v="3256"/>
    <n v="3936.03"/>
    <s v="Complete Access"/>
    <x v="745"/>
    <x v="8"/>
    <x v="22"/>
    <d v="1900-01-22T00:00:00"/>
    <n v="34"/>
    <x v="6"/>
    <x v="6"/>
  </r>
  <r>
    <x v="1575"/>
    <n v="-500"/>
    <x v="2294"/>
    <n v="3969"/>
    <s v="Complete Access"/>
    <x v="571"/>
    <x v="19"/>
    <x v="61"/>
    <d v="1900-01-21T00:00:00"/>
    <n v="34"/>
    <x v="6"/>
    <x v="6"/>
  </r>
  <r>
    <x v="1575"/>
    <n v="-15"/>
    <x v="3257"/>
    <n v="3954"/>
    <s v="Complete Access"/>
    <x v="254"/>
    <x v="16"/>
    <x v="35"/>
    <d v="1900-01-21T00:00:00"/>
    <n v="34"/>
    <x v="6"/>
    <x v="6"/>
  </r>
  <r>
    <x v="1576"/>
    <n v="-84"/>
    <x v="3258"/>
    <n v="918.32"/>
    <s v="Complete Access"/>
    <x v="8"/>
    <x v="1"/>
    <x v="5"/>
    <d v="1900-01-20T00:00:00"/>
    <n v="34"/>
    <x v="6"/>
    <x v="6"/>
  </r>
  <r>
    <x v="1576"/>
    <n v="-40"/>
    <x v="3259"/>
    <n v="1002.32"/>
    <s v="Complete Access"/>
    <x v="12"/>
    <x v="5"/>
    <x v="8"/>
    <d v="1900-01-20T00:00:00"/>
    <n v="34"/>
    <x v="6"/>
    <x v="6"/>
  </r>
  <r>
    <x v="1576"/>
    <n v="3550.68"/>
    <x v="3188"/>
    <n v="4469"/>
    <s v="Complete Access"/>
    <x v="14"/>
    <x v="6"/>
    <x v="9"/>
    <d v="1900-01-20T00:00:00"/>
    <n v="34"/>
    <x v="6"/>
    <x v="6"/>
  </r>
  <r>
    <x v="1577"/>
    <n v="-57.3"/>
    <x v="3260"/>
    <n v="1241.92"/>
    <s v="Complete Access"/>
    <x v="8"/>
    <x v="1"/>
    <x v="5"/>
    <d v="1900-01-19T00:00:00"/>
    <n v="34"/>
    <x v="6"/>
    <x v="6"/>
  </r>
  <r>
    <x v="1577"/>
    <n v="-12.5"/>
    <x v="3261"/>
    <n v="1229.42"/>
    <s v="Complete Access"/>
    <x v="682"/>
    <x v="1"/>
    <x v="5"/>
    <d v="1900-01-19T00:00:00"/>
    <n v="34"/>
    <x v="6"/>
    <x v="6"/>
  </r>
  <r>
    <x v="1577"/>
    <n v="-16"/>
    <x v="3191"/>
    <n v="1213.42"/>
    <s v="Complete Access"/>
    <x v="732"/>
    <x v="8"/>
    <x v="29"/>
    <d v="1900-01-19T00:00:00"/>
    <n v="34"/>
    <x v="6"/>
    <x v="6"/>
  </r>
  <r>
    <x v="1577"/>
    <n v="-171.1"/>
    <x v="3262"/>
    <n v="1042.32"/>
    <s v="Complete Access"/>
    <x v="746"/>
    <x v="12"/>
    <x v="21"/>
    <d v="1900-01-19T00:00:00"/>
    <n v="34"/>
    <x v="6"/>
    <x v="6"/>
  </r>
  <r>
    <x v="1578"/>
    <n v="-16"/>
    <x v="2863"/>
    <n v="1299.22"/>
    <s v="Complete Access"/>
    <x v="186"/>
    <x v="1"/>
    <x v="5"/>
    <d v="1900-01-18T00:00:00"/>
    <n v="34"/>
    <x v="6"/>
    <x v="6"/>
  </r>
  <r>
    <x v="1579"/>
    <n v="20"/>
    <x v="3136"/>
    <n v="1265.22"/>
    <s v="Complete Access"/>
    <x v="27"/>
    <x v="1"/>
    <x v="5"/>
    <d v="1900-01-17T00:00:00"/>
    <n v="34"/>
    <x v="6"/>
    <x v="6"/>
  </r>
  <r>
    <x v="1579"/>
    <n v="50"/>
    <x v="3024"/>
    <n v="1315.22"/>
    <s v="Complete Access"/>
    <x v="27"/>
    <x v="1"/>
    <x v="5"/>
    <d v="1900-01-17T00:00:00"/>
    <n v="34"/>
    <x v="6"/>
    <x v="6"/>
  </r>
  <r>
    <x v="1579"/>
    <n v="12"/>
    <x v="2876"/>
    <n v="1245.22"/>
    <s v="Complete Access"/>
    <x v="27"/>
    <x v="1"/>
    <x v="5"/>
    <d v="1900-01-17T00:00:00"/>
    <n v="34"/>
    <x v="6"/>
    <x v="6"/>
  </r>
  <r>
    <x v="1580"/>
    <n v="-100"/>
    <x v="2274"/>
    <n v="1233.22"/>
    <s v="Complete Access"/>
    <x v="552"/>
    <x v="0"/>
    <x v="74"/>
    <d v="1900-01-16T00:00:00"/>
    <n v="33"/>
    <x v="6"/>
    <x v="6"/>
  </r>
  <r>
    <x v="1581"/>
    <n v="1.59"/>
    <x v="2702"/>
    <n v="1333.22"/>
    <s v="Complete Access"/>
    <x v="6"/>
    <x v="4"/>
    <x v="4"/>
    <d v="1900-01-15T00:00:00"/>
    <n v="33"/>
    <x v="6"/>
    <x v="6"/>
  </r>
  <r>
    <x v="1582"/>
    <n v="-12.81"/>
    <x v="3263"/>
    <n v="1433.01"/>
    <s v="Complete Access"/>
    <x v="556"/>
    <x v="15"/>
    <x v="34"/>
    <d v="1900-01-14T00:00:00"/>
    <n v="33"/>
    <x v="6"/>
    <x v="6"/>
  </r>
  <r>
    <x v="1582"/>
    <n v="-10.3"/>
    <x v="3264"/>
    <n v="1422.71"/>
    <s v="Complete Access"/>
    <x v="682"/>
    <x v="1"/>
    <x v="5"/>
    <d v="1900-01-14T00:00:00"/>
    <n v="33"/>
    <x v="6"/>
    <x v="6"/>
  </r>
  <r>
    <x v="1582"/>
    <n v="-12.5"/>
    <x v="3265"/>
    <n v="1377.03"/>
    <s v="Complete Access"/>
    <x v="747"/>
    <x v="1"/>
    <x v="5"/>
    <d v="1900-01-14T00:00:00"/>
    <n v="33"/>
    <x v="6"/>
    <x v="6"/>
  </r>
  <r>
    <x v="1582"/>
    <n v="-33.18"/>
    <x v="3266"/>
    <n v="1389.53"/>
    <s v="Complete Access"/>
    <x v="237"/>
    <x v="15"/>
    <x v="34"/>
    <d v="1900-01-14T00:00:00"/>
    <n v="33"/>
    <x v="6"/>
    <x v="6"/>
  </r>
  <r>
    <x v="1582"/>
    <n v="-45.4"/>
    <x v="3267"/>
    <n v="1331.63"/>
    <s v="Complete Access"/>
    <x v="741"/>
    <x v="16"/>
    <x v="81"/>
    <d v="1900-01-14T00:00:00"/>
    <n v="33"/>
    <x v="6"/>
    <x v="6"/>
  </r>
  <r>
    <x v="1583"/>
    <n v="-0.5"/>
    <x v="2859"/>
    <n v="1495.82"/>
    <s v="Complete Access"/>
    <x v="61"/>
    <x v="1"/>
    <x v="1"/>
    <d v="1900-01-13T00:00:00"/>
    <n v="33"/>
    <x v="6"/>
    <x v="6"/>
  </r>
  <r>
    <x v="1583"/>
    <n v="-23.79"/>
    <x v="3268"/>
    <n v="1591.62"/>
    <s v="Complete Access"/>
    <x v="8"/>
    <x v="1"/>
    <x v="5"/>
    <d v="1900-01-13T00:00:00"/>
    <n v="33"/>
    <x v="6"/>
    <x v="6"/>
  </r>
  <r>
    <x v="1583"/>
    <n v="-59.5"/>
    <x v="3269"/>
    <n v="1532.12"/>
    <s v="Complete Access"/>
    <x v="8"/>
    <x v="1"/>
    <x v="5"/>
    <d v="1900-01-13T00:00:00"/>
    <n v="33"/>
    <x v="6"/>
    <x v="6"/>
  </r>
  <r>
    <x v="1583"/>
    <n v="-40"/>
    <x v="3270"/>
    <n v="1719.08"/>
    <s v="Complete Access"/>
    <x v="12"/>
    <x v="5"/>
    <x v="8"/>
    <d v="1900-01-13T00:00:00"/>
    <n v="33"/>
    <x v="6"/>
    <x v="6"/>
  </r>
  <r>
    <x v="1583"/>
    <n v="-103.67"/>
    <x v="3271"/>
    <n v="1615.41"/>
    <s v="Complete Access"/>
    <x v="343"/>
    <x v="1"/>
    <x v="5"/>
    <d v="1900-01-13T00:00:00"/>
    <n v="33"/>
    <x v="6"/>
    <x v="6"/>
  </r>
  <r>
    <x v="1583"/>
    <n v="-50"/>
    <x v="2929"/>
    <n v="1445.82"/>
    <s v="Complete Access"/>
    <x v="645"/>
    <x v="0"/>
    <x v="69"/>
    <d v="1900-01-13T00:00:00"/>
    <n v="33"/>
    <x v="6"/>
    <x v="6"/>
  </r>
  <r>
    <x v="1583"/>
    <n v="-29.3"/>
    <x v="3272"/>
    <n v="1502.82"/>
    <s v="Complete Access"/>
    <x v="460"/>
    <x v="8"/>
    <x v="29"/>
    <d v="1900-01-13T00:00:00"/>
    <n v="33"/>
    <x v="6"/>
    <x v="6"/>
  </r>
  <r>
    <x v="1583"/>
    <n v="-6.5"/>
    <x v="3273"/>
    <n v="1496.32"/>
    <s v="Complete Access"/>
    <x v="34"/>
    <x v="9"/>
    <x v="12"/>
    <d v="1900-01-13T00:00:00"/>
    <n v="33"/>
    <x v="6"/>
    <x v="6"/>
  </r>
  <r>
    <x v="1584"/>
    <n v="-1.58"/>
    <x v="2859"/>
    <n v="1795.87"/>
    <s v="Complete Access"/>
    <x v="61"/>
    <x v="1"/>
    <x v="1"/>
    <d v="1900-01-12T00:00:00"/>
    <n v="33"/>
    <x v="6"/>
    <x v="6"/>
  </r>
  <r>
    <x v="1584"/>
    <n v="-51.5"/>
    <x v="3274"/>
    <n v="1808.45"/>
    <s v="Complete Access"/>
    <x v="8"/>
    <x v="1"/>
    <x v="5"/>
    <d v="1900-01-12T00:00:00"/>
    <n v="33"/>
    <x v="6"/>
    <x v="6"/>
  </r>
  <r>
    <x v="1584"/>
    <n v="-20.399999999999999"/>
    <x v="3275"/>
    <n v="1759.08"/>
    <s v="Complete Access"/>
    <x v="27"/>
    <x v="1"/>
    <x v="5"/>
    <d v="1900-01-12T00:00:00"/>
    <n v="33"/>
    <x v="6"/>
    <x v="6"/>
  </r>
  <r>
    <x v="1584"/>
    <n v="-11"/>
    <x v="3276"/>
    <n v="1797.45"/>
    <s v="Complete Access"/>
    <x v="682"/>
    <x v="1"/>
    <x v="5"/>
    <d v="1900-01-12T00:00:00"/>
    <n v="33"/>
    <x v="6"/>
    <x v="6"/>
  </r>
  <r>
    <x v="1584"/>
    <n v="-14.5"/>
    <x v="3277"/>
    <n v="1867.39"/>
    <s v="Complete Access"/>
    <x v="10"/>
    <x v="0"/>
    <x v="0"/>
    <d v="1900-01-12T00:00:00"/>
    <n v="33"/>
    <x v="6"/>
    <x v="6"/>
  </r>
  <r>
    <x v="1584"/>
    <n v="-4.59"/>
    <x v="2643"/>
    <n v="1779.48"/>
    <s v="Complete Access"/>
    <x v="215"/>
    <x v="1"/>
    <x v="1"/>
    <d v="1900-01-12T00:00:00"/>
    <n v="33"/>
    <x v="6"/>
    <x v="6"/>
  </r>
  <r>
    <x v="1584"/>
    <n v="-3.8"/>
    <x v="2863"/>
    <n v="1792.07"/>
    <s v="Complete Access"/>
    <x v="186"/>
    <x v="1"/>
    <x v="5"/>
    <d v="1900-01-12T00:00:00"/>
    <n v="33"/>
    <x v="6"/>
    <x v="6"/>
  </r>
  <r>
    <x v="1584"/>
    <n v="-7.44"/>
    <x v="3278"/>
    <n v="1859.95"/>
    <s v="Complete Access"/>
    <x v="44"/>
    <x v="4"/>
    <x v="27"/>
    <d v="1900-01-12T00:00:00"/>
    <n v="33"/>
    <x v="6"/>
    <x v="6"/>
  </r>
  <r>
    <x v="1584"/>
    <n v="-8"/>
    <x v="2925"/>
    <n v="1784.07"/>
    <s v="Complete Access"/>
    <x v="678"/>
    <x v="20"/>
    <x v="63"/>
    <d v="1900-01-12T00:00:00"/>
    <n v="33"/>
    <x v="6"/>
    <x v="6"/>
  </r>
  <r>
    <x v="1584"/>
    <n v="-483.32"/>
    <x v="3279"/>
    <n v="1881.89"/>
    <s v="Complete Access"/>
    <x v="748"/>
    <x v="18"/>
    <x v="3"/>
    <d v="1900-01-12T00:00:00"/>
    <n v="33"/>
    <x v="6"/>
    <x v="6"/>
  </r>
  <r>
    <x v="1585"/>
    <n v="-13.5"/>
    <x v="3280"/>
    <n v="2365.21"/>
    <s v="Complete Access"/>
    <x v="749"/>
    <x v="1"/>
    <x v="5"/>
    <d v="1900-01-11T00:00:00"/>
    <n v="33"/>
    <x v="6"/>
    <x v="6"/>
  </r>
  <r>
    <x v="1585"/>
    <n v="-20"/>
    <x v="3281"/>
    <n v="2378.71"/>
    <s v="Complete Access"/>
    <x v="750"/>
    <x v="1"/>
    <x v="5"/>
    <d v="1900-01-11T00:00:00"/>
    <n v="33"/>
    <x v="6"/>
    <x v="6"/>
  </r>
  <r>
    <x v="1586"/>
    <n v="-23.7"/>
    <x v="3282"/>
    <n v="2398.71"/>
    <s v="Complete Access"/>
    <x v="751"/>
    <x v="1"/>
    <x v="5"/>
    <d v="1900-01-10T00:00:00"/>
    <n v="33"/>
    <x v="6"/>
    <x v="6"/>
  </r>
  <r>
    <x v="1587"/>
    <n v="-100"/>
    <x v="3283"/>
    <n v="2424.91"/>
    <s v="Complete Access"/>
    <x v="601"/>
    <x v="0"/>
    <x v="0"/>
    <d v="1900-01-09T00:00:00"/>
    <n v="32"/>
    <x v="6"/>
    <x v="6"/>
  </r>
  <r>
    <x v="1587"/>
    <n v="-9"/>
    <x v="3284"/>
    <n v="2624.91"/>
    <s v="Complete Access"/>
    <x v="682"/>
    <x v="1"/>
    <x v="5"/>
    <d v="1900-01-09T00:00:00"/>
    <n v="32"/>
    <x v="6"/>
    <x v="6"/>
  </r>
  <r>
    <x v="1587"/>
    <n v="-2.5"/>
    <x v="72"/>
    <n v="2422.41"/>
    <s v="Complete Access"/>
    <x v="37"/>
    <x v="0"/>
    <x v="0"/>
    <d v="1900-01-09T00:00:00"/>
    <n v="32"/>
    <x v="6"/>
    <x v="6"/>
  </r>
  <r>
    <x v="1587"/>
    <n v="-100"/>
    <x v="2274"/>
    <n v="2524.91"/>
    <s v="Complete Access"/>
    <x v="552"/>
    <x v="0"/>
    <x v="74"/>
    <d v="1900-01-09T00:00:00"/>
    <n v="32"/>
    <x v="6"/>
    <x v="6"/>
  </r>
  <r>
    <x v="1588"/>
    <n v="-1.76"/>
    <x v="2859"/>
    <n v="2706.91"/>
    <s v="Complete Access"/>
    <x v="61"/>
    <x v="1"/>
    <x v="1"/>
    <d v="1900-01-08T00:00:00"/>
    <n v="32"/>
    <x v="6"/>
    <x v="6"/>
  </r>
  <r>
    <x v="1588"/>
    <n v="-73"/>
    <x v="2543"/>
    <n v="2633.91"/>
    <s v="Complete Access"/>
    <x v="17"/>
    <x v="7"/>
    <x v="11"/>
    <d v="1900-01-08T00:00:00"/>
    <n v="32"/>
    <x v="6"/>
    <x v="6"/>
  </r>
  <r>
    <x v="1589"/>
    <n v="-0.5"/>
    <x v="2859"/>
    <n v="2724.07"/>
    <s v="Complete Access"/>
    <x v="61"/>
    <x v="1"/>
    <x v="1"/>
    <d v="1900-01-07T00:00:00"/>
    <n v="32"/>
    <x v="6"/>
    <x v="6"/>
  </r>
  <r>
    <x v="1589"/>
    <n v="-55.5"/>
    <x v="3285"/>
    <n v="2724.57"/>
    <s v="Complete Access"/>
    <x v="8"/>
    <x v="1"/>
    <x v="5"/>
    <d v="1900-01-07T00:00:00"/>
    <n v="32"/>
    <x v="6"/>
    <x v="6"/>
  </r>
  <r>
    <x v="1589"/>
    <n v="-40"/>
    <x v="3286"/>
    <n v="2780.07"/>
    <s v="Complete Access"/>
    <x v="12"/>
    <x v="5"/>
    <x v="8"/>
    <d v="1900-01-07T00:00:00"/>
    <n v="32"/>
    <x v="6"/>
    <x v="6"/>
  </r>
  <r>
    <x v="1589"/>
    <n v="-500"/>
    <x v="2294"/>
    <n v="2820.07"/>
    <s v="Complete Access"/>
    <x v="571"/>
    <x v="19"/>
    <x v="61"/>
    <d v="1900-01-07T00:00:00"/>
    <n v="32"/>
    <x v="6"/>
    <x v="6"/>
  </r>
  <r>
    <x v="1589"/>
    <n v="-15.4"/>
    <x v="2863"/>
    <n v="2708.67"/>
    <s v="Complete Access"/>
    <x v="186"/>
    <x v="1"/>
    <x v="5"/>
    <d v="1900-01-07T00:00:00"/>
    <n v="32"/>
    <x v="6"/>
    <x v="6"/>
  </r>
  <r>
    <x v="1590"/>
    <n v="-5.9"/>
    <x v="2915"/>
    <n v="3320.07"/>
    <s v="Complete Access"/>
    <x v="674"/>
    <x v="8"/>
    <x v="29"/>
    <d v="1900-01-06T00:00:00"/>
    <n v="32"/>
    <x v="6"/>
    <x v="6"/>
  </r>
  <r>
    <x v="1591"/>
    <n v="-35"/>
    <x v="3287"/>
    <n v="3330.72"/>
    <s v="Complete Access"/>
    <x v="8"/>
    <x v="1"/>
    <x v="5"/>
    <d v="1900-01-05T00:00:00"/>
    <n v="32"/>
    <x v="6"/>
    <x v="6"/>
  </r>
  <r>
    <x v="1591"/>
    <n v="-12.5"/>
    <x v="3288"/>
    <n v="3365.72"/>
    <s v="Complete Access"/>
    <x v="682"/>
    <x v="1"/>
    <x v="5"/>
    <d v="1900-01-05T00:00:00"/>
    <n v="32"/>
    <x v="6"/>
    <x v="6"/>
  </r>
  <r>
    <x v="1591"/>
    <n v="-4.75"/>
    <x v="2643"/>
    <n v="3325.97"/>
    <s v="Complete Access"/>
    <x v="215"/>
    <x v="1"/>
    <x v="1"/>
    <d v="1900-01-05T00:00:00"/>
    <n v="32"/>
    <x v="6"/>
    <x v="6"/>
  </r>
  <r>
    <x v="1592"/>
    <n v="-0.51"/>
    <x v="2859"/>
    <n v="3401.11"/>
    <s v="Complete Access"/>
    <x v="61"/>
    <x v="1"/>
    <x v="1"/>
    <d v="1900-01-04T00:00:00"/>
    <n v="32"/>
    <x v="6"/>
    <x v="6"/>
  </r>
  <r>
    <x v="1592"/>
    <n v="-4.99"/>
    <x v="2643"/>
    <n v="3378.22"/>
    <s v="Complete Access"/>
    <x v="215"/>
    <x v="1"/>
    <x v="1"/>
    <d v="1900-01-04T00:00:00"/>
    <n v="32"/>
    <x v="6"/>
    <x v="6"/>
  </r>
  <r>
    <x v="1592"/>
    <n v="-17.899999999999999"/>
    <x v="2863"/>
    <n v="3383.21"/>
    <s v="Complete Access"/>
    <x v="186"/>
    <x v="1"/>
    <x v="5"/>
    <d v="1900-01-04T00:00:00"/>
    <n v="32"/>
    <x v="6"/>
    <x v="6"/>
  </r>
  <r>
    <x v="1593"/>
    <n v="-12.5"/>
    <x v="3289"/>
    <n v="3478.23"/>
    <s v="Complete Access"/>
    <x v="682"/>
    <x v="1"/>
    <x v="5"/>
    <d v="1900-01-02T00:00:00"/>
    <n v="31"/>
    <x v="6"/>
    <x v="6"/>
  </r>
  <r>
    <x v="1593"/>
    <n v="-100"/>
    <x v="2274"/>
    <n v="3490.73"/>
    <s v="Complete Access"/>
    <x v="552"/>
    <x v="0"/>
    <x v="74"/>
    <d v="1900-01-02T00:00:00"/>
    <n v="31"/>
    <x v="6"/>
    <x v="6"/>
  </r>
  <r>
    <x v="1593"/>
    <n v="-76.61"/>
    <x v="2688"/>
    <n v="3401.62"/>
    <s v="Complete Access"/>
    <x v="177"/>
    <x v="1"/>
    <x v="1"/>
    <d v="1900-01-02T00:00:00"/>
    <n v="31"/>
    <x v="6"/>
    <x v="6"/>
  </r>
  <r>
    <x v="1594"/>
    <n v="-40"/>
    <x v="3290"/>
    <n v="3606.73"/>
    <s v="Complete Access"/>
    <x v="12"/>
    <x v="5"/>
    <x v="8"/>
    <d v="1900-01-01T00:00:00"/>
    <n v="31"/>
    <x v="6"/>
    <x v="6"/>
  </r>
  <r>
    <x v="1594"/>
    <n v="-16"/>
    <x v="2863"/>
    <n v="3590.73"/>
    <s v="Complete Access"/>
    <x v="186"/>
    <x v="1"/>
    <x v="5"/>
    <d v="1900-01-01T00:00:00"/>
    <n v="31"/>
    <x v="6"/>
    <x v="6"/>
  </r>
  <r>
    <x v="1595"/>
    <n v="-0.69"/>
    <x v="2859"/>
    <n v="3864.43"/>
    <s v="Complete Access"/>
    <x v="61"/>
    <x v="1"/>
    <x v="1"/>
    <d v="1899-12-31T00:00:00"/>
    <n v="31"/>
    <x v="6"/>
    <x v="6"/>
  </r>
  <r>
    <x v="1595"/>
    <n v="-26"/>
    <x v="3291"/>
    <n v="3865.12"/>
    <s v="Complete Access"/>
    <x v="752"/>
    <x v="1"/>
    <x v="5"/>
    <d v="1899-12-31T00:00:00"/>
    <n v="31"/>
    <x v="6"/>
    <x v="6"/>
  </r>
  <r>
    <x v="1595"/>
    <n v="-20"/>
    <x v="2229"/>
    <n v="3922.83"/>
    <s v="Complete Access"/>
    <x v="557"/>
    <x v="7"/>
    <x v="53"/>
    <d v="1899-12-31T00:00:00"/>
    <n v="31"/>
    <x v="6"/>
    <x v="6"/>
  </r>
  <r>
    <x v="1595"/>
    <n v="-10.5"/>
    <x v="3292"/>
    <n v="3912.33"/>
    <s v="Complete Access"/>
    <x v="237"/>
    <x v="15"/>
    <x v="34"/>
    <d v="1899-12-31T00:00:00"/>
    <n v="31"/>
    <x v="6"/>
    <x v="6"/>
  </r>
  <r>
    <x v="1595"/>
    <n v="-45.4"/>
    <x v="3293"/>
    <n v="3646.73"/>
    <s v="Complete Access"/>
    <x v="741"/>
    <x v="16"/>
    <x v="81"/>
    <d v="1899-12-31T00:00:00"/>
    <n v="31"/>
    <x v="6"/>
    <x v="6"/>
  </r>
  <r>
    <x v="1595"/>
    <n v="-172.3"/>
    <x v="3294"/>
    <n v="3692.13"/>
    <s v="Complete Access"/>
    <x v="76"/>
    <x v="2"/>
    <x v="2"/>
    <d v="1899-12-31T00:00:00"/>
    <n v="31"/>
    <x v="6"/>
    <x v="6"/>
  </r>
  <r>
    <x v="1595"/>
    <n v="-21.21"/>
    <x v="3295"/>
    <n v="3891.12"/>
    <s v="Complete Access"/>
    <x v="753"/>
    <x v="1"/>
    <x v="5"/>
    <d v="1899-12-31T00:00:00"/>
    <n v="31"/>
    <x v="6"/>
    <x v="6"/>
  </r>
  <r>
    <x v="1596"/>
    <n v="-9"/>
    <x v="2859"/>
    <n v="2815.05"/>
    <s v="Complete Access"/>
    <x v="61"/>
    <x v="1"/>
    <x v="1"/>
    <d v="1900-01-30T00:00:00"/>
    <n v="31"/>
    <x v="7"/>
    <x v="6"/>
  </r>
  <r>
    <x v="1596"/>
    <n v="-26.82"/>
    <x v="3296"/>
    <n v="2824.05"/>
    <s v="Complete Access"/>
    <x v="8"/>
    <x v="1"/>
    <x v="5"/>
    <d v="1900-01-30T00:00:00"/>
    <n v="31"/>
    <x v="7"/>
    <x v="6"/>
  </r>
  <r>
    <x v="1596"/>
    <n v="1182.02"/>
    <x v="3188"/>
    <n v="3942.83"/>
    <s v="Complete Access"/>
    <x v="14"/>
    <x v="6"/>
    <x v="9"/>
    <d v="1900-01-30T00:00:00"/>
    <n v="31"/>
    <x v="7"/>
    <x v="6"/>
  </r>
  <r>
    <x v="1596"/>
    <n v="-3.19"/>
    <x v="2643"/>
    <n v="2760.81"/>
    <s v="Complete Access"/>
    <x v="215"/>
    <x v="1"/>
    <x v="1"/>
    <d v="1900-01-30T00:00:00"/>
    <n v="31"/>
    <x v="7"/>
    <x v="6"/>
  </r>
  <r>
    <x v="1596"/>
    <n v="-24.75"/>
    <x v="2688"/>
    <n v="2764"/>
    <s v="Complete Access"/>
    <x v="177"/>
    <x v="1"/>
    <x v="1"/>
    <d v="1900-01-30T00:00:00"/>
    <n v="31"/>
    <x v="7"/>
    <x v="6"/>
  </r>
  <r>
    <x v="1596"/>
    <n v="-12.3"/>
    <x v="2863"/>
    <n v="2802.75"/>
    <s v="Complete Access"/>
    <x v="186"/>
    <x v="1"/>
    <x v="5"/>
    <d v="1900-01-30T00:00:00"/>
    <n v="31"/>
    <x v="7"/>
    <x v="6"/>
  </r>
  <r>
    <x v="1596"/>
    <n v="-14"/>
    <x v="3000"/>
    <n v="2788.75"/>
    <s v="Complete Access"/>
    <x v="687"/>
    <x v="1"/>
    <x v="5"/>
    <d v="1900-01-30T00:00:00"/>
    <n v="31"/>
    <x v="7"/>
    <x v="6"/>
  </r>
  <r>
    <x v="1597"/>
    <n v="-0.55000000000000004"/>
    <x v="2859"/>
    <n v="2870.87"/>
    <s v="Complete Access"/>
    <x v="61"/>
    <x v="1"/>
    <x v="1"/>
    <d v="1900-01-29T00:00:00"/>
    <n v="31"/>
    <x v="7"/>
    <x v="6"/>
  </r>
  <r>
    <x v="1597"/>
    <n v="-15"/>
    <x v="3297"/>
    <n v="2871.42"/>
    <s v="Complete Access"/>
    <x v="754"/>
    <x v="8"/>
    <x v="29"/>
    <d v="1900-01-29T00:00:00"/>
    <n v="31"/>
    <x v="7"/>
    <x v="6"/>
  </r>
  <r>
    <x v="1597"/>
    <n v="-37.4"/>
    <x v="3298"/>
    <n v="2889.62"/>
    <s v="Complete Access"/>
    <x v="755"/>
    <x v="8"/>
    <x v="29"/>
    <d v="1900-01-29T00:00:00"/>
    <n v="31"/>
    <x v="7"/>
    <x v="6"/>
  </r>
  <r>
    <x v="1597"/>
    <n v="-10.5"/>
    <x v="3299"/>
    <n v="2927.02"/>
    <s v="Complete Access"/>
    <x v="682"/>
    <x v="1"/>
    <x v="5"/>
    <d v="1900-01-29T00:00:00"/>
    <n v="31"/>
    <x v="7"/>
    <x v="6"/>
  </r>
  <r>
    <x v="1597"/>
    <n v="-20"/>
    <x v="3300"/>
    <n v="2850.87"/>
    <s v="Complete Access"/>
    <x v="756"/>
    <x v="0"/>
    <x v="69"/>
    <d v="1900-01-29T00:00:00"/>
    <n v="31"/>
    <x v="7"/>
    <x v="6"/>
  </r>
  <r>
    <x v="1597"/>
    <n v="-3.2"/>
    <x v="3301"/>
    <n v="2886.42"/>
    <s v="Complete Access"/>
    <x v="757"/>
    <x v="8"/>
    <x v="29"/>
    <d v="1900-01-29T00:00:00"/>
    <n v="31"/>
    <x v="7"/>
    <x v="6"/>
  </r>
  <r>
    <x v="1598"/>
    <n v="-26.14"/>
    <x v="2874"/>
    <n v="2943.7"/>
    <s v="Complete Access"/>
    <x v="663"/>
    <x v="1"/>
    <x v="1"/>
    <d v="1900-01-28T00:00:00"/>
    <n v="31"/>
    <x v="7"/>
    <x v="6"/>
  </r>
  <r>
    <x v="1598"/>
    <n v="-6.18"/>
    <x v="2688"/>
    <n v="2937.52"/>
    <s v="Complete Access"/>
    <x v="177"/>
    <x v="1"/>
    <x v="1"/>
    <d v="1900-01-28T00:00:00"/>
    <n v="31"/>
    <x v="7"/>
    <x v="6"/>
  </r>
  <r>
    <x v="1599"/>
    <n v="-76.95"/>
    <x v="3302"/>
    <n v="2969.84"/>
    <s v="Complete Access"/>
    <x v="758"/>
    <x v="3"/>
    <x v="26"/>
    <d v="1900-01-27T00:00:00"/>
    <n v="31"/>
    <x v="7"/>
    <x v="6"/>
  </r>
  <r>
    <x v="1600"/>
    <n v="-8.9"/>
    <x v="3303"/>
    <n v="3144.78"/>
    <s v="Complete Access"/>
    <x v="682"/>
    <x v="1"/>
    <x v="5"/>
    <d v="1900-01-26T00:00:00"/>
    <n v="30"/>
    <x v="7"/>
    <x v="6"/>
  </r>
  <r>
    <x v="1600"/>
    <n v="-20"/>
    <x v="3304"/>
    <n v="3046.79"/>
    <s v="Complete Access"/>
    <x v="759"/>
    <x v="8"/>
    <x v="29"/>
    <d v="1900-01-26T00:00:00"/>
    <n v="30"/>
    <x v="7"/>
    <x v="6"/>
  </r>
  <r>
    <x v="1600"/>
    <n v="-75"/>
    <x v="2929"/>
    <n v="3066.79"/>
    <s v="Complete Access"/>
    <x v="645"/>
    <x v="0"/>
    <x v="69"/>
    <d v="1900-01-26T00:00:00"/>
    <n v="30"/>
    <x v="7"/>
    <x v="6"/>
  </r>
  <r>
    <x v="1600"/>
    <n v="-100"/>
    <x v="2274"/>
    <n v="3153.68"/>
    <s v="Complete Access"/>
    <x v="552"/>
    <x v="0"/>
    <x v="74"/>
    <d v="1900-01-26T00:00:00"/>
    <n v="30"/>
    <x v="7"/>
    <x v="6"/>
  </r>
  <r>
    <x v="1600"/>
    <n v="-2.99"/>
    <x v="3305"/>
    <n v="3141.79"/>
    <s v="Complete Access"/>
    <x v="587"/>
    <x v="8"/>
    <x v="22"/>
    <d v="1900-01-26T00:00:00"/>
    <n v="30"/>
    <x v="7"/>
    <x v="6"/>
  </r>
  <r>
    <x v="1601"/>
    <n v="-1.35"/>
    <x v="2859"/>
    <n v="3325.05"/>
    <s v="Complete Access"/>
    <x v="61"/>
    <x v="1"/>
    <x v="1"/>
    <d v="1900-01-25T00:00:00"/>
    <n v="30"/>
    <x v="7"/>
    <x v="6"/>
  </r>
  <r>
    <x v="1601"/>
    <n v="-40"/>
    <x v="3306"/>
    <n v="3338.9"/>
    <s v="Complete Access"/>
    <x v="12"/>
    <x v="5"/>
    <x v="8"/>
    <d v="1900-01-25T00:00:00"/>
    <n v="30"/>
    <x v="7"/>
    <x v="6"/>
  </r>
  <r>
    <x v="1601"/>
    <n v="-12.5"/>
    <x v="3307"/>
    <n v="3326.4"/>
    <s v="Complete Access"/>
    <x v="682"/>
    <x v="1"/>
    <x v="5"/>
    <d v="1900-01-25T00:00:00"/>
    <n v="30"/>
    <x v="7"/>
    <x v="6"/>
  </r>
  <r>
    <x v="1601"/>
    <n v="-37.07"/>
    <x v="3308"/>
    <n v="3253.68"/>
    <s v="Complete Access"/>
    <x v="77"/>
    <x v="4"/>
    <x v="27"/>
    <d v="1900-01-25T00:00:00"/>
    <n v="30"/>
    <x v="7"/>
    <x v="6"/>
  </r>
  <r>
    <x v="1601"/>
    <n v="-13.8"/>
    <x v="3256"/>
    <n v="3290.75"/>
    <s v="Complete Access"/>
    <x v="745"/>
    <x v="8"/>
    <x v="22"/>
    <d v="1900-01-25T00:00:00"/>
    <n v="30"/>
    <x v="7"/>
    <x v="6"/>
  </r>
  <r>
    <x v="1601"/>
    <n v="-6"/>
    <x v="3256"/>
    <n v="3304.55"/>
    <s v="Complete Access"/>
    <x v="745"/>
    <x v="8"/>
    <x v="22"/>
    <d v="1900-01-25T00:00:00"/>
    <n v="30"/>
    <x v="7"/>
    <x v="6"/>
  </r>
  <r>
    <x v="1601"/>
    <n v="-14.5"/>
    <x v="2863"/>
    <n v="3310.55"/>
    <s v="Complete Access"/>
    <x v="186"/>
    <x v="1"/>
    <x v="5"/>
    <d v="1900-01-25T00:00:00"/>
    <n v="30"/>
    <x v="7"/>
    <x v="6"/>
  </r>
  <r>
    <x v="1602"/>
    <n v="-500"/>
    <x v="2294"/>
    <n v="3400.95"/>
    <s v="Complete Access"/>
    <x v="571"/>
    <x v="19"/>
    <x v="61"/>
    <d v="1900-01-24T00:00:00"/>
    <n v="30"/>
    <x v="7"/>
    <x v="6"/>
  </r>
  <r>
    <x v="1602"/>
    <n v="-22.05"/>
    <x v="3309"/>
    <n v="3378.9"/>
    <s v="Complete Access"/>
    <x v="237"/>
    <x v="15"/>
    <x v="34"/>
    <d v="1900-01-24T00:00:00"/>
    <n v="30"/>
    <x v="7"/>
    <x v="6"/>
  </r>
  <r>
    <x v="1603"/>
    <n v="-23.5"/>
    <x v="2915"/>
    <n v="2718.7"/>
    <s v="Complete Access"/>
    <x v="674"/>
    <x v="8"/>
    <x v="29"/>
    <d v="1900-01-23T00:00:00"/>
    <n v="30"/>
    <x v="7"/>
    <x v="6"/>
  </r>
  <r>
    <x v="1603"/>
    <n v="-1.64"/>
    <x v="2859"/>
    <n v="2757.2"/>
    <s v="Complete Access"/>
    <x v="61"/>
    <x v="1"/>
    <x v="1"/>
    <d v="1900-01-23T00:00:00"/>
    <n v="30"/>
    <x v="7"/>
    <x v="6"/>
  </r>
  <r>
    <x v="1603"/>
    <n v="-16.2"/>
    <x v="3310"/>
    <n v="2774.33"/>
    <s v="Complete Access"/>
    <x v="106"/>
    <x v="5"/>
    <x v="41"/>
    <d v="1900-01-23T00:00:00"/>
    <n v="30"/>
    <x v="7"/>
    <x v="6"/>
  </r>
  <r>
    <x v="1603"/>
    <n v="-3"/>
    <x v="3311"/>
    <n v="2790.53"/>
    <s v="Complete Access"/>
    <x v="106"/>
    <x v="5"/>
    <x v="41"/>
    <d v="1900-01-23T00:00:00"/>
    <n v="30"/>
    <x v="7"/>
    <x v="6"/>
  </r>
  <r>
    <x v="1603"/>
    <n v="-15.49"/>
    <x v="3312"/>
    <n v="2758.84"/>
    <s v="Complete Access"/>
    <x v="8"/>
    <x v="1"/>
    <x v="5"/>
    <d v="1900-01-23T00:00:00"/>
    <n v="30"/>
    <x v="7"/>
    <x v="6"/>
  </r>
  <r>
    <x v="1603"/>
    <n v="1182.25"/>
    <x v="3188"/>
    <n v="3900.95"/>
    <s v="Complete Access"/>
    <x v="14"/>
    <x v="6"/>
    <x v="9"/>
    <d v="1900-01-23T00:00:00"/>
    <n v="30"/>
    <x v="7"/>
    <x v="6"/>
  </r>
  <r>
    <x v="1603"/>
    <n v="-15"/>
    <x v="2863"/>
    <n v="2742.2"/>
    <s v="Complete Access"/>
    <x v="186"/>
    <x v="1"/>
    <x v="5"/>
    <d v="1900-01-23T00:00:00"/>
    <n v="30"/>
    <x v="7"/>
    <x v="6"/>
  </r>
  <r>
    <x v="1604"/>
    <n v="-11.15"/>
    <x v="2915"/>
    <n v="2833.53"/>
    <s v="Complete Access"/>
    <x v="674"/>
    <x v="8"/>
    <x v="29"/>
    <d v="1900-01-22T00:00:00"/>
    <n v="30"/>
    <x v="7"/>
    <x v="6"/>
  </r>
  <r>
    <x v="1604"/>
    <n v="-0.38"/>
    <x v="2859"/>
    <n v="2844.68"/>
    <s v="Complete Access"/>
    <x v="61"/>
    <x v="1"/>
    <x v="1"/>
    <d v="1900-01-22T00:00:00"/>
    <n v="30"/>
    <x v="7"/>
    <x v="6"/>
  </r>
  <r>
    <x v="1604"/>
    <n v="-15.82"/>
    <x v="3313"/>
    <n v="2845.06"/>
    <s v="Complete Access"/>
    <x v="106"/>
    <x v="5"/>
    <x v="41"/>
    <d v="1900-01-22T00:00:00"/>
    <n v="30"/>
    <x v="7"/>
    <x v="6"/>
  </r>
  <r>
    <x v="1604"/>
    <n v="-8.9"/>
    <x v="3314"/>
    <n v="2860.88"/>
    <s v="Complete Access"/>
    <x v="682"/>
    <x v="1"/>
    <x v="5"/>
    <d v="1900-01-22T00:00:00"/>
    <n v="30"/>
    <x v="7"/>
    <x v="6"/>
  </r>
  <r>
    <x v="1604"/>
    <n v="-40"/>
    <x v="3315"/>
    <n v="2793.53"/>
    <s v="Complete Access"/>
    <x v="557"/>
    <x v="7"/>
    <x v="53"/>
    <d v="1900-01-22T00:00:00"/>
    <n v="30"/>
    <x v="7"/>
    <x v="6"/>
  </r>
  <r>
    <x v="1604"/>
    <n v="-9.14"/>
    <x v="3316"/>
    <n v="2869.78"/>
    <s v="Complete Access"/>
    <x v="760"/>
    <x v="8"/>
    <x v="29"/>
    <d v="1900-01-22T00:00:00"/>
    <n v="30"/>
    <x v="7"/>
    <x v="6"/>
  </r>
  <r>
    <x v="1604"/>
    <n v="-27.43"/>
    <x v="3316"/>
    <n v="2878.92"/>
    <s v="Complete Access"/>
    <x v="760"/>
    <x v="8"/>
    <x v="29"/>
    <d v="1900-01-22T00:00:00"/>
    <n v="30"/>
    <x v="7"/>
    <x v="6"/>
  </r>
  <r>
    <x v="1604"/>
    <n v="-9.14"/>
    <x v="3316"/>
    <n v="2906.35"/>
    <s v="Complete Access"/>
    <x v="760"/>
    <x v="8"/>
    <x v="29"/>
    <d v="1900-01-22T00:00:00"/>
    <n v="30"/>
    <x v="7"/>
    <x v="6"/>
  </r>
  <r>
    <x v="1604"/>
    <n v="-9.14"/>
    <x v="3316"/>
    <n v="2915.49"/>
    <s v="Complete Access"/>
    <x v="760"/>
    <x v="8"/>
    <x v="29"/>
    <d v="1900-01-22T00:00:00"/>
    <n v="30"/>
    <x v="7"/>
    <x v="6"/>
  </r>
  <r>
    <x v="1605"/>
    <n v="-15.8"/>
    <x v="2915"/>
    <n v="2924.63"/>
    <s v="Complete Access"/>
    <x v="674"/>
    <x v="8"/>
    <x v="29"/>
    <d v="1900-01-21T00:00:00"/>
    <n v="30"/>
    <x v="7"/>
    <x v="6"/>
  </r>
  <r>
    <x v="1605"/>
    <n v="-1"/>
    <x v="2859"/>
    <n v="2940.43"/>
    <s v="Complete Access"/>
    <x v="61"/>
    <x v="1"/>
    <x v="1"/>
    <d v="1900-01-21T00:00:00"/>
    <n v="30"/>
    <x v="7"/>
    <x v="6"/>
  </r>
  <r>
    <x v="1606"/>
    <n v="-18.27"/>
    <x v="3317"/>
    <n v="3004.23"/>
    <s v="Complete Access"/>
    <x v="761"/>
    <x v="15"/>
    <x v="34"/>
    <d v="1900-01-20T00:00:00"/>
    <n v="30"/>
    <x v="7"/>
    <x v="6"/>
  </r>
  <r>
    <x v="1606"/>
    <n v="-43"/>
    <x v="2929"/>
    <n v="2961.23"/>
    <s v="Complete Access"/>
    <x v="645"/>
    <x v="0"/>
    <x v="69"/>
    <d v="1900-01-20T00:00:00"/>
    <n v="30"/>
    <x v="7"/>
    <x v="6"/>
  </r>
  <r>
    <x v="1606"/>
    <n v="-19.8"/>
    <x v="3061"/>
    <n v="2941.43"/>
    <s v="Complete Access"/>
    <x v="27"/>
    <x v="1"/>
    <x v="5"/>
    <d v="1900-01-20T00:00:00"/>
    <n v="30"/>
    <x v="7"/>
    <x v="6"/>
  </r>
  <r>
    <x v="1607"/>
    <n v="-100"/>
    <x v="2274"/>
    <n v="3037.7"/>
    <s v="Complete Access"/>
    <x v="552"/>
    <x v="0"/>
    <x v="74"/>
    <d v="1900-01-19T00:00:00"/>
    <n v="29"/>
    <x v="7"/>
    <x v="6"/>
  </r>
  <r>
    <x v="1607"/>
    <n v="-15.2"/>
    <x v="3318"/>
    <n v="3022.5"/>
    <s v="Complete Access"/>
    <x v="91"/>
    <x v="9"/>
    <x v="12"/>
    <d v="1900-01-19T00:00:00"/>
    <n v="29"/>
    <x v="7"/>
    <x v="6"/>
  </r>
  <r>
    <x v="1608"/>
    <n v="-0.88"/>
    <x v="2859"/>
    <n v="2064.4499999999998"/>
    <s v="Complete Access"/>
    <x v="61"/>
    <x v="1"/>
    <x v="1"/>
    <d v="1900-01-18T00:00:00"/>
    <n v="29"/>
    <x v="7"/>
    <x v="6"/>
  </r>
  <r>
    <x v="1608"/>
    <n v="-40"/>
    <x v="3319"/>
    <n v="2093.5500000000002"/>
    <s v="Complete Access"/>
    <x v="12"/>
    <x v="5"/>
    <x v="8"/>
    <d v="1900-01-18T00:00:00"/>
    <n v="29"/>
    <x v="7"/>
    <x v="6"/>
  </r>
  <r>
    <x v="1608"/>
    <n v="1182.25"/>
    <x v="3188"/>
    <n v="3137.7"/>
    <s v="Complete Access"/>
    <x v="14"/>
    <x v="6"/>
    <x v="9"/>
    <d v="1900-01-18T00:00:00"/>
    <n v="29"/>
    <x v="7"/>
    <x v="6"/>
  </r>
  <r>
    <x v="1608"/>
    <n v="-28.22"/>
    <x v="3320"/>
    <n v="2065.33"/>
    <s v="Complete Access"/>
    <x v="56"/>
    <x v="9"/>
    <x v="31"/>
    <d v="1900-01-18T00:00:00"/>
    <n v="29"/>
    <x v="7"/>
    <x v="6"/>
  </r>
  <r>
    <x v="1608"/>
    <n v="-100"/>
    <x v="2929"/>
    <n v="1964.45"/>
    <s v="Complete Access"/>
    <x v="645"/>
    <x v="0"/>
    <x v="69"/>
    <d v="1900-01-18T00:00:00"/>
    <n v="29"/>
    <x v="7"/>
    <x v="6"/>
  </r>
  <r>
    <x v="1608"/>
    <n v="-9"/>
    <x v="2863"/>
    <n v="1955.45"/>
    <s v="Complete Access"/>
    <x v="186"/>
    <x v="1"/>
    <x v="5"/>
    <d v="1900-01-18T00:00:00"/>
    <n v="29"/>
    <x v="7"/>
    <x v="6"/>
  </r>
  <r>
    <x v="1609"/>
    <n v="-22.5"/>
    <x v="3061"/>
    <n v="2178.9499999999998"/>
    <s v="Complete Access"/>
    <x v="27"/>
    <x v="1"/>
    <x v="5"/>
    <d v="1900-01-17T00:00:00"/>
    <n v="29"/>
    <x v="7"/>
    <x v="6"/>
  </r>
  <r>
    <x v="1609"/>
    <n v="-45.4"/>
    <x v="3321"/>
    <n v="2133.5500000000002"/>
    <s v="Complete Access"/>
    <x v="741"/>
    <x v="16"/>
    <x v="81"/>
    <d v="1900-01-17T00:00:00"/>
    <n v="29"/>
    <x v="7"/>
    <x v="6"/>
  </r>
  <r>
    <x v="1610"/>
    <n v="-1.43"/>
    <x v="2859"/>
    <n v="2201.4499999999998"/>
    <s v="Complete Access"/>
    <x v="61"/>
    <x v="1"/>
    <x v="1"/>
    <d v="1900-01-16T00:00:00"/>
    <n v="29"/>
    <x v="7"/>
    <x v="6"/>
  </r>
  <r>
    <x v="1610"/>
    <n v="-69"/>
    <x v="3322"/>
    <n v="2306.38"/>
    <s v="Complete Access"/>
    <x v="8"/>
    <x v="1"/>
    <x v="5"/>
    <d v="1900-01-16T00:00:00"/>
    <n v="29"/>
    <x v="7"/>
    <x v="6"/>
  </r>
  <r>
    <x v="1610"/>
    <n v="-65"/>
    <x v="3323"/>
    <n v="2235.38"/>
    <s v="Complete Access"/>
    <x v="8"/>
    <x v="1"/>
    <x v="5"/>
    <d v="1900-01-16T00:00:00"/>
    <n v="29"/>
    <x v="7"/>
    <x v="6"/>
  </r>
  <r>
    <x v="1610"/>
    <n v="-6"/>
    <x v="3324"/>
    <n v="2300.38"/>
    <s v="Complete Access"/>
    <x v="752"/>
    <x v="1"/>
    <x v="5"/>
    <d v="1900-01-16T00:00:00"/>
    <n v="29"/>
    <x v="7"/>
    <x v="6"/>
  </r>
  <r>
    <x v="1610"/>
    <n v="-23"/>
    <x v="3325"/>
    <n v="2212.38"/>
    <s v="Complete Access"/>
    <x v="716"/>
    <x v="11"/>
    <x v="49"/>
    <d v="1900-01-16T00:00:00"/>
    <n v="29"/>
    <x v="7"/>
    <x v="6"/>
  </r>
  <r>
    <x v="1610"/>
    <n v="-9.5"/>
    <x v="3326"/>
    <n v="2202.88"/>
    <s v="Complete Access"/>
    <x v="34"/>
    <x v="9"/>
    <x v="12"/>
    <d v="1900-01-16T00:00:00"/>
    <n v="29"/>
    <x v="7"/>
    <x v="6"/>
  </r>
  <r>
    <x v="1611"/>
    <n v="-6.51"/>
    <x v="2859"/>
    <n v="2384.2800000000002"/>
    <s v="Complete Access"/>
    <x v="61"/>
    <x v="1"/>
    <x v="1"/>
    <d v="1900-01-15T00:00:00"/>
    <n v="29"/>
    <x v="7"/>
    <x v="6"/>
  </r>
  <r>
    <x v="1611"/>
    <n v="-3.5"/>
    <x v="3327"/>
    <n v="2390.79"/>
    <s v="Complete Access"/>
    <x v="277"/>
    <x v="8"/>
    <x v="29"/>
    <d v="1900-01-15T00:00:00"/>
    <n v="29"/>
    <x v="7"/>
    <x v="6"/>
  </r>
  <r>
    <x v="1611"/>
    <n v="-8.9"/>
    <x v="2863"/>
    <n v="2375.38"/>
    <s v="Complete Access"/>
    <x v="186"/>
    <x v="1"/>
    <x v="5"/>
    <d v="1900-01-15T00:00:00"/>
    <n v="29"/>
    <x v="7"/>
    <x v="6"/>
  </r>
  <r>
    <x v="1612"/>
    <n v="-1.21"/>
    <x v="2859"/>
    <n v="2403.19"/>
    <s v="Complete Access"/>
    <x v="61"/>
    <x v="1"/>
    <x v="1"/>
    <d v="1900-01-14T00:00:00"/>
    <n v="29"/>
    <x v="7"/>
    <x v="6"/>
  </r>
  <r>
    <x v="1612"/>
    <n v="-8.9"/>
    <x v="2863"/>
    <n v="2394.29"/>
    <s v="Complete Access"/>
    <x v="186"/>
    <x v="1"/>
    <x v="5"/>
    <d v="1900-01-14T00:00:00"/>
    <n v="29"/>
    <x v="7"/>
    <x v="6"/>
  </r>
  <r>
    <x v="1613"/>
    <n v="20"/>
    <x v="3136"/>
    <n v="2378.4"/>
    <s v="Complete Access"/>
    <x v="27"/>
    <x v="1"/>
    <x v="5"/>
    <d v="1900-01-13T00:00:00"/>
    <n v="29"/>
    <x v="7"/>
    <x v="6"/>
  </r>
  <r>
    <x v="1613"/>
    <n v="26"/>
    <x v="3024"/>
    <n v="2404.4"/>
    <s v="Complete Access"/>
    <x v="27"/>
    <x v="1"/>
    <x v="5"/>
    <d v="1900-01-13T00:00:00"/>
    <n v="29"/>
    <x v="7"/>
    <x v="6"/>
  </r>
  <r>
    <x v="1613"/>
    <n v="-17.8"/>
    <x v="3061"/>
    <n v="2358.4"/>
    <s v="Complete Access"/>
    <x v="27"/>
    <x v="1"/>
    <x v="5"/>
    <d v="1900-01-13T00:00:00"/>
    <n v="29"/>
    <x v="7"/>
    <x v="6"/>
  </r>
  <r>
    <x v="1614"/>
    <n v="-50"/>
    <x v="3214"/>
    <n v="2378.6999999999998"/>
    <s v="Complete Access"/>
    <x v="601"/>
    <x v="0"/>
    <x v="0"/>
    <d v="1900-01-12T00:00:00"/>
    <n v="28"/>
    <x v="7"/>
    <x v="6"/>
  </r>
  <r>
    <x v="1614"/>
    <n v="-40"/>
    <x v="3328"/>
    <n v="2477.71"/>
    <s v="Complete Access"/>
    <x v="12"/>
    <x v="5"/>
    <x v="8"/>
    <d v="1900-01-12T00:00:00"/>
    <n v="28"/>
    <x v="7"/>
    <x v="6"/>
  </r>
  <r>
    <x v="1614"/>
    <n v="-3.5"/>
    <x v="3329"/>
    <n v="2466.21"/>
    <s v="Complete Access"/>
    <x v="277"/>
    <x v="8"/>
    <x v="29"/>
    <d v="1900-01-12T00:00:00"/>
    <n v="28"/>
    <x v="7"/>
    <x v="6"/>
  </r>
  <r>
    <x v="1614"/>
    <n v="-2.5"/>
    <x v="72"/>
    <n v="2376.1999999999998"/>
    <s v="Complete Access"/>
    <x v="37"/>
    <x v="0"/>
    <x v="0"/>
    <d v="1900-01-12T00:00:00"/>
    <n v="28"/>
    <x v="7"/>
    <x v="6"/>
  </r>
  <r>
    <x v="1614"/>
    <n v="-15.52"/>
    <x v="2643"/>
    <n v="2428.6999999999998"/>
    <s v="Complete Access"/>
    <x v="215"/>
    <x v="1"/>
    <x v="1"/>
    <d v="1900-01-12T00:00:00"/>
    <n v="28"/>
    <x v="7"/>
    <x v="6"/>
  </r>
  <r>
    <x v="1614"/>
    <n v="-10"/>
    <x v="2874"/>
    <n v="2456.21"/>
    <s v="Complete Access"/>
    <x v="663"/>
    <x v="1"/>
    <x v="1"/>
    <d v="1900-01-12T00:00:00"/>
    <n v="28"/>
    <x v="7"/>
    <x v="6"/>
  </r>
  <r>
    <x v="1614"/>
    <n v="-100"/>
    <x v="2274"/>
    <n v="2517.71"/>
    <s v="Complete Access"/>
    <x v="552"/>
    <x v="0"/>
    <x v="74"/>
    <d v="1900-01-12T00:00:00"/>
    <n v="28"/>
    <x v="7"/>
    <x v="6"/>
  </r>
  <r>
    <x v="1614"/>
    <n v="-11.99"/>
    <x v="2688"/>
    <n v="2444.2199999999998"/>
    <s v="Complete Access"/>
    <x v="177"/>
    <x v="1"/>
    <x v="1"/>
    <d v="1900-01-12T00:00:00"/>
    <n v="28"/>
    <x v="7"/>
    <x v="6"/>
  </r>
  <r>
    <x v="1614"/>
    <n v="-8"/>
    <x v="3330"/>
    <n v="2469.71"/>
    <s v="Complete Access"/>
    <x v="762"/>
    <x v="1"/>
    <x v="5"/>
    <d v="1900-01-12T00:00:00"/>
    <n v="28"/>
    <x v="7"/>
    <x v="6"/>
  </r>
  <r>
    <x v="1615"/>
    <n v="-1.48"/>
    <x v="2859"/>
    <n v="2606.61"/>
    <s v="Complete Access"/>
    <x v="61"/>
    <x v="1"/>
    <x v="1"/>
    <d v="1900-01-11T00:00:00"/>
    <n v="28"/>
    <x v="7"/>
    <x v="6"/>
  </r>
  <r>
    <x v="1615"/>
    <n v="20"/>
    <x v="2876"/>
    <n v="2617.71"/>
    <s v="Complete Access"/>
    <x v="27"/>
    <x v="1"/>
    <x v="5"/>
    <d v="1900-01-11T00:00:00"/>
    <n v="28"/>
    <x v="7"/>
    <x v="6"/>
  </r>
  <r>
    <x v="1615"/>
    <n v="-8.9"/>
    <x v="2863"/>
    <n v="2597.71"/>
    <s v="Complete Access"/>
    <x v="186"/>
    <x v="1"/>
    <x v="5"/>
    <d v="1900-01-11T00:00:00"/>
    <n v="28"/>
    <x v="7"/>
    <x v="6"/>
  </r>
  <r>
    <x v="1616"/>
    <n v="-1.59"/>
    <x v="2859"/>
    <n v="5200.09"/>
    <s v="Complete Access"/>
    <x v="61"/>
    <x v="1"/>
    <x v="1"/>
    <d v="1900-01-10T00:00:00"/>
    <n v="28"/>
    <x v="7"/>
    <x v="6"/>
  </r>
  <r>
    <x v="1616"/>
    <n v="-20"/>
    <x v="3331"/>
    <n v="5135.59"/>
    <s v="Complete Access"/>
    <x v="680"/>
    <x v="1"/>
    <x v="5"/>
    <d v="1900-01-10T00:00:00"/>
    <n v="28"/>
    <x v="7"/>
    <x v="6"/>
  </r>
  <r>
    <x v="1616"/>
    <n v="-500"/>
    <x v="2294"/>
    <n v="5201.68"/>
    <s v="Complete Access"/>
    <x v="571"/>
    <x v="19"/>
    <x v="61"/>
    <d v="1900-01-10T00:00:00"/>
    <n v="28"/>
    <x v="7"/>
    <x v="6"/>
  </r>
  <r>
    <x v="1616"/>
    <n v="-2.5"/>
    <x v="72"/>
    <n v="5133.09"/>
    <s v="Complete Access"/>
    <x v="37"/>
    <x v="0"/>
    <x v="0"/>
    <d v="1900-01-10T00:00:00"/>
    <n v="28"/>
    <x v="7"/>
    <x v="6"/>
  </r>
  <r>
    <x v="1616"/>
    <n v="-5"/>
    <x v="3281"/>
    <n v="5108.09"/>
    <s v="Complete Access"/>
    <x v="750"/>
    <x v="1"/>
    <x v="5"/>
    <d v="1900-01-10T00:00:00"/>
    <n v="28"/>
    <x v="7"/>
    <x v="6"/>
  </r>
  <r>
    <x v="1616"/>
    <n v="1500"/>
    <x v="2274"/>
    <n v="2608.09"/>
    <s v="Complete Access"/>
    <x v="552"/>
    <x v="0"/>
    <x v="74"/>
    <d v="1900-01-10T00:00:00"/>
    <n v="28"/>
    <x v="7"/>
    <x v="6"/>
  </r>
  <r>
    <x v="1616"/>
    <n v="-20"/>
    <x v="3191"/>
    <n v="5113.09"/>
    <s v="Complete Access"/>
    <x v="732"/>
    <x v="8"/>
    <x v="29"/>
    <d v="1900-01-10T00:00:00"/>
    <n v="28"/>
    <x v="7"/>
    <x v="6"/>
  </r>
  <r>
    <x v="1616"/>
    <n v="-20"/>
    <x v="3191"/>
    <n v="5155.59"/>
    <s v="Complete Access"/>
    <x v="732"/>
    <x v="8"/>
    <x v="29"/>
    <d v="1900-01-10T00:00:00"/>
    <n v="28"/>
    <x v="7"/>
    <x v="6"/>
  </r>
  <r>
    <x v="1616"/>
    <n v="-4.5"/>
    <x v="3191"/>
    <n v="5175.59"/>
    <s v="Complete Access"/>
    <x v="732"/>
    <x v="8"/>
    <x v="29"/>
    <d v="1900-01-10T00:00:00"/>
    <n v="28"/>
    <x v="7"/>
    <x v="6"/>
  </r>
  <r>
    <x v="1616"/>
    <n v="-20"/>
    <x v="3191"/>
    <n v="5180.09"/>
    <s v="Complete Access"/>
    <x v="732"/>
    <x v="8"/>
    <x v="29"/>
    <d v="1900-01-10T00:00:00"/>
    <n v="28"/>
    <x v="7"/>
    <x v="6"/>
  </r>
  <r>
    <x v="1616"/>
    <n v="-4000"/>
    <x v="2954"/>
    <n v="1108.0899999999999"/>
    <s v="Complete Access"/>
    <x v="504"/>
    <x v="0"/>
    <x v="72"/>
    <d v="1900-01-10T00:00:00"/>
    <n v="28"/>
    <x v="7"/>
    <x v="6"/>
  </r>
  <r>
    <x v="1617"/>
    <n v="-1.49"/>
    <x v="2859"/>
    <n v="4591.7299999999996"/>
    <s v="Complete Access"/>
    <x v="61"/>
    <x v="1"/>
    <x v="1"/>
    <d v="1900-01-09T00:00:00"/>
    <n v="28"/>
    <x v="7"/>
    <x v="6"/>
  </r>
  <r>
    <x v="1617"/>
    <n v="-68.5"/>
    <x v="3332"/>
    <n v="4593.22"/>
    <s v="Complete Access"/>
    <x v="8"/>
    <x v="1"/>
    <x v="5"/>
    <d v="1900-01-09T00:00:00"/>
    <n v="28"/>
    <x v="7"/>
    <x v="6"/>
  </r>
  <r>
    <x v="1617"/>
    <n v="1219.07"/>
    <x v="3188"/>
    <n v="5701.68"/>
    <s v="Complete Access"/>
    <x v="14"/>
    <x v="6"/>
    <x v="9"/>
    <d v="1900-01-09T00:00:00"/>
    <n v="28"/>
    <x v="7"/>
    <x v="6"/>
  </r>
  <r>
    <x v="1617"/>
    <n v="-25.72"/>
    <x v="2688"/>
    <n v="4557.1099999999997"/>
    <s v="Complete Access"/>
    <x v="177"/>
    <x v="1"/>
    <x v="1"/>
    <d v="1900-01-09T00:00:00"/>
    <n v="28"/>
    <x v="7"/>
    <x v="6"/>
  </r>
  <r>
    <x v="1617"/>
    <n v="-74.5"/>
    <x v="2543"/>
    <n v="4482.6099999999997"/>
    <s v="Complete Access"/>
    <x v="17"/>
    <x v="7"/>
    <x v="11"/>
    <d v="1900-01-09T00:00:00"/>
    <n v="28"/>
    <x v="7"/>
    <x v="6"/>
  </r>
  <r>
    <x v="1617"/>
    <n v="-8.9"/>
    <x v="2863"/>
    <n v="4582.83"/>
    <s v="Complete Access"/>
    <x v="186"/>
    <x v="1"/>
    <x v="5"/>
    <d v="1900-01-09T00:00:00"/>
    <n v="28"/>
    <x v="7"/>
    <x v="6"/>
  </r>
  <r>
    <x v="1618"/>
    <n v="-40"/>
    <x v="3333"/>
    <n v="4691.3100000000004"/>
    <s v="Complete Access"/>
    <x v="12"/>
    <x v="5"/>
    <x v="8"/>
    <d v="1900-01-08T00:00:00"/>
    <n v="28"/>
    <x v="7"/>
    <x v="6"/>
  </r>
  <r>
    <x v="1618"/>
    <n v="-12.5"/>
    <x v="3334"/>
    <n v="4678.8100000000004"/>
    <s v="Complete Access"/>
    <x v="682"/>
    <x v="1"/>
    <x v="5"/>
    <d v="1900-01-08T00:00:00"/>
    <n v="28"/>
    <x v="7"/>
    <x v="6"/>
  </r>
  <r>
    <x v="1618"/>
    <n v="-9.5"/>
    <x v="3335"/>
    <n v="4669.3100000000004"/>
    <s v="Complete Access"/>
    <x v="682"/>
    <x v="1"/>
    <x v="5"/>
    <d v="1900-01-08T00:00:00"/>
    <n v="28"/>
    <x v="7"/>
    <x v="6"/>
  </r>
  <r>
    <x v="1618"/>
    <n v="-7.59"/>
    <x v="2643"/>
    <n v="4661.72"/>
    <s v="Complete Access"/>
    <x v="215"/>
    <x v="1"/>
    <x v="1"/>
    <d v="1900-01-08T00:00:00"/>
    <n v="28"/>
    <x v="7"/>
    <x v="6"/>
  </r>
  <r>
    <x v="1619"/>
    <n v="-8.5"/>
    <x v="2915"/>
    <n v="4731.3100000000004"/>
    <s v="Complete Access"/>
    <x v="674"/>
    <x v="8"/>
    <x v="29"/>
    <d v="1900-01-07T00:00:00"/>
    <n v="28"/>
    <x v="7"/>
    <x v="6"/>
  </r>
  <r>
    <x v="1619"/>
    <n v="-0.75"/>
    <x v="2859"/>
    <n v="4748.71"/>
    <s v="Complete Access"/>
    <x v="61"/>
    <x v="1"/>
    <x v="1"/>
    <d v="1900-01-07T00:00:00"/>
    <n v="28"/>
    <x v="7"/>
    <x v="6"/>
  </r>
  <r>
    <x v="1619"/>
    <n v="-8.9"/>
    <x v="2863"/>
    <n v="4739.8100000000004"/>
    <s v="Complete Access"/>
    <x v="186"/>
    <x v="1"/>
    <x v="5"/>
    <d v="1900-01-07T00:00:00"/>
    <n v="28"/>
    <x v="7"/>
    <x v="6"/>
  </r>
  <r>
    <x v="1620"/>
    <n v="16"/>
    <x v="2876"/>
    <n v="4749.46"/>
    <s v="Complete Access"/>
    <x v="27"/>
    <x v="1"/>
    <x v="5"/>
    <d v="1900-01-06T00:00:00"/>
    <n v="28"/>
    <x v="7"/>
    <x v="6"/>
  </r>
  <r>
    <x v="1621"/>
    <n v="-28.3"/>
    <x v="3336"/>
    <n v="4733.46"/>
    <s v="Complete Access"/>
    <x v="8"/>
    <x v="1"/>
    <x v="5"/>
    <d v="1900-01-05T00:00:00"/>
    <n v="27"/>
    <x v="7"/>
    <x v="6"/>
  </r>
  <r>
    <x v="1621"/>
    <n v="-100"/>
    <x v="2274"/>
    <n v="4761.76"/>
    <s v="Complete Access"/>
    <x v="552"/>
    <x v="0"/>
    <x v="74"/>
    <d v="1900-01-05T00:00:00"/>
    <n v="27"/>
    <x v="7"/>
    <x v="6"/>
  </r>
  <r>
    <x v="1622"/>
    <n v="-33.590000000000003"/>
    <x v="2915"/>
    <n v="4929.6099999999997"/>
    <s v="Complete Access"/>
    <x v="674"/>
    <x v="8"/>
    <x v="29"/>
    <d v="1900-01-04T00:00:00"/>
    <n v="27"/>
    <x v="7"/>
    <x v="6"/>
  </r>
  <r>
    <x v="1622"/>
    <n v="-1"/>
    <x v="2859"/>
    <n v="4963.2"/>
    <s v="Complete Access"/>
    <x v="61"/>
    <x v="1"/>
    <x v="1"/>
    <d v="1900-01-04T00:00:00"/>
    <n v="27"/>
    <x v="7"/>
    <x v="6"/>
  </r>
  <r>
    <x v="1622"/>
    <n v="-17.850000000000001"/>
    <x v="3337"/>
    <n v="4861.76"/>
    <s v="Complete Access"/>
    <x v="763"/>
    <x v="1"/>
    <x v="5"/>
    <d v="1900-01-04T00:00:00"/>
    <n v="27"/>
    <x v="7"/>
    <x v="6"/>
  </r>
  <r>
    <x v="1622"/>
    <n v="-25"/>
    <x v="2929"/>
    <n v="4879.6099999999997"/>
    <s v="Complete Access"/>
    <x v="645"/>
    <x v="0"/>
    <x v="69"/>
    <d v="1900-01-04T00:00:00"/>
    <n v="27"/>
    <x v="7"/>
    <x v="6"/>
  </r>
  <r>
    <x v="1622"/>
    <n v="-25"/>
    <x v="2929"/>
    <n v="4904.6099999999997"/>
    <s v="Complete Access"/>
    <x v="645"/>
    <x v="0"/>
    <x v="69"/>
    <d v="1900-01-04T00:00:00"/>
    <n v="27"/>
    <x v="7"/>
    <x v="6"/>
  </r>
  <r>
    <x v="1623"/>
    <n v="-6"/>
    <x v="2859"/>
    <n v="5022.6000000000004"/>
    <s v="Complete Access"/>
    <x v="61"/>
    <x v="1"/>
    <x v="1"/>
    <d v="1900-01-03T00:00:00"/>
    <n v="27"/>
    <x v="7"/>
    <x v="6"/>
  </r>
  <r>
    <x v="1623"/>
    <n v="-13"/>
    <x v="2929"/>
    <n v="5009.6000000000004"/>
    <s v="Complete Access"/>
    <x v="645"/>
    <x v="0"/>
    <x v="69"/>
    <d v="1900-01-03T00:00:00"/>
    <n v="27"/>
    <x v="7"/>
    <x v="6"/>
  </r>
  <r>
    <x v="1623"/>
    <n v="-33.18"/>
    <x v="3338"/>
    <n v="5028.6000000000004"/>
    <s v="Complete Access"/>
    <x v="237"/>
    <x v="15"/>
    <x v="34"/>
    <d v="1900-01-03T00:00:00"/>
    <n v="27"/>
    <x v="7"/>
    <x v="6"/>
  </r>
  <r>
    <x v="1623"/>
    <n v="-45.4"/>
    <x v="3339"/>
    <n v="4964.2"/>
    <s v="Complete Access"/>
    <x v="741"/>
    <x v="16"/>
    <x v="81"/>
    <d v="1900-01-03T00:00:00"/>
    <n v="27"/>
    <x v="7"/>
    <x v="6"/>
  </r>
  <r>
    <x v="1624"/>
    <n v="-0.87"/>
    <x v="2859"/>
    <n v="3805.1"/>
    <s v="Complete Access"/>
    <x v="61"/>
    <x v="1"/>
    <x v="1"/>
    <d v="1900-01-02T00:00:00"/>
    <n v="27"/>
    <x v="7"/>
    <x v="6"/>
  </r>
  <r>
    <x v="1624"/>
    <n v="-9"/>
    <x v="3340"/>
    <n v="3805.97"/>
    <s v="Complete Access"/>
    <x v="764"/>
    <x v="4"/>
    <x v="82"/>
    <d v="1900-01-02T00:00:00"/>
    <n v="27"/>
    <x v="7"/>
    <x v="6"/>
  </r>
  <r>
    <x v="1624"/>
    <n v="-9"/>
    <x v="3340"/>
    <n v="3814.97"/>
    <s v="Complete Access"/>
    <x v="764"/>
    <x v="4"/>
    <x v="82"/>
    <d v="1900-01-02T00:00:00"/>
    <n v="27"/>
    <x v="7"/>
    <x v="6"/>
  </r>
  <r>
    <x v="1624"/>
    <n v="1265.58"/>
    <x v="3188"/>
    <n v="5061.78"/>
    <s v="Complete Access"/>
    <x v="14"/>
    <x v="6"/>
    <x v="9"/>
    <d v="1900-01-02T00:00:00"/>
    <n v="27"/>
    <x v="7"/>
    <x v="6"/>
  </r>
  <r>
    <x v="1624"/>
    <n v="-8.9"/>
    <x v="2863"/>
    <n v="3796.2"/>
    <s v="Complete Access"/>
    <x v="186"/>
    <x v="1"/>
    <x v="5"/>
    <d v="1900-01-02T00:00:00"/>
    <n v="27"/>
    <x v="7"/>
    <x v="6"/>
  </r>
  <r>
    <x v="1625"/>
    <n v="-0.57999999999999996"/>
    <x v="2859"/>
    <n v="3832.87"/>
    <s v="Complete Access"/>
    <x v="61"/>
    <x v="1"/>
    <x v="1"/>
    <d v="1900-01-01T00:00:00"/>
    <n v="27"/>
    <x v="7"/>
    <x v="6"/>
  </r>
  <r>
    <x v="1625"/>
    <n v="-10.33"/>
    <x v="3341"/>
    <n v="4061.14"/>
    <s v="Complete Access"/>
    <x v="106"/>
    <x v="5"/>
    <x v="41"/>
    <d v="1900-01-01T00:00:00"/>
    <n v="27"/>
    <x v="7"/>
    <x v="6"/>
  </r>
  <r>
    <x v="1625"/>
    <n v="-40"/>
    <x v="3342"/>
    <n v="4071.47"/>
    <s v="Complete Access"/>
    <x v="12"/>
    <x v="5"/>
    <x v="8"/>
    <d v="1900-01-01T00:00:00"/>
    <n v="27"/>
    <x v="7"/>
    <x v="6"/>
  </r>
  <r>
    <x v="1625"/>
    <n v="-12.5"/>
    <x v="3343"/>
    <n v="3833.45"/>
    <s v="Complete Access"/>
    <x v="682"/>
    <x v="1"/>
    <x v="5"/>
    <d v="1900-01-01T00:00:00"/>
    <n v="27"/>
    <x v="7"/>
    <x v="6"/>
  </r>
  <r>
    <x v="1625"/>
    <n v="-203.23"/>
    <x v="3344"/>
    <n v="3845.95"/>
    <s v="Complete Access"/>
    <x v="765"/>
    <x v="12"/>
    <x v="21"/>
    <d v="1900-01-01T00:00:00"/>
    <n v="27"/>
    <x v="7"/>
    <x v="6"/>
  </r>
  <r>
    <x v="1625"/>
    <n v="-8.9"/>
    <x v="2863"/>
    <n v="3823.97"/>
    <s v="Complete Access"/>
    <x v="186"/>
    <x v="1"/>
    <x v="5"/>
    <d v="1900-01-01T00:00:00"/>
    <n v="27"/>
    <x v="7"/>
    <x v="6"/>
  </r>
  <r>
    <x v="1625"/>
    <n v="-11.96"/>
    <x v="3345"/>
    <n v="4049.18"/>
    <s v="Complete Access"/>
    <x v="540"/>
    <x v="12"/>
    <x v="21"/>
    <d v="1900-01-01T00:00:00"/>
    <n v="27"/>
    <x v="7"/>
    <x v="6"/>
  </r>
  <r>
    <x v="1626"/>
    <n v="-0.99"/>
    <x v="2859"/>
    <n v="4292.67"/>
    <s v="Complete Access"/>
    <x v="61"/>
    <x v="1"/>
    <x v="1"/>
    <d v="1899-12-31T00:00:00"/>
    <n v="27"/>
    <x v="7"/>
    <x v="6"/>
  </r>
  <r>
    <x v="1626"/>
    <n v="-172.3"/>
    <x v="3346"/>
    <n v="4111.47"/>
    <s v="Complete Access"/>
    <x v="76"/>
    <x v="2"/>
    <x v="2"/>
    <d v="1899-12-31T00:00:00"/>
    <n v="27"/>
    <x v="7"/>
    <x v="6"/>
  </r>
  <r>
    <x v="1626"/>
    <n v="-8.9"/>
    <x v="2863"/>
    <n v="4283.7700000000004"/>
    <s v="Complete Access"/>
    <x v="186"/>
    <x v="1"/>
    <x v="5"/>
    <d v="1899-12-31T00:00:00"/>
    <n v="27"/>
    <x v="7"/>
    <x v="6"/>
  </r>
  <r>
    <x v="1627"/>
    <n v="-72.53"/>
    <x v="2643"/>
    <n v="4314.66"/>
    <s v="Complete Access"/>
    <x v="215"/>
    <x v="1"/>
    <x v="1"/>
    <d v="1900-01-28T00:00:00"/>
    <n v="26"/>
    <x v="8"/>
    <x v="6"/>
  </r>
  <r>
    <x v="1627"/>
    <n v="-100"/>
    <x v="2274"/>
    <n v="4395.1899999999996"/>
    <s v="Complete Access"/>
    <x v="552"/>
    <x v="0"/>
    <x v="74"/>
    <d v="1900-01-28T00:00:00"/>
    <n v="26"/>
    <x v="8"/>
    <x v="6"/>
  </r>
  <r>
    <x v="1627"/>
    <n v="-8"/>
    <x v="3347"/>
    <n v="4387.1899999999996"/>
    <s v="Complete Access"/>
    <x v="762"/>
    <x v="1"/>
    <x v="5"/>
    <d v="1900-01-28T00:00:00"/>
    <n v="26"/>
    <x v="8"/>
    <x v="6"/>
  </r>
  <r>
    <x v="1627"/>
    <n v="-21"/>
    <x v="2700"/>
    <n v="4293.66"/>
    <s v="Complete Access"/>
    <x v="243"/>
    <x v="1"/>
    <x v="23"/>
    <d v="1900-01-28T00:00:00"/>
    <n v="26"/>
    <x v="8"/>
    <x v="6"/>
  </r>
  <r>
    <x v="1628"/>
    <n v="-0.92"/>
    <x v="2859"/>
    <n v="4706.6000000000004"/>
    <s v="Complete Access"/>
    <x v="61"/>
    <x v="1"/>
    <x v="1"/>
    <d v="1900-01-27T00:00:00"/>
    <n v="26"/>
    <x v="8"/>
    <x v="6"/>
  </r>
  <r>
    <x v="1628"/>
    <n v="-100"/>
    <x v="3348"/>
    <n v="4495.1899999999996"/>
    <s v="Complete Access"/>
    <x v="601"/>
    <x v="0"/>
    <x v="0"/>
    <d v="1900-01-27T00:00:00"/>
    <n v="26"/>
    <x v="8"/>
    <x v="6"/>
  </r>
  <r>
    <x v="1628"/>
    <n v="-27.41"/>
    <x v="3349"/>
    <n v="4679.1899999999996"/>
    <s v="Complete Access"/>
    <x v="766"/>
    <x v="0"/>
    <x v="69"/>
    <d v="1900-01-27T00:00:00"/>
    <n v="26"/>
    <x v="8"/>
    <x v="6"/>
  </r>
  <r>
    <x v="1628"/>
    <n v="-8"/>
    <x v="3350"/>
    <n v="4707.5200000000004"/>
    <s v="Complete Access"/>
    <x v="762"/>
    <x v="1"/>
    <x v="5"/>
    <d v="1900-01-27T00:00:00"/>
    <n v="26"/>
    <x v="8"/>
    <x v="6"/>
  </r>
  <r>
    <x v="1628"/>
    <n v="-84"/>
    <x v="2700"/>
    <n v="4595.1899999999996"/>
    <s v="Complete Access"/>
    <x v="243"/>
    <x v="1"/>
    <x v="23"/>
    <d v="1900-01-27T00:00:00"/>
    <n v="26"/>
    <x v="8"/>
    <x v="6"/>
  </r>
  <r>
    <x v="1629"/>
    <n v="-16.16"/>
    <x v="3351"/>
    <n v="4665.5200000000004"/>
    <s v="Complete Access"/>
    <x v="767"/>
    <x v="8"/>
    <x v="29"/>
    <d v="1900-01-26T00:00:00"/>
    <n v="26"/>
    <x v="8"/>
    <x v="6"/>
  </r>
  <r>
    <x v="1629"/>
    <n v="-8.08"/>
    <x v="3351"/>
    <n v="4681.68"/>
    <s v="Complete Access"/>
    <x v="767"/>
    <x v="8"/>
    <x v="29"/>
    <d v="1900-01-26T00:00:00"/>
    <n v="26"/>
    <x v="8"/>
    <x v="6"/>
  </r>
  <r>
    <x v="1629"/>
    <n v="-6.57"/>
    <x v="3351"/>
    <n v="4689.76"/>
    <s v="Complete Access"/>
    <x v="767"/>
    <x v="8"/>
    <x v="29"/>
    <d v="1900-01-26T00:00:00"/>
    <n v="26"/>
    <x v="8"/>
    <x v="6"/>
  </r>
  <r>
    <x v="1629"/>
    <n v="-40"/>
    <x v="3352"/>
    <n v="4799.66"/>
    <s v="Complete Access"/>
    <x v="12"/>
    <x v="5"/>
    <x v="8"/>
    <d v="1900-01-26T00:00:00"/>
    <n v="26"/>
    <x v="8"/>
    <x v="6"/>
  </r>
  <r>
    <x v="1629"/>
    <n v="-500"/>
    <x v="2294"/>
    <n v="4839.66"/>
    <s v="Complete Access"/>
    <x v="571"/>
    <x v="19"/>
    <x v="61"/>
    <d v="1900-01-26T00:00:00"/>
    <n v="26"/>
    <x v="8"/>
    <x v="6"/>
  </r>
  <r>
    <x v="1629"/>
    <n v="-30.35"/>
    <x v="3353"/>
    <n v="4696.33"/>
    <s v="Complete Access"/>
    <x v="237"/>
    <x v="15"/>
    <x v="34"/>
    <d v="1900-01-26T00:00:00"/>
    <n v="26"/>
    <x v="8"/>
    <x v="6"/>
  </r>
  <r>
    <x v="1629"/>
    <n v="-72.98"/>
    <x v="3353"/>
    <n v="4726.68"/>
    <s v="Complete Access"/>
    <x v="237"/>
    <x v="15"/>
    <x v="34"/>
    <d v="1900-01-26T00:00:00"/>
    <n v="26"/>
    <x v="8"/>
    <x v="6"/>
  </r>
  <r>
    <x v="1629"/>
    <n v="-50"/>
    <x v="3061"/>
    <n v="4715.5200000000004"/>
    <s v="Complete Access"/>
    <x v="27"/>
    <x v="1"/>
    <x v="5"/>
    <d v="1900-01-26T00:00:00"/>
    <n v="26"/>
    <x v="8"/>
    <x v="6"/>
  </r>
  <r>
    <x v="1629"/>
    <n v="100"/>
    <x v="3354"/>
    <n v="4765.5200000000004"/>
    <s v="Complete Access"/>
    <x v="722"/>
    <x v="0"/>
    <x v="0"/>
    <d v="1900-01-26T00:00:00"/>
    <n v="26"/>
    <x v="8"/>
    <x v="6"/>
  </r>
  <r>
    <x v="1630"/>
    <n v="-0.78"/>
    <x v="2859"/>
    <n v="3101.07"/>
    <s v="Complete Access"/>
    <x v="61"/>
    <x v="1"/>
    <x v="1"/>
    <d v="1900-01-25T00:00:00"/>
    <n v="26"/>
    <x v="8"/>
    <x v="6"/>
  </r>
  <r>
    <x v="1630"/>
    <n v="2247.4899999999998"/>
    <x v="3188"/>
    <n v="5339.66"/>
    <s v="Complete Access"/>
    <x v="14"/>
    <x v="6"/>
    <x v="9"/>
    <d v="1900-01-25T00:00:00"/>
    <n v="26"/>
    <x v="8"/>
    <x v="6"/>
  </r>
  <r>
    <x v="1630"/>
    <n v="-23.63"/>
    <x v="3355"/>
    <n v="3101.85"/>
    <s v="Complete Access"/>
    <x v="768"/>
    <x v="8"/>
    <x v="29"/>
    <d v="1900-01-25T00:00:00"/>
    <n v="26"/>
    <x v="8"/>
    <x v="6"/>
  </r>
  <r>
    <x v="1630"/>
    <n v="-23"/>
    <x v="3355"/>
    <n v="3125.48"/>
    <s v="Complete Access"/>
    <x v="768"/>
    <x v="8"/>
    <x v="29"/>
    <d v="1900-01-25T00:00:00"/>
    <n v="26"/>
    <x v="8"/>
    <x v="6"/>
  </r>
  <r>
    <x v="1630"/>
    <n v="-20"/>
    <x v="3355"/>
    <n v="3148.48"/>
    <s v="Complete Access"/>
    <x v="768"/>
    <x v="8"/>
    <x v="29"/>
    <d v="1900-01-25T00:00:00"/>
    <n v="26"/>
    <x v="8"/>
    <x v="6"/>
  </r>
  <r>
    <x v="1630"/>
    <n v="-10.1"/>
    <x v="3355"/>
    <n v="3168.48"/>
    <s v="Complete Access"/>
    <x v="768"/>
    <x v="8"/>
    <x v="29"/>
    <d v="1900-01-25T00:00:00"/>
    <n v="26"/>
    <x v="8"/>
    <x v="6"/>
  </r>
  <r>
    <x v="1630"/>
    <n v="-8.9"/>
    <x v="2863"/>
    <n v="3092.17"/>
    <s v="Complete Access"/>
    <x v="186"/>
    <x v="1"/>
    <x v="5"/>
    <d v="1900-01-25T00:00:00"/>
    <n v="26"/>
    <x v="8"/>
    <x v="6"/>
  </r>
  <r>
    <x v="1631"/>
    <n v="-5.7"/>
    <x v="2915"/>
    <n v="3178.58"/>
    <s v="Complete Access"/>
    <x v="674"/>
    <x v="8"/>
    <x v="29"/>
    <d v="1900-01-24T00:00:00"/>
    <n v="26"/>
    <x v="8"/>
    <x v="6"/>
  </r>
  <r>
    <x v="1631"/>
    <n v="-1.05"/>
    <x v="2859"/>
    <n v="3184.28"/>
    <s v="Complete Access"/>
    <x v="61"/>
    <x v="1"/>
    <x v="1"/>
    <d v="1900-01-24T00:00:00"/>
    <n v="26"/>
    <x v="8"/>
    <x v="6"/>
  </r>
  <r>
    <x v="1632"/>
    <n v="-38.979999999999997"/>
    <x v="2915"/>
    <n v="3245.33"/>
    <s v="Complete Access"/>
    <x v="674"/>
    <x v="8"/>
    <x v="29"/>
    <d v="1900-01-23T00:00:00"/>
    <n v="26"/>
    <x v="8"/>
    <x v="6"/>
  </r>
  <r>
    <x v="1632"/>
    <n v="-60"/>
    <x v="2929"/>
    <n v="3185.33"/>
    <s v="Complete Access"/>
    <x v="645"/>
    <x v="0"/>
    <x v="69"/>
    <d v="1900-01-23T00:00:00"/>
    <n v="26"/>
    <x v="8"/>
    <x v="6"/>
  </r>
  <r>
    <x v="1633"/>
    <n v="-19.75"/>
    <x v="3356"/>
    <n v="3315.71"/>
    <s v="Complete Access"/>
    <x v="769"/>
    <x v="5"/>
    <x v="83"/>
    <d v="1900-01-21T00:00:00"/>
    <n v="25"/>
    <x v="8"/>
    <x v="6"/>
  </r>
  <r>
    <x v="1633"/>
    <n v="-31.4"/>
    <x v="3357"/>
    <n v="3284.31"/>
    <s v="Complete Access"/>
    <x v="770"/>
    <x v="20"/>
    <x v="63"/>
    <d v="1900-01-21T00:00:00"/>
    <n v="25"/>
    <x v="8"/>
    <x v="6"/>
  </r>
  <r>
    <x v="1633"/>
    <n v="-100"/>
    <x v="2274"/>
    <n v="3345.36"/>
    <s v="Complete Access"/>
    <x v="552"/>
    <x v="0"/>
    <x v="74"/>
    <d v="1900-01-21T00:00:00"/>
    <n v="25"/>
    <x v="8"/>
    <x v="6"/>
  </r>
  <r>
    <x v="1633"/>
    <n v="-9.9"/>
    <x v="3358"/>
    <n v="3335.46"/>
    <s v="Complete Access"/>
    <x v="186"/>
    <x v="1"/>
    <x v="5"/>
    <d v="1900-01-21T00:00:00"/>
    <n v="25"/>
    <x v="8"/>
    <x v="6"/>
  </r>
  <r>
    <x v="1634"/>
    <n v="-19.75"/>
    <x v="3356"/>
    <n v="3445.36"/>
    <s v="Complete Access"/>
    <x v="769"/>
    <x v="5"/>
    <x v="83"/>
    <d v="1900-01-20T00:00:00"/>
    <n v="25"/>
    <x v="8"/>
    <x v="6"/>
  </r>
  <r>
    <x v="1634"/>
    <n v="-14.45"/>
    <x v="3357"/>
    <n v="3465.11"/>
    <s v="Complete Access"/>
    <x v="770"/>
    <x v="20"/>
    <x v="63"/>
    <d v="1900-01-20T00:00:00"/>
    <n v="25"/>
    <x v="8"/>
    <x v="6"/>
  </r>
  <r>
    <x v="1634"/>
    <n v="-9.5"/>
    <x v="3359"/>
    <n v="3492.81"/>
    <s v="Complete Access"/>
    <x v="186"/>
    <x v="1"/>
    <x v="5"/>
    <d v="1900-01-20T00:00:00"/>
    <n v="25"/>
    <x v="8"/>
    <x v="6"/>
  </r>
  <r>
    <x v="1634"/>
    <n v="-13.25"/>
    <x v="3360"/>
    <n v="3479.56"/>
    <s v="Complete Access"/>
    <x v="34"/>
    <x v="9"/>
    <x v="12"/>
    <d v="1900-01-20T00:00:00"/>
    <n v="25"/>
    <x v="8"/>
    <x v="6"/>
  </r>
  <r>
    <x v="1635"/>
    <n v="-0.71"/>
    <x v="2859"/>
    <n v="3597.71"/>
    <s v="Complete Access"/>
    <x v="61"/>
    <x v="1"/>
    <x v="1"/>
    <d v="1900-01-19T00:00:00"/>
    <n v="25"/>
    <x v="8"/>
    <x v="6"/>
  </r>
  <r>
    <x v="1635"/>
    <n v="-50"/>
    <x v="3361"/>
    <n v="3547.71"/>
    <s v="Complete Access"/>
    <x v="12"/>
    <x v="5"/>
    <x v="8"/>
    <d v="1900-01-19T00:00:00"/>
    <n v="25"/>
    <x v="8"/>
    <x v="6"/>
  </r>
  <r>
    <x v="1635"/>
    <n v="-10"/>
    <x v="3362"/>
    <n v="3607.32"/>
    <s v="Complete Access"/>
    <x v="762"/>
    <x v="1"/>
    <x v="5"/>
    <d v="1900-01-19T00:00:00"/>
    <n v="25"/>
    <x v="8"/>
    <x v="6"/>
  </r>
  <r>
    <x v="1635"/>
    <n v="-45.4"/>
    <x v="3363"/>
    <n v="3502.31"/>
    <s v="Complete Access"/>
    <x v="741"/>
    <x v="16"/>
    <x v="81"/>
    <d v="1900-01-19T00:00:00"/>
    <n v="25"/>
    <x v="8"/>
    <x v="6"/>
  </r>
  <r>
    <x v="1635"/>
    <n v="-8.9"/>
    <x v="3364"/>
    <n v="3598.42"/>
    <s v="Complete Access"/>
    <x v="186"/>
    <x v="1"/>
    <x v="5"/>
    <d v="1900-01-19T00:00:00"/>
    <n v="25"/>
    <x v="8"/>
    <x v="6"/>
  </r>
  <r>
    <x v="1636"/>
    <n v="-4.24"/>
    <x v="2915"/>
    <n v="1709.82"/>
    <s v="Complete Access"/>
    <x v="674"/>
    <x v="8"/>
    <x v="29"/>
    <d v="1900-01-18T00:00:00"/>
    <n v="25"/>
    <x v="8"/>
    <x v="6"/>
  </r>
  <r>
    <x v="1636"/>
    <n v="-8.01"/>
    <x v="2859"/>
    <n v="1614.06"/>
    <s v="Complete Access"/>
    <x v="61"/>
    <x v="1"/>
    <x v="1"/>
    <d v="1900-01-18T00:00:00"/>
    <n v="25"/>
    <x v="8"/>
    <x v="6"/>
  </r>
  <r>
    <x v="1636"/>
    <n v="-150"/>
    <x v="3214"/>
    <n v="1559.82"/>
    <s v="Complete Access"/>
    <x v="601"/>
    <x v="0"/>
    <x v="0"/>
    <d v="1900-01-18T00:00:00"/>
    <n v="25"/>
    <x v="8"/>
    <x v="6"/>
  </r>
  <r>
    <x v="1636"/>
    <n v="100"/>
    <x v="3365"/>
    <n v="1714.06"/>
    <s v="Complete Access"/>
    <x v="0"/>
    <x v="0"/>
    <x v="0"/>
    <d v="1900-01-18T00:00:00"/>
    <n v="25"/>
    <x v="8"/>
    <x v="6"/>
  </r>
  <r>
    <x v="1636"/>
    <n v="-2.5"/>
    <x v="72"/>
    <n v="1557.32"/>
    <s v="Complete Access"/>
    <x v="37"/>
    <x v="0"/>
    <x v="0"/>
    <d v="1900-01-18T00:00:00"/>
    <n v="25"/>
    <x v="8"/>
    <x v="6"/>
  </r>
  <r>
    <x v="1636"/>
    <n v="2060"/>
    <x v="3366"/>
    <n v="3617.32"/>
    <s v="Complete Access"/>
    <x v="67"/>
    <x v="0"/>
    <x v="0"/>
    <d v="1900-01-18T00:00:00"/>
    <n v="25"/>
    <x v="8"/>
    <x v="6"/>
  </r>
  <r>
    <x v="1636"/>
    <n v="-12.5"/>
    <x v="3367"/>
    <n v="1622.07"/>
    <s v="Complete Access"/>
    <x v="771"/>
    <x v="1"/>
    <x v="5"/>
    <d v="1900-01-18T00:00:00"/>
    <n v="25"/>
    <x v="8"/>
    <x v="6"/>
  </r>
  <r>
    <x v="1637"/>
    <n v="-10"/>
    <x v="3368"/>
    <n v="1643.47"/>
    <s v="Complete Access"/>
    <x v="762"/>
    <x v="1"/>
    <x v="5"/>
    <d v="1900-01-17T00:00:00"/>
    <n v="25"/>
    <x v="8"/>
    <x v="6"/>
  </r>
  <r>
    <x v="1637"/>
    <n v="-8.9"/>
    <x v="3369"/>
    <n v="1634.57"/>
    <s v="Complete Access"/>
    <x v="186"/>
    <x v="1"/>
    <x v="5"/>
    <d v="1900-01-17T00:00:00"/>
    <n v="25"/>
    <x v="8"/>
    <x v="6"/>
  </r>
  <r>
    <x v="1638"/>
    <n v="-0.97"/>
    <x v="2859"/>
    <n v="1653.41"/>
    <s v="Complete Access"/>
    <x v="61"/>
    <x v="1"/>
    <x v="1"/>
    <d v="1900-01-16T00:00:00"/>
    <n v="25"/>
    <x v="8"/>
    <x v="6"/>
  </r>
  <r>
    <x v="1638"/>
    <n v="0.06"/>
    <x v="3370"/>
    <n v="1653.47"/>
    <s v="Complete Access"/>
    <x v="772"/>
    <x v="0"/>
    <x v="0"/>
    <d v="1900-01-16T00:00:00"/>
    <n v="25"/>
    <x v="8"/>
    <x v="6"/>
  </r>
  <r>
    <x v="1639"/>
    <n v="-19"/>
    <x v="3371"/>
    <n v="1654.38"/>
    <s v="Complete Access"/>
    <x v="27"/>
    <x v="1"/>
    <x v="5"/>
    <d v="1900-01-15T00:00:00"/>
    <n v="25"/>
    <x v="8"/>
    <x v="6"/>
  </r>
  <r>
    <x v="1640"/>
    <n v="-45.35"/>
    <x v="2643"/>
    <n v="1673.38"/>
    <s v="Complete Access"/>
    <x v="215"/>
    <x v="1"/>
    <x v="1"/>
    <d v="1900-01-14T00:00:00"/>
    <n v="24"/>
    <x v="8"/>
    <x v="6"/>
  </r>
  <r>
    <x v="1640"/>
    <n v="-100"/>
    <x v="2274"/>
    <n v="1718.73"/>
    <s v="Complete Access"/>
    <x v="552"/>
    <x v="0"/>
    <x v="74"/>
    <d v="1900-01-14T00:00:00"/>
    <n v="24"/>
    <x v="8"/>
    <x v="6"/>
  </r>
  <r>
    <x v="1641"/>
    <n v="-20.88"/>
    <x v="2915"/>
    <n v="636.48"/>
    <s v="Complete Access"/>
    <x v="674"/>
    <x v="8"/>
    <x v="29"/>
    <d v="1900-01-13T00:00:00"/>
    <n v="24"/>
    <x v="8"/>
    <x v="6"/>
  </r>
  <r>
    <x v="1641"/>
    <n v="-22.33"/>
    <x v="3372"/>
    <n v="666.26"/>
    <s v="Complete Access"/>
    <x v="773"/>
    <x v="1"/>
    <x v="5"/>
    <d v="1900-01-13T00:00:00"/>
    <n v="24"/>
    <x v="8"/>
    <x v="6"/>
  </r>
  <r>
    <x v="1641"/>
    <n v="1182.25"/>
    <x v="3188"/>
    <n v="1818.73"/>
    <s v="Complete Access"/>
    <x v="14"/>
    <x v="6"/>
    <x v="9"/>
    <d v="1900-01-13T00:00:00"/>
    <n v="24"/>
    <x v="8"/>
    <x v="6"/>
  </r>
  <r>
    <x v="1641"/>
    <n v="-8.9"/>
    <x v="3373"/>
    <n v="657.36"/>
    <s v="Complete Access"/>
    <x v="186"/>
    <x v="1"/>
    <x v="5"/>
    <d v="1900-01-13T00:00:00"/>
    <n v="24"/>
    <x v="8"/>
    <x v="6"/>
  </r>
  <r>
    <x v="1642"/>
    <n v="-500"/>
    <x v="2294"/>
    <n v="746.07"/>
    <s v="Complete Access"/>
    <x v="571"/>
    <x v="19"/>
    <x v="61"/>
    <d v="1900-01-12T00:00:00"/>
    <n v="24"/>
    <x v="8"/>
    <x v="6"/>
  </r>
  <r>
    <x v="1642"/>
    <n v="-18.98"/>
    <x v="3374"/>
    <n v="727.09"/>
    <s v="Complete Access"/>
    <x v="774"/>
    <x v="8"/>
    <x v="29"/>
    <d v="1900-01-12T00:00:00"/>
    <n v="24"/>
    <x v="8"/>
    <x v="6"/>
  </r>
  <r>
    <x v="1642"/>
    <n v="-9"/>
    <x v="3375"/>
    <n v="718.09"/>
    <s v="Complete Access"/>
    <x v="186"/>
    <x v="1"/>
    <x v="5"/>
    <d v="1900-01-12T00:00:00"/>
    <n v="24"/>
    <x v="8"/>
    <x v="6"/>
  </r>
  <r>
    <x v="1642"/>
    <n v="-21.5"/>
    <x v="3376"/>
    <n v="688.59"/>
    <s v="Complete Access"/>
    <x v="775"/>
    <x v="8"/>
    <x v="29"/>
    <d v="1900-01-12T00:00:00"/>
    <n v="24"/>
    <x v="8"/>
    <x v="6"/>
  </r>
  <r>
    <x v="1642"/>
    <n v="-4"/>
    <x v="3376"/>
    <n v="710.09"/>
    <s v="Complete Access"/>
    <x v="775"/>
    <x v="8"/>
    <x v="29"/>
    <d v="1900-01-12T00:00:00"/>
    <n v="24"/>
    <x v="8"/>
    <x v="6"/>
  </r>
  <r>
    <x v="1642"/>
    <n v="-4"/>
    <x v="3376"/>
    <n v="714.09"/>
    <s v="Complete Access"/>
    <x v="775"/>
    <x v="8"/>
    <x v="29"/>
    <d v="1900-01-12T00:00:00"/>
    <n v="24"/>
    <x v="8"/>
    <x v="6"/>
  </r>
  <r>
    <x v="1643"/>
    <n v="-8"/>
    <x v="2915"/>
    <n v="1246.07"/>
    <s v="Complete Access"/>
    <x v="674"/>
    <x v="8"/>
    <x v="29"/>
    <d v="1900-01-11T00:00:00"/>
    <n v="24"/>
    <x v="8"/>
    <x v="6"/>
  </r>
  <r>
    <x v="1643"/>
    <n v="-50"/>
    <x v="3377"/>
    <n v="1254.07"/>
    <s v="Complete Access"/>
    <x v="776"/>
    <x v="5"/>
    <x v="83"/>
    <d v="1900-01-11T00:00:00"/>
    <n v="24"/>
    <x v="8"/>
    <x v="6"/>
  </r>
  <r>
    <x v="1643"/>
    <n v="-15"/>
    <x v="2929"/>
    <n v="1304.07"/>
    <s v="Complete Access"/>
    <x v="645"/>
    <x v="0"/>
    <x v="69"/>
    <d v="1900-01-11T00:00:00"/>
    <n v="24"/>
    <x v="8"/>
    <x v="6"/>
  </r>
  <r>
    <x v="1643"/>
    <n v="200"/>
    <x v="3378"/>
    <n v="1319.07"/>
    <s v="Complete Access"/>
    <x v="722"/>
    <x v="0"/>
    <x v="0"/>
    <d v="1900-01-11T00:00:00"/>
    <n v="24"/>
    <x v="8"/>
    <x v="6"/>
  </r>
  <r>
    <x v="1644"/>
    <n v="-11.35"/>
    <x v="2643"/>
    <n v="1119.07"/>
    <s v="Complete Access"/>
    <x v="215"/>
    <x v="1"/>
    <x v="1"/>
    <d v="1900-01-10T00:00:00"/>
    <n v="24"/>
    <x v="8"/>
    <x v="6"/>
  </r>
  <r>
    <x v="1644"/>
    <n v="-8.9"/>
    <x v="3379"/>
    <n v="1130.42"/>
    <s v="Complete Access"/>
    <x v="186"/>
    <x v="1"/>
    <x v="5"/>
    <d v="1900-01-10T00:00:00"/>
    <n v="24"/>
    <x v="8"/>
    <x v="6"/>
  </r>
  <r>
    <x v="1645"/>
    <n v="-22.33"/>
    <x v="3380"/>
    <n v="1213.32"/>
    <s v="Complete Access"/>
    <x v="773"/>
    <x v="1"/>
    <x v="5"/>
    <d v="1900-01-09T00:00:00"/>
    <n v="24"/>
    <x v="8"/>
    <x v="6"/>
  </r>
  <r>
    <x v="1645"/>
    <n v="-19.5"/>
    <x v="3381"/>
    <n v="1235.6500000000001"/>
    <s v="Complete Access"/>
    <x v="777"/>
    <x v="8"/>
    <x v="29"/>
    <d v="1900-01-09T00:00:00"/>
    <n v="24"/>
    <x v="8"/>
    <x v="6"/>
  </r>
  <r>
    <x v="1645"/>
    <n v="-10"/>
    <x v="3381"/>
    <n v="1255.1500000000001"/>
    <s v="Complete Access"/>
    <x v="777"/>
    <x v="8"/>
    <x v="29"/>
    <d v="1900-01-09T00:00:00"/>
    <n v="24"/>
    <x v="8"/>
    <x v="6"/>
  </r>
  <r>
    <x v="1645"/>
    <n v="-74"/>
    <x v="2543"/>
    <n v="1139.32"/>
    <s v="Complete Access"/>
    <x v="17"/>
    <x v="7"/>
    <x v="11"/>
    <d v="1900-01-09T00:00:00"/>
    <n v="24"/>
    <x v="8"/>
    <x v="6"/>
  </r>
  <r>
    <x v="1646"/>
    <n v="-48.74"/>
    <x v="3382"/>
    <n v="1265.1500000000001"/>
    <s v="Complete Access"/>
    <x v="188"/>
    <x v="1"/>
    <x v="1"/>
    <d v="1900-01-07T00:00:00"/>
    <n v="23"/>
    <x v="8"/>
    <x v="6"/>
  </r>
  <r>
    <x v="1646"/>
    <n v="-200"/>
    <x v="3383"/>
    <n v="1430"/>
    <s v="Complete Access"/>
    <x v="778"/>
    <x v="9"/>
    <x v="39"/>
    <d v="1900-01-07T00:00:00"/>
    <n v="23"/>
    <x v="8"/>
    <x v="6"/>
  </r>
  <r>
    <x v="1646"/>
    <n v="-100"/>
    <x v="2274"/>
    <n v="1321.1"/>
    <s v="Complete Access"/>
    <x v="552"/>
    <x v="0"/>
    <x v="74"/>
    <d v="1900-01-07T00:00:00"/>
    <n v="23"/>
    <x v="8"/>
    <x v="6"/>
  </r>
  <r>
    <x v="1646"/>
    <n v="-7.21"/>
    <x v="3384"/>
    <n v="1313.89"/>
    <s v="Complete Access"/>
    <x v="779"/>
    <x v="1"/>
    <x v="1"/>
    <d v="1900-01-07T00:00:00"/>
    <n v="23"/>
    <x v="8"/>
    <x v="6"/>
  </r>
  <r>
    <x v="1646"/>
    <n v="-8.9"/>
    <x v="3385"/>
    <n v="1421.1"/>
    <s v="Complete Access"/>
    <x v="186"/>
    <x v="1"/>
    <x v="5"/>
    <d v="1900-01-07T00:00:00"/>
    <n v="23"/>
    <x v="8"/>
    <x v="6"/>
  </r>
  <r>
    <x v="1647"/>
    <n v="-1.1399999999999999"/>
    <x v="2859"/>
    <n v="1637.5"/>
    <s v="Complete Access"/>
    <x v="61"/>
    <x v="1"/>
    <x v="1"/>
    <d v="1900-01-06T00:00:00"/>
    <n v="23"/>
    <x v="8"/>
    <x v="6"/>
  </r>
  <r>
    <x v="1647"/>
    <n v="-7.5"/>
    <x v="2643"/>
    <n v="1630"/>
    <s v="Complete Access"/>
    <x v="215"/>
    <x v="1"/>
    <x v="1"/>
    <d v="1900-01-06T00:00:00"/>
    <n v="23"/>
    <x v="8"/>
    <x v="6"/>
  </r>
  <r>
    <x v="1647"/>
    <n v="-10"/>
    <x v="3386"/>
    <n v="1647.64"/>
    <s v="Complete Access"/>
    <x v="762"/>
    <x v="1"/>
    <x v="5"/>
    <d v="1900-01-06T00:00:00"/>
    <n v="23"/>
    <x v="8"/>
    <x v="6"/>
  </r>
  <r>
    <x v="1647"/>
    <n v="-9"/>
    <x v="3387"/>
    <n v="1638.64"/>
    <s v="Complete Access"/>
    <x v="186"/>
    <x v="1"/>
    <x v="5"/>
    <d v="1900-01-06T00:00:00"/>
    <n v="23"/>
    <x v="8"/>
    <x v="6"/>
  </r>
  <r>
    <x v="1648"/>
    <n v="-7.31"/>
    <x v="2859"/>
    <n v="1703.04"/>
    <s v="Complete Access"/>
    <x v="61"/>
    <x v="1"/>
    <x v="1"/>
    <d v="1900-01-05T00:00:00"/>
    <n v="23"/>
    <x v="8"/>
    <x v="6"/>
  </r>
  <r>
    <x v="1648"/>
    <n v="-40.47"/>
    <x v="3388"/>
    <n v="1710.35"/>
    <s v="Complete Access"/>
    <x v="780"/>
    <x v="9"/>
    <x v="31"/>
    <d v="1900-01-05T00:00:00"/>
    <n v="23"/>
    <x v="8"/>
    <x v="6"/>
  </r>
  <r>
    <x v="1648"/>
    <n v="-25.2"/>
    <x v="3389"/>
    <n v="1750.82"/>
    <s v="Complete Access"/>
    <x v="47"/>
    <x v="1"/>
    <x v="5"/>
    <d v="1900-01-05T00:00:00"/>
    <n v="23"/>
    <x v="8"/>
    <x v="6"/>
  </r>
  <r>
    <x v="1648"/>
    <n v="-45.4"/>
    <x v="3390"/>
    <n v="1657.64"/>
    <s v="Complete Access"/>
    <x v="741"/>
    <x v="16"/>
    <x v="81"/>
    <d v="1900-01-05T00:00:00"/>
    <n v="23"/>
    <x v="8"/>
    <x v="6"/>
  </r>
  <r>
    <x v="1649"/>
    <n v="-2.14"/>
    <x v="2859"/>
    <n v="607.04"/>
    <s v="Complete Access"/>
    <x v="61"/>
    <x v="1"/>
    <x v="1"/>
    <d v="1900-01-04T00:00:00"/>
    <n v="23"/>
    <x v="8"/>
    <x v="6"/>
  </r>
  <r>
    <x v="1649"/>
    <n v="-52.7"/>
    <x v="3391"/>
    <n v="935.31"/>
    <s v="Complete Access"/>
    <x v="8"/>
    <x v="1"/>
    <x v="5"/>
    <d v="1900-01-04T00:00:00"/>
    <n v="23"/>
    <x v="8"/>
    <x v="6"/>
  </r>
  <r>
    <x v="1649"/>
    <n v="-14"/>
    <x v="3392"/>
    <n v="988.01"/>
    <s v="Complete Access"/>
    <x v="593"/>
    <x v="1"/>
    <x v="5"/>
    <d v="1900-01-04T00:00:00"/>
    <n v="23"/>
    <x v="8"/>
    <x v="6"/>
  </r>
  <r>
    <x v="1649"/>
    <n v="1182.25"/>
    <x v="3188"/>
    <n v="1776.02"/>
    <s v="Complete Access"/>
    <x v="14"/>
    <x v="6"/>
    <x v="9"/>
    <d v="1900-01-04T00:00:00"/>
    <n v="23"/>
    <x v="8"/>
    <x v="6"/>
  </r>
  <r>
    <x v="1649"/>
    <n v="4.95"/>
    <x v="3393"/>
    <n v="1015.31"/>
    <s v="Complete Access"/>
    <x v="8"/>
    <x v="1"/>
    <x v="5"/>
    <d v="1900-01-04T00:00:00"/>
    <n v="23"/>
    <x v="8"/>
    <x v="6"/>
  </r>
  <r>
    <x v="1649"/>
    <n v="-13.27"/>
    <x v="2643"/>
    <n v="593.77"/>
    <s v="Complete Access"/>
    <x v="215"/>
    <x v="1"/>
    <x v="1"/>
    <d v="1900-01-04T00:00:00"/>
    <n v="23"/>
    <x v="8"/>
    <x v="6"/>
  </r>
  <r>
    <x v="1649"/>
    <n v="-249"/>
    <x v="3394"/>
    <n v="686.31"/>
    <s v="Complete Access"/>
    <x v="781"/>
    <x v="10"/>
    <x v="13"/>
    <d v="1900-01-04T00:00:00"/>
    <n v="23"/>
    <x v="8"/>
    <x v="6"/>
  </r>
  <r>
    <x v="1649"/>
    <n v="-70.63"/>
    <x v="3395"/>
    <n v="609.17999999999995"/>
    <s v="Complete Access"/>
    <x v="1"/>
    <x v="1"/>
    <x v="1"/>
    <d v="1900-01-04T00:00:00"/>
    <n v="23"/>
    <x v="8"/>
    <x v="6"/>
  </r>
  <r>
    <x v="1649"/>
    <n v="-13.3"/>
    <x v="3396"/>
    <n v="1002.01"/>
    <s v="Complete Access"/>
    <x v="186"/>
    <x v="1"/>
    <x v="5"/>
    <d v="1900-01-04T00:00:00"/>
    <n v="23"/>
    <x v="8"/>
    <x v="6"/>
  </r>
  <r>
    <x v="1649"/>
    <n v="-6.5"/>
    <x v="3397"/>
    <n v="679.81"/>
    <s v="Complete Access"/>
    <x v="34"/>
    <x v="9"/>
    <x v="12"/>
    <d v="1900-01-04T00:00:00"/>
    <n v="23"/>
    <x v="8"/>
    <x v="6"/>
  </r>
  <r>
    <x v="1650"/>
    <n v="-3.45"/>
    <x v="2859"/>
    <n v="1010.36"/>
    <s v="Complete Access"/>
    <x v="61"/>
    <x v="1"/>
    <x v="1"/>
    <d v="1900-01-03T00:00:00"/>
    <n v="23"/>
    <x v="8"/>
    <x v="6"/>
  </r>
  <r>
    <x v="1650"/>
    <n v="-50"/>
    <x v="3361"/>
    <n v="1013.81"/>
    <s v="Complete Access"/>
    <x v="12"/>
    <x v="5"/>
    <x v="8"/>
    <d v="1900-01-03T00:00:00"/>
    <n v="23"/>
    <x v="8"/>
    <x v="6"/>
  </r>
  <r>
    <x v="1650"/>
    <n v="-12.25"/>
    <x v="3398"/>
    <n v="1063.81"/>
    <s v="Complete Access"/>
    <x v="609"/>
    <x v="1"/>
    <x v="1"/>
    <d v="1900-01-03T00:00:00"/>
    <n v="23"/>
    <x v="8"/>
    <x v="6"/>
  </r>
  <r>
    <x v="1650"/>
    <n v="-10"/>
    <x v="3399"/>
    <n v="1386.06"/>
    <s v="Complete Access"/>
    <x v="762"/>
    <x v="1"/>
    <x v="5"/>
    <d v="1900-01-03T00:00:00"/>
    <n v="23"/>
    <x v="8"/>
    <x v="6"/>
  </r>
  <r>
    <x v="1650"/>
    <n v="-310"/>
    <x v="3400"/>
    <n v="1076.06"/>
    <s v="Complete Access"/>
    <x v="782"/>
    <x v="10"/>
    <x v="75"/>
    <d v="1900-01-03T00:00:00"/>
    <n v="23"/>
    <x v="8"/>
    <x v="6"/>
  </r>
  <r>
    <x v="1651"/>
    <n v="-3.14"/>
    <x v="2859"/>
    <n v="1665.7"/>
    <s v="Complete Access"/>
    <x v="61"/>
    <x v="1"/>
    <x v="1"/>
    <d v="1900-01-02T00:00:00"/>
    <n v="23"/>
    <x v="8"/>
    <x v="6"/>
  </r>
  <r>
    <x v="1651"/>
    <n v="-67"/>
    <x v="2929"/>
    <n v="1396.06"/>
    <s v="Complete Access"/>
    <x v="645"/>
    <x v="0"/>
    <x v="69"/>
    <d v="1900-01-02T00:00:00"/>
    <n v="23"/>
    <x v="8"/>
    <x v="6"/>
  </r>
  <r>
    <x v="1651"/>
    <n v="-172.3"/>
    <x v="3401"/>
    <n v="1463.06"/>
    <s v="Complete Access"/>
    <x v="76"/>
    <x v="2"/>
    <x v="2"/>
    <d v="1900-01-02T00:00:00"/>
    <n v="23"/>
    <x v="8"/>
    <x v="6"/>
  </r>
  <r>
    <x v="1651"/>
    <n v="-30.34"/>
    <x v="3402"/>
    <n v="1635.36"/>
    <s v="Complete Access"/>
    <x v="21"/>
    <x v="10"/>
    <x v="13"/>
    <d v="1900-01-02T00:00:00"/>
    <n v="23"/>
    <x v="8"/>
    <x v="6"/>
  </r>
  <r>
    <x v="1652"/>
    <n v="-600"/>
    <x v="3403"/>
    <n v="168.84"/>
    <s v="Complete Access"/>
    <x v="601"/>
    <x v="0"/>
    <x v="0"/>
    <d v="1899-12-31T00:00:00"/>
    <n v="22"/>
    <x v="8"/>
    <x v="6"/>
  </r>
  <r>
    <x v="1652"/>
    <n v="-515"/>
    <x v="3404"/>
    <n v="775.74"/>
    <s v="Complete Access"/>
    <x v="783"/>
    <x v="19"/>
    <x v="61"/>
    <d v="1899-12-31T00:00:00"/>
    <n v="22"/>
    <x v="8"/>
    <x v="6"/>
  </r>
  <r>
    <x v="1652"/>
    <n v="-2.72"/>
    <x v="3405"/>
    <n v="1399.74"/>
    <s v="Complete Access"/>
    <x v="609"/>
    <x v="1"/>
    <x v="1"/>
    <d v="1899-12-31T00:00:00"/>
    <n v="22"/>
    <x v="8"/>
    <x v="6"/>
  </r>
  <r>
    <x v="1652"/>
    <n v="-6.9"/>
    <x v="3406"/>
    <n v="768.84"/>
    <s v="Complete Access"/>
    <x v="784"/>
    <x v="11"/>
    <x v="14"/>
    <d v="1899-12-31T00:00:00"/>
    <n v="22"/>
    <x v="8"/>
    <x v="6"/>
  </r>
  <r>
    <x v="1652"/>
    <n v="-100"/>
    <x v="2274"/>
    <n v="1290.74"/>
    <s v="Complete Access"/>
    <x v="552"/>
    <x v="0"/>
    <x v="74"/>
    <d v="1899-12-31T00:00:00"/>
    <n v="22"/>
    <x v="8"/>
    <x v="6"/>
  </r>
  <r>
    <x v="1652"/>
    <n v="1500"/>
    <x v="3407"/>
    <n v="1668.84"/>
    <s v="Complete Access"/>
    <x v="0"/>
    <x v="0"/>
    <x v="0"/>
    <d v="1899-12-31T00:00:00"/>
    <n v="22"/>
    <x v="8"/>
    <x v="6"/>
  </r>
  <r>
    <x v="1652"/>
    <n v="-9"/>
    <x v="3408"/>
    <n v="1390.74"/>
    <s v="Complete Access"/>
    <x v="186"/>
    <x v="1"/>
    <x v="5"/>
    <d v="1899-12-31T00:00:00"/>
    <n v="22"/>
    <x v="8"/>
    <x v="6"/>
  </r>
  <r>
    <x v="1653"/>
    <n v="-2.14"/>
    <x v="2859"/>
    <n v="1402.46"/>
    <s v="Complete Access"/>
    <x v="61"/>
    <x v="1"/>
    <x v="1"/>
    <d v="1900-01-30T00:00:00"/>
    <n v="22"/>
    <x v="9"/>
    <x v="6"/>
  </r>
  <r>
    <x v="1653"/>
    <n v="-500"/>
    <x v="2294"/>
    <n v="1500.34"/>
    <s v="Complete Access"/>
    <x v="571"/>
    <x v="19"/>
    <x v="61"/>
    <d v="1900-01-30T00:00:00"/>
    <n v="22"/>
    <x v="9"/>
    <x v="6"/>
  </r>
  <r>
    <x v="1653"/>
    <n v="-95.74"/>
    <x v="3409"/>
    <n v="1404.6"/>
    <s v="Complete Access"/>
    <x v="587"/>
    <x v="8"/>
    <x v="22"/>
    <d v="1900-01-30T00:00:00"/>
    <n v="22"/>
    <x v="9"/>
    <x v="6"/>
  </r>
  <r>
    <x v="1654"/>
    <n v="-1.67"/>
    <x v="2859"/>
    <n v="2038.42"/>
    <s v="Complete Access"/>
    <x v="61"/>
    <x v="1"/>
    <x v="1"/>
    <d v="1900-01-29T00:00:00"/>
    <n v="22"/>
    <x v="9"/>
    <x v="6"/>
  </r>
  <r>
    <x v="1654"/>
    <n v="-16.18"/>
    <x v="3410"/>
    <n v="2045.59"/>
    <s v="Complete Access"/>
    <x v="333"/>
    <x v="1"/>
    <x v="5"/>
    <d v="1900-01-29T00:00:00"/>
    <n v="22"/>
    <x v="9"/>
    <x v="6"/>
  </r>
  <r>
    <x v="1654"/>
    <n v="-38.08"/>
    <x v="3411"/>
    <n v="2000.34"/>
    <s v="Complete Access"/>
    <x v="785"/>
    <x v="9"/>
    <x v="12"/>
    <d v="1900-01-29T00:00:00"/>
    <n v="22"/>
    <x v="9"/>
    <x v="6"/>
  </r>
  <r>
    <x v="1654"/>
    <n v="-5.5"/>
    <x v="3412"/>
    <n v="2040.09"/>
    <s v="Complete Access"/>
    <x v="1"/>
    <x v="1"/>
    <x v="1"/>
    <d v="1900-01-29T00:00:00"/>
    <n v="22"/>
    <x v="9"/>
    <x v="6"/>
  </r>
  <r>
    <x v="1654"/>
    <n v="-22.73"/>
    <x v="3413"/>
    <n v="2112.27"/>
    <s v="Complete Access"/>
    <x v="786"/>
    <x v="8"/>
    <x v="29"/>
    <d v="1900-01-29T00:00:00"/>
    <n v="22"/>
    <x v="9"/>
    <x v="6"/>
  </r>
  <r>
    <x v="1654"/>
    <n v="-28.28"/>
    <x v="3414"/>
    <n v="2083.9899999999998"/>
    <s v="Complete Access"/>
    <x v="786"/>
    <x v="8"/>
    <x v="29"/>
    <d v="1900-01-29T00:00:00"/>
    <n v="22"/>
    <x v="9"/>
    <x v="6"/>
  </r>
  <r>
    <x v="1654"/>
    <n v="-22.22"/>
    <x v="3415"/>
    <n v="2061.77"/>
    <s v="Complete Access"/>
    <x v="786"/>
    <x v="8"/>
    <x v="29"/>
    <d v="1900-01-29T00:00:00"/>
    <n v="22"/>
    <x v="9"/>
    <x v="6"/>
  </r>
  <r>
    <x v="1655"/>
    <n v="-1.92"/>
    <x v="2859"/>
    <n v="1021.55"/>
    <s v="Complete Access"/>
    <x v="61"/>
    <x v="1"/>
    <x v="1"/>
    <d v="1900-01-28T00:00:00"/>
    <n v="22"/>
    <x v="9"/>
    <x v="6"/>
  </r>
  <r>
    <x v="1655"/>
    <n v="-30"/>
    <x v="3416"/>
    <n v="1117.96"/>
    <s v="Complete Access"/>
    <x v="8"/>
    <x v="1"/>
    <x v="5"/>
    <d v="1900-01-28T00:00:00"/>
    <n v="22"/>
    <x v="9"/>
    <x v="6"/>
  </r>
  <r>
    <x v="1655"/>
    <n v="-12.11"/>
    <x v="3417"/>
    <n v="1070.97"/>
    <s v="Complete Access"/>
    <x v="8"/>
    <x v="1"/>
    <x v="5"/>
    <d v="1900-01-28T00:00:00"/>
    <n v="22"/>
    <x v="9"/>
    <x v="6"/>
  </r>
  <r>
    <x v="1655"/>
    <n v="-27"/>
    <x v="3418"/>
    <n v="1083.08"/>
    <s v="Complete Access"/>
    <x v="8"/>
    <x v="1"/>
    <x v="5"/>
    <d v="1900-01-28T00:00:00"/>
    <n v="22"/>
    <x v="9"/>
    <x v="6"/>
  </r>
  <r>
    <x v="1655"/>
    <n v="-21.63"/>
    <x v="3419"/>
    <n v="1147.96"/>
    <s v="Complete Access"/>
    <x v="787"/>
    <x v="15"/>
    <x v="34"/>
    <d v="1900-01-28T00:00:00"/>
    <n v="22"/>
    <x v="9"/>
    <x v="6"/>
  </r>
  <r>
    <x v="1655"/>
    <n v="-7.88"/>
    <x v="3420"/>
    <n v="1110.08"/>
    <s v="Complete Access"/>
    <x v="556"/>
    <x v="15"/>
    <x v="34"/>
    <d v="1900-01-28T00:00:00"/>
    <n v="22"/>
    <x v="9"/>
    <x v="6"/>
  </r>
  <r>
    <x v="1655"/>
    <n v="1182.25"/>
    <x v="3188"/>
    <n v="2135"/>
    <s v="Complete Access"/>
    <x v="14"/>
    <x v="6"/>
    <x v="9"/>
    <d v="1900-01-28T00:00:00"/>
    <n v="22"/>
    <x v="9"/>
    <x v="6"/>
  </r>
  <r>
    <x v="1655"/>
    <n v="-20"/>
    <x v="3421"/>
    <n v="1041.97"/>
    <s v="Complete Access"/>
    <x v="788"/>
    <x v="1"/>
    <x v="5"/>
    <d v="1900-01-28T00:00:00"/>
    <n v="22"/>
    <x v="9"/>
    <x v="6"/>
  </r>
  <r>
    <x v="1655"/>
    <n v="-68.8"/>
    <x v="3422"/>
    <n v="952.75"/>
    <s v="Complete Access"/>
    <x v="789"/>
    <x v="10"/>
    <x v="13"/>
    <d v="1900-01-28T00:00:00"/>
    <n v="22"/>
    <x v="9"/>
    <x v="6"/>
  </r>
  <r>
    <x v="1655"/>
    <n v="-9"/>
    <x v="3423"/>
    <n v="1032.97"/>
    <s v="Complete Access"/>
    <x v="790"/>
    <x v="20"/>
    <x v="63"/>
    <d v="1900-01-28T00:00:00"/>
    <n v="22"/>
    <x v="9"/>
    <x v="6"/>
  </r>
  <r>
    <x v="1655"/>
    <n v="-9.5"/>
    <x v="3424"/>
    <n v="1023.47"/>
    <s v="Complete Access"/>
    <x v="790"/>
    <x v="20"/>
    <x v="63"/>
    <d v="1900-01-28T00:00:00"/>
    <n v="22"/>
    <x v="9"/>
    <x v="6"/>
  </r>
  <r>
    <x v="1655"/>
    <n v="-9"/>
    <x v="3425"/>
    <n v="1061.97"/>
    <s v="Complete Access"/>
    <x v="186"/>
    <x v="1"/>
    <x v="5"/>
    <d v="1900-01-28T00:00:00"/>
    <n v="22"/>
    <x v="9"/>
    <x v="6"/>
  </r>
  <r>
    <x v="1656"/>
    <n v="-7.76"/>
    <x v="2859"/>
    <n v="1169.5899999999999"/>
    <s v="Complete Access"/>
    <x v="61"/>
    <x v="1"/>
    <x v="1"/>
    <d v="1900-01-27T00:00:00"/>
    <n v="22"/>
    <x v="9"/>
    <x v="6"/>
  </r>
  <r>
    <x v="1656"/>
    <n v="-7.14"/>
    <x v="3426"/>
    <n v="1177.3499999999999"/>
    <s v="Complete Access"/>
    <x v="599"/>
    <x v="15"/>
    <x v="34"/>
    <d v="1900-01-27T00:00:00"/>
    <n v="22"/>
    <x v="9"/>
    <x v="6"/>
  </r>
  <r>
    <x v="1657"/>
    <n v="-1.1399999999999999"/>
    <x v="2859"/>
    <n v="1197.3499999999999"/>
    <s v="Complete Access"/>
    <x v="61"/>
    <x v="1"/>
    <x v="1"/>
    <d v="1900-01-26T00:00:00"/>
    <n v="22"/>
    <x v="9"/>
    <x v="6"/>
  </r>
  <r>
    <x v="1657"/>
    <n v="-12.86"/>
    <x v="3427"/>
    <n v="1184.49"/>
    <s v="Complete Access"/>
    <x v="791"/>
    <x v="1"/>
    <x v="5"/>
    <d v="1900-01-26T00:00:00"/>
    <n v="22"/>
    <x v="9"/>
    <x v="6"/>
  </r>
  <r>
    <x v="1658"/>
    <n v="-5.0599999999999996"/>
    <x v="3428"/>
    <n v="1198.49"/>
    <s v="Complete Access"/>
    <x v="792"/>
    <x v="1"/>
    <x v="5"/>
    <d v="1900-01-25T00:00:00"/>
    <n v="22"/>
    <x v="9"/>
    <x v="6"/>
  </r>
  <r>
    <x v="1659"/>
    <n v="-11"/>
    <x v="3429"/>
    <n v="1970.6"/>
    <s v="Complete Access"/>
    <x v="27"/>
    <x v="1"/>
    <x v="5"/>
    <d v="1900-01-24T00:00:00"/>
    <n v="21"/>
    <x v="9"/>
    <x v="6"/>
  </r>
  <r>
    <x v="1659"/>
    <n v="-50"/>
    <x v="3430"/>
    <n v="1222.55"/>
    <s v="Complete Access"/>
    <x v="601"/>
    <x v="0"/>
    <x v="0"/>
    <d v="1900-01-24T00:00:00"/>
    <n v="21"/>
    <x v="9"/>
    <x v="6"/>
  </r>
  <r>
    <x v="1659"/>
    <n v="-50"/>
    <x v="3403"/>
    <n v="1272.55"/>
    <s v="Complete Access"/>
    <x v="601"/>
    <x v="0"/>
    <x v="0"/>
    <d v="1900-01-24T00:00:00"/>
    <n v="21"/>
    <x v="9"/>
    <x v="6"/>
  </r>
  <r>
    <x v="1659"/>
    <n v="-19"/>
    <x v="3431"/>
    <n v="1203.55"/>
    <s v="Complete Access"/>
    <x v="793"/>
    <x v="8"/>
    <x v="29"/>
    <d v="1900-01-24T00:00:00"/>
    <n v="21"/>
    <x v="9"/>
    <x v="6"/>
  </r>
  <r>
    <x v="1659"/>
    <n v="-515"/>
    <x v="3404"/>
    <n v="1322.55"/>
    <s v="Complete Access"/>
    <x v="783"/>
    <x v="19"/>
    <x v="61"/>
    <d v="1900-01-24T00:00:00"/>
    <n v="21"/>
    <x v="9"/>
    <x v="6"/>
  </r>
  <r>
    <x v="1659"/>
    <n v="-100"/>
    <x v="2274"/>
    <n v="1837.55"/>
    <s v="Complete Access"/>
    <x v="552"/>
    <x v="0"/>
    <x v="74"/>
    <d v="1900-01-24T00:00:00"/>
    <n v="21"/>
    <x v="9"/>
    <x v="6"/>
  </r>
  <r>
    <x v="1659"/>
    <n v="-9"/>
    <x v="3432"/>
    <n v="1961.6"/>
    <s v="Complete Access"/>
    <x v="186"/>
    <x v="1"/>
    <x v="5"/>
    <d v="1900-01-24T00:00:00"/>
    <n v="21"/>
    <x v="9"/>
    <x v="6"/>
  </r>
  <r>
    <x v="1659"/>
    <n v="-24.05"/>
    <x v="3433"/>
    <n v="1937.55"/>
    <s v="Complete Access"/>
    <x v="34"/>
    <x v="9"/>
    <x v="12"/>
    <d v="1900-01-24T00:00:00"/>
    <n v="21"/>
    <x v="9"/>
    <x v="6"/>
  </r>
  <r>
    <x v="1660"/>
    <n v="-1.59"/>
    <x v="2859"/>
    <n v="2084.1"/>
    <s v="Complete Access"/>
    <x v="61"/>
    <x v="1"/>
    <x v="1"/>
    <d v="1900-01-23T00:00:00"/>
    <n v="21"/>
    <x v="9"/>
    <x v="6"/>
  </r>
  <r>
    <x v="1660"/>
    <n v="-50"/>
    <x v="3434"/>
    <n v="1984.1"/>
    <s v="Complete Access"/>
    <x v="786"/>
    <x v="8"/>
    <x v="29"/>
    <d v="1900-01-23T00:00:00"/>
    <n v="21"/>
    <x v="9"/>
    <x v="6"/>
  </r>
  <r>
    <x v="1660"/>
    <n v="-50"/>
    <x v="3361"/>
    <n v="2034.1"/>
    <s v="Complete Access"/>
    <x v="12"/>
    <x v="5"/>
    <x v="8"/>
    <d v="1900-01-23T00:00:00"/>
    <n v="21"/>
    <x v="9"/>
    <x v="6"/>
  </r>
  <r>
    <x v="1660"/>
    <n v="-2.5"/>
    <x v="72"/>
    <n v="1981.6"/>
    <s v="Complete Access"/>
    <x v="37"/>
    <x v="0"/>
    <x v="0"/>
    <d v="1900-01-23T00:00:00"/>
    <n v="21"/>
    <x v="9"/>
    <x v="6"/>
  </r>
  <r>
    <x v="1660"/>
    <n v="-14.47"/>
    <x v="3435"/>
    <n v="2085.69"/>
    <s v="Complete Access"/>
    <x v="1"/>
    <x v="1"/>
    <x v="1"/>
    <d v="1900-01-23T00:00:00"/>
    <n v="21"/>
    <x v="9"/>
    <x v="6"/>
  </r>
  <r>
    <x v="1661"/>
    <n v="-1.36"/>
    <x v="2859"/>
    <n v="2145.56"/>
    <s v="Complete Access"/>
    <x v="61"/>
    <x v="1"/>
    <x v="1"/>
    <d v="1900-01-22T00:00:00"/>
    <n v="21"/>
    <x v="9"/>
    <x v="6"/>
  </r>
  <r>
    <x v="1661"/>
    <n v="-22.43"/>
    <x v="3436"/>
    <n v="2189.62"/>
    <s v="Complete Access"/>
    <x v="609"/>
    <x v="1"/>
    <x v="1"/>
    <d v="1900-01-22T00:00:00"/>
    <n v="21"/>
    <x v="9"/>
    <x v="6"/>
  </r>
  <r>
    <x v="1661"/>
    <n v="-33.700000000000003"/>
    <x v="3437"/>
    <n v="2155.92"/>
    <s v="Complete Access"/>
    <x v="393"/>
    <x v="11"/>
    <x v="49"/>
    <d v="1900-01-22T00:00:00"/>
    <n v="21"/>
    <x v="9"/>
    <x v="6"/>
  </r>
  <r>
    <x v="1661"/>
    <n v="-45.4"/>
    <x v="3438"/>
    <n v="2100.16"/>
    <s v="Complete Access"/>
    <x v="741"/>
    <x v="16"/>
    <x v="81"/>
    <d v="1900-01-22T00:00:00"/>
    <n v="21"/>
    <x v="9"/>
    <x v="6"/>
  </r>
  <r>
    <x v="1661"/>
    <n v="-9"/>
    <x v="3439"/>
    <n v="2146.92"/>
    <s v="Complete Access"/>
    <x v="186"/>
    <x v="1"/>
    <x v="5"/>
    <d v="1900-01-22T00:00:00"/>
    <n v="21"/>
    <x v="9"/>
    <x v="6"/>
  </r>
  <r>
    <x v="1662"/>
    <n v="-1.39"/>
    <x v="3203"/>
    <n v="931.8"/>
    <s v="Complete Access"/>
    <x v="188"/>
    <x v="1"/>
    <x v="1"/>
    <d v="1900-01-21T00:00:00"/>
    <n v="21"/>
    <x v="9"/>
    <x v="6"/>
  </r>
  <r>
    <x v="1662"/>
    <n v="1182.25"/>
    <x v="3188"/>
    <n v="2212.0500000000002"/>
    <s v="Complete Access"/>
    <x v="14"/>
    <x v="6"/>
    <x v="9"/>
    <d v="1900-01-21T00:00:00"/>
    <n v="21"/>
    <x v="9"/>
    <x v="6"/>
  </r>
  <r>
    <x v="1662"/>
    <n v="-9.99"/>
    <x v="3440"/>
    <n v="987.18"/>
    <s v="Complete Access"/>
    <x v="373"/>
    <x v="8"/>
    <x v="7"/>
    <d v="1900-01-21T00:00:00"/>
    <n v="21"/>
    <x v="9"/>
    <x v="6"/>
  </r>
  <r>
    <x v="1662"/>
    <n v="-2"/>
    <x v="3441"/>
    <n v="1029.8"/>
    <s v="Complete Access"/>
    <x v="177"/>
    <x v="1"/>
    <x v="1"/>
    <d v="1900-01-21T00:00:00"/>
    <n v="21"/>
    <x v="9"/>
    <x v="6"/>
  </r>
  <r>
    <x v="1662"/>
    <n v="-44.99"/>
    <x v="3442"/>
    <n v="933.19"/>
    <s v="Complete Access"/>
    <x v="794"/>
    <x v="3"/>
    <x v="15"/>
    <d v="1900-01-21T00:00:00"/>
    <n v="21"/>
    <x v="9"/>
    <x v="6"/>
  </r>
  <r>
    <x v="1662"/>
    <n v="100"/>
    <x v="3378"/>
    <n v="1031.8"/>
    <s v="Complete Access"/>
    <x v="722"/>
    <x v="0"/>
    <x v="0"/>
    <d v="1900-01-21T00:00:00"/>
    <n v="21"/>
    <x v="9"/>
    <x v="6"/>
  </r>
  <r>
    <x v="1662"/>
    <n v="-9"/>
    <x v="3443"/>
    <n v="978.18"/>
    <s v="Complete Access"/>
    <x v="186"/>
    <x v="1"/>
    <x v="5"/>
    <d v="1900-01-21T00:00:00"/>
    <n v="21"/>
    <x v="9"/>
    <x v="6"/>
  </r>
  <r>
    <x v="1663"/>
    <n v="-7.53"/>
    <x v="2859"/>
    <n v="997.17"/>
    <s v="Complete Access"/>
    <x v="61"/>
    <x v="1"/>
    <x v="1"/>
    <d v="1900-01-20T00:00:00"/>
    <n v="21"/>
    <x v="9"/>
    <x v="6"/>
  </r>
  <r>
    <x v="1663"/>
    <n v="-12.6"/>
    <x v="3444"/>
    <n v="1013.7"/>
    <s v="Complete Access"/>
    <x v="609"/>
    <x v="1"/>
    <x v="1"/>
    <d v="1900-01-20T00:00:00"/>
    <n v="21"/>
    <x v="9"/>
    <x v="6"/>
  </r>
  <r>
    <x v="1663"/>
    <n v="-41.37"/>
    <x v="3445"/>
    <n v="1026.3"/>
    <s v="Complete Access"/>
    <x v="1"/>
    <x v="1"/>
    <x v="1"/>
    <d v="1900-01-20T00:00:00"/>
    <n v="21"/>
    <x v="9"/>
    <x v="6"/>
  </r>
  <r>
    <x v="1663"/>
    <n v="-8.4700000000000006"/>
    <x v="3446"/>
    <n v="1067.67"/>
    <s v="Complete Access"/>
    <x v="98"/>
    <x v="9"/>
    <x v="32"/>
    <d v="1900-01-20T00:00:00"/>
    <n v="21"/>
    <x v="9"/>
    <x v="6"/>
  </r>
  <r>
    <x v="1663"/>
    <n v="-9"/>
    <x v="3447"/>
    <n v="1004.7"/>
    <s v="Complete Access"/>
    <x v="186"/>
    <x v="1"/>
    <x v="5"/>
    <d v="1900-01-20T00:00:00"/>
    <n v="21"/>
    <x v="9"/>
    <x v="6"/>
  </r>
  <r>
    <x v="1664"/>
    <n v="-8.25"/>
    <x v="2859"/>
    <n v="1087.5899999999999"/>
    <s v="Complete Access"/>
    <x v="61"/>
    <x v="1"/>
    <x v="1"/>
    <d v="1900-01-19T00:00:00"/>
    <n v="21"/>
    <x v="9"/>
    <x v="6"/>
  </r>
  <r>
    <x v="1664"/>
    <n v="-11.45"/>
    <x v="3441"/>
    <n v="1076.1400000000001"/>
    <s v="Complete Access"/>
    <x v="177"/>
    <x v="1"/>
    <x v="1"/>
    <d v="1900-01-19T00:00:00"/>
    <n v="21"/>
    <x v="9"/>
    <x v="6"/>
  </r>
  <r>
    <x v="1665"/>
    <n v="-7.4"/>
    <x v="3256"/>
    <n v="1095.8399999999999"/>
    <s v="Complete Access"/>
    <x v="745"/>
    <x v="8"/>
    <x v="22"/>
    <d v="1900-01-18T00:00:00"/>
    <n v="21"/>
    <x v="9"/>
    <x v="6"/>
  </r>
  <r>
    <x v="1665"/>
    <n v="-7.4"/>
    <x v="3256"/>
    <n v="1103.24"/>
    <s v="Complete Access"/>
    <x v="745"/>
    <x v="8"/>
    <x v="22"/>
    <d v="1900-01-18T00:00:00"/>
    <n v="21"/>
    <x v="9"/>
    <x v="6"/>
  </r>
  <r>
    <x v="1665"/>
    <n v="-1.79"/>
    <x v="3441"/>
    <n v="1110.6400000000001"/>
    <s v="Complete Access"/>
    <x v="177"/>
    <x v="1"/>
    <x v="1"/>
    <d v="1900-01-18T00:00:00"/>
    <n v="21"/>
    <x v="9"/>
    <x v="6"/>
  </r>
  <r>
    <x v="1666"/>
    <n v="-515"/>
    <x v="3404"/>
    <n v="1372.96"/>
    <s v="Complete Access"/>
    <x v="783"/>
    <x v="19"/>
    <x v="61"/>
    <d v="1900-01-17T00:00:00"/>
    <n v="20"/>
    <x v="9"/>
    <x v="6"/>
  </r>
  <r>
    <x v="1666"/>
    <n v="-17.52"/>
    <x v="3448"/>
    <n v="1355.44"/>
    <s v="Complete Access"/>
    <x v="56"/>
    <x v="9"/>
    <x v="31"/>
    <d v="1900-01-17T00:00:00"/>
    <n v="20"/>
    <x v="9"/>
    <x v="6"/>
  </r>
  <r>
    <x v="1666"/>
    <n v="-32"/>
    <x v="3449"/>
    <n v="1112.43"/>
    <s v="Complete Access"/>
    <x v="795"/>
    <x v="16"/>
    <x v="35"/>
    <d v="1900-01-17T00:00:00"/>
    <n v="20"/>
    <x v="9"/>
    <x v="6"/>
  </r>
  <r>
    <x v="1666"/>
    <n v="-7.5"/>
    <x v="3450"/>
    <n v="1144.43"/>
    <s v="Complete Access"/>
    <x v="796"/>
    <x v="20"/>
    <x v="63"/>
    <d v="1900-01-17T00:00:00"/>
    <n v="20"/>
    <x v="9"/>
    <x v="6"/>
  </r>
  <r>
    <x v="1666"/>
    <n v="-100"/>
    <x v="2274"/>
    <n v="1887.96"/>
    <s v="Complete Access"/>
    <x v="552"/>
    <x v="0"/>
    <x v="74"/>
    <d v="1900-01-17T00:00:00"/>
    <n v="20"/>
    <x v="9"/>
    <x v="6"/>
  </r>
  <r>
    <x v="1666"/>
    <n v="-203.51"/>
    <x v="3451"/>
    <n v="1151.93"/>
    <s v="Complete Access"/>
    <x v="797"/>
    <x v="1"/>
    <x v="5"/>
    <d v="1900-01-17T00:00:00"/>
    <n v="20"/>
    <x v="9"/>
    <x v="6"/>
  </r>
  <r>
    <x v="1667"/>
    <n v="-7.04"/>
    <x v="2859"/>
    <n v="2005.63"/>
    <s v="Complete Access"/>
    <x v="61"/>
    <x v="1"/>
    <x v="1"/>
    <d v="1900-01-16T00:00:00"/>
    <n v="20"/>
    <x v="9"/>
    <x v="6"/>
  </r>
  <r>
    <x v="1667"/>
    <n v="-9.9"/>
    <x v="3452"/>
    <n v="2035.3"/>
    <s v="Complete Access"/>
    <x v="682"/>
    <x v="1"/>
    <x v="5"/>
    <d v="1900-01-16T00:00:00"/>
    <n v="20"/>
    <x v="9"/>
    <x v="6"/>
  </r>
  <r>
    <x v="1667"/>
    <n v="-12.3"/>
    <x v="3453"/>
    <n v="2023"/>
    <s v="Complete Access"/>
    <x v="609"/>
    <x v="1"/>
    <x v="1"/>
    <d v="1900-01-16T00:00:00"/>
    <n v="20"/>
    <x v="9"/>
    <x v="6"/>
  </r>
  <r>
    <x v="1667"/>
    <n v="-17.670000000000002"/>
    <x v="3441"/>
    <n v="1987.96"/>
    <s v="Complete Access"/>
    <x v="177"/>
    <x v="1"/>
    <x v="1"/>
    <d v="1900-01-16T00:00:00"/>
    <n v="20"/>
    <x v="9"/>
    <x v="6"/>
  </r>
  <r>
    <x v="1667"/>
    <n v="-1.33"/>
    <x v="3454"/>
    <n v="2012.67"/>
    <s v="Complete Access"/>
    <x v="1"/>
    <x v="1"/>
    <x v="1"/>
    <d v="1900-01-16T00:00:00"/>
    <n v="20"/>
    <x v="9"/>
    <x v="6"/>
  </r>
  <r>
    <x v="1667"/>
    <n v="-9"/>
    <x v="3455"/>
    <n v="2014"/>
    <s v="Complete Access"/>
    <x v="186"/>
    <x v="1"/>
    <x v="5"/>
    <d v="1900-01-16T00:00:00"/>
    <n v="20"/>
    <x v="9"/>
    <x v="6"/>
  </r>
  <r>
    <x v="1668"/>
    <n v="-10.35"/>
    <x v="3456"/>
    <n v="1802.2"/>
    <s v="Complete Access"/>
    <x v="27"/>
    <x v="1"/>
    <x v="5"/>
    <d v="1900-01-15T00:00:00"/>
    <n v="20"/>
    <x v="9"/>
    <x v="6"/>
  </r>
  <r>
    <x v="1668"/>
    <n v="-7"/>
    <x v="2859"/>
    <n v="2045.2"/>
    <s v="Complete Access"/>
    <x v="61"/>
    <x v="1"/>
    <x v="1"/>
    <d v="1900-01-15T00:00:00"/>
    <n v="20"/>
    <x v="9"/>
    <x v="6"/>
  </r>
  <r>
    <x v="1668"/>
    <n v="-9.9"/>
    <x v="3457"/>
    <n v="1812.55"/>
    <s v="Complete Access"/>
    <x v="682"/>
    <x v="1"/>
    <x v="5"/>
    <d v="1900-01-15T00:00:00"/>
    <n v="20"/>
    <x v="9"/>
    <x v="6"/>
  </r>
  <r>
    <x v="1668"/>
    <n v="250"/>
    <x v="3458"/>
    <n v="2052.1999999999998"/>
    <s v="Complete Access"/>
    <x v="657"/>
    <x v="0"/>
    <x v="69"/>
    <d v="1900-01-15T00:00:00"/>
    <n v="20"/>
    <x v="9"/>
    <x v="6"/>
  </r>
  <r>
    <x v="1669"/>
    <n v="-7"/>
    <x v="2859"/>
    <n v="677.87"/>
    <s v="Complete Access"/>
    <x v="61"/>
    <x v="1"/>
    <x v="1"/>
    <d v="1900-01-14T00:00:00"/>
    <n v="20"/>
    <x v="9"/>
    <x v="6"/>
  </r>
  <r>
    <x v="1669"/>
    <n v="-32.9"/>
    <x v="3459"/>
    <n v="690.87"/>
    <s v="Complete Access"/>
    <x v="8"/>
    <x v="1"/>
    <x v="5"/>
    <d v="1900-01-14T00:00:00"/>
    <n v="20"/>
    <x v="9"/>
    <x v="6"/>
  </r>
  <r>
    <x v="1669"/>
    <n v="-25.5"/>
    <x v="3460"/>
    <n v="723.77"/>
    <s v="Complete Access"/>
    <x v="8"/>
    <x v="1"/>
    <x v="5"/>
    <d v="1900-01-14T00:00:00"/>
    <n v="20"/>
    <x v="9"/>
    <x v="6"/>
  </r>
  <r>
    <x v="1669"/>
    <n v="-3"/>
    <x v="3461"/>
    <n v="687.87"/>
    <s v="Complete Access"/>
    <x v="8"/>
    <x v="1"/>
    <x v="5"/>
    <d v="1900-01-14T00:00:00"/>
    <n v="20"/>
    <x v="9"/>
    <x v="6"/>
  </r>
  <r>
    <x v="1669"/>
    <n v="1148.57"/>
    <x v="3188"/>
    <n v="1822.45"/>
    <s v="Complete Access"/>
    <x v="14"/>
    <x v="6"/>
    <x v="9"/>
    <d v="1900-01-14T00:00:00"/>
    <n v="20"/>
    <x v="9"/>
    <x v="6"/>
  </r>
  <r>
    <x v="1669"/>
    <n v="-3.99"/>
    <x v="3441"/>
    <n v="673.88"/>
    <s v="Complete Access"/>
    <x v="177"/>
    <x v="1"/>
    <x v="1"/>
    <d v="1900-01-14T00:00:00"/>
    <n v="20"/>
    <x v="9"/>
    <x v="6"/>
  </r>
  <r>
    <x v="1669"/>
    <n v="-3"/>
    <x v="3462"/>
    <n v="684.87"/>
    <s v="Complete Access"/>
    <x v="1"/>
    <x v="1"/>
    <x v="1"/>
    <d v="1900-01-14T00:00:00"/>
    <n v="20"/>
    <x v="9"/>
    <x v="6"/>
  </r>
  <r>
    <x v="1670"/>
    <n v="-7"/>
    <x v="2859"/>
    <n v="799.27"/>
    <s v="Complete Access"/>
    <x v="61"/>
    <x v="1"/>
    <x v="1"/>
    <d v="1900-01-13T00:00:00"/>
    <n v="20"/>
    <x v="9"/>
    <x v="6"/>
  </r>
  <r>
    <x v="1670"/>
    <n v="-50"/>
    <x v="3361"/>
    <n v="749.27"/>
    <s v="Complete Access"/>
    <x v="12"/>
    <x v="5"/>
    <x v="8"/>
    <d v="1900-01-13T00:00:00"/>
    <n v="20"/>
    <x v="9"/>
    <x v="6"/>
  </r>
  <r>
    <x v="1670"/>
    <n v="-8.9"/>
    <x v="3463"/>
    <n v="1038.8800000000001"/>
    <s v="Complete Access"/>
    <x v="682"/>
    <x v="1"/>
    <x v="5"/>
    <d v="1900-01-13T00:00:00"/>
    <n v="20"/>
    <x v="9"/>
    <x v="6"/>
  </r>
  <r>
    <x v="1670"/>
    <n v="-232.61"/>
    <x v="3464"/>
    <n v="806.27"/>
    <s v="Complete Access"/>
    <x v="765"/>
    <x v="12"/>
    <x v="21"/>
    <d v="1900-01-13T00:00:00"/>
    <n v="20"/>
    <x v="9"/>
    <x v="6"/>
  </r>
  <r>
    <x v="1671"/>
    <n v="-7"/>
    <x v="2859"/>
    <n v="1121.78"/>
    <s v="Complete Access"/>
    <x v="61"/>
    <x v="1"/>
    <x v="1"/>
    <d v="1900-01-12T00:00:00"/>
    <n v="20"/>
    <x v="9"/>
    <x v="6"/>
  </r>
  <r>
    <x v="1671"/>
    <n v="-74"/>
    <x v="2543"/>
    <n v="1047.78"/>
    <s v="Complete Access"/>
    <x v="17"/>
    <x v="7"/>
    <x v="11"/>
    <d v="1900-01-12T00:00:00"/>
    <n v="20"/>
    <x v="9"/>
    <x v="6"/>
  </r>
  <r>
    <x v="1672"/>
    <n v="-15"/>
    <x v="3450"/>
    <n v="1128.78"/>
    <s v="Complete Access"/>
    <x v="796"/>
    <x v="20"/>
    <x v="63"/>
    <d v="1900-01-11T00:00:00"/>
    <n v="20"/>
    <x v="9"/>
    <x v="6"/>
  </r>
  <r>
    <x v="1673"/>
    <n v="-629"/>
    <x v="3465"/>
    <n v="272.77999999999997"/>
    <s v="Complete Access"/>
    <x v="798"/>
    <x v="4"/>
    <x v="30"/>
    <d v="1900-01-10T00:00:00"/>
    <n v="19"/>
    <x v="9"/>
    <x v="6"/>
  </r>
  <r>
    <x v="1673"/>
    <n v="-29"/>
    <x v="3466"/>
    <n v="1143.78"/>
    <s v="Complete Access"/>
    <x v="798"/>
    <x v="4"/>
    <x v="30"/>
    <d v="1900-01-10T00:00:00"/>
    <n v="19"/>
    <x v="9"/>
    <x v="6"/>
  </r>
  <r>
    <x v="1673"/>
    <n v="-515"/>
    <x v="3404"/>
    <n v="1053.57"/>
    <s v="Complete Access"/>
    <x v="783"/>
    <x v="19"/>
    <x v="61"/>
    <d v="1900-01-10T00:00:00"/>
    <n v="19"/>
    <x v="9"/>
    <x v="6"/>
  </r>
  <r>
    <x v="1673"/>
    <n v="-25.29"/>
    <x v="3467"/>
    <n v="1028.28"/>
    <s v="Complete Access"/>
    <x v="609"/>
    <x v="1"/>
    <x v="1"/>
    <d v="1900-01-10T00:00:00"/>
    <n v="19"/>
    <x v="9"/>
    <x v="6"/>
  </r>
  <r>
    <x v="1673"/>
    <n v="-15"/>
    <x v="3468"/>
    <n v="998.28"/>
    <s v="Complete Access"/>
    <x v="799"/>
    <x v="4"/>
    <x v="84"/>
    <d v="1900-01-10T00:00:00"/>
    <n v="19"/>
    <x v="9"/>
    <x v="6"/>
  </r>
  <r>
    <x v="1673"/>
    <n v="-15"/>
    <x v="3469"/>
    <n v="1013.28"/>
    <s v="Complete Access"/>
    <x v="800"/>
    <x v="11"/>
    <x v="14"/>
    <d v="1900-01-10T00:00:00"/>
    <n v="19"/>
    <x v="9"/>
    <x v="6"/>
  </r>
  <r>
    <x v="1673"/>
    <n v="-21.5"/>
    <x v="3450"/>
    <n v="901.78"/>
    <s v="Complete Access"/>
    <x v="796"/>
    <x v="20"/>
    <x v="63"/>
    <d v="1900-01-10T00:00:00"/>
    <n v="19"/>
    <x v="9"/>
    <x v="6"/>
  </r>
  <r>
    <x v="1673"/>
    <n v="-100"/>
    <x v="2274"/>
    <n v="1568.57"/>
    <s v="Complete Access"/>
    <x v="552"/>
    <x v="0"/>
    <x v="74"/>
    <d v="1900-01-10T00:00:00"/>
    <n v="19"/>
    <x v="9"/>
    <x v="6"/>
  </r>
  <r>
    <x v="1673"/>
    <n v="900"/>
    <x v="3407"/>
    <n v="1172.78"/>
    <s v="Complete Access"/>
    <x v="0"/>
    <x v="0"/>
    <x v="0"/>
    <d v="1900-01-10T00:00:00"/>
    <n v="19"/>
    <x v="9"/>
    <x v="6"/>
  </r>
  <r>
    <x v="1673"/>
    <n v="-50"/>
    <x v="3470"/>
    <n v="923.28"/>
    <s v="Complete Access"/>
    <x v="782"/>
    <x v="10"/>
    <x v="75"/>
    <d v="1900-01-10T00:00:00"/>
    <n v="19"/>
    <x v="9"/>
    <x v="6"/>
  </r>
  <r>
    <x v="1673"/>
    <n v="-25"/>
    <x v="3471"/>
    <n v="973.28"/>
    <s v="Complete Access"/>
    <x v="34"/>
    <x v="9"/>
    <x v="12"/>
    <d v="1900-01-10T00:00:00"/>
    <n v="19"/>
    <x v="9"/>
    <x v="6"/>
  </r>
  <r>
    <x v="1674"/>
    <n v="-7"/>
    <x v="2859"/>
    <n v="1942.05"/>
    <s v="Complete Access"/>
    <x v="61"/>
    <x v="1"/>
    <x v="1"/>
    <d v="1900-01-09T00:00:00"/>
    <n v="19"/>
    <x v="9"/>
    <x v="6"/>
  </r>
  <r>
    <x v="1674"/>
    <n v="-50"/>
    <x v="3472"/>
    <n v="1707.37"/>
    <s v="Complete Access"/>
    <x v="801"/>
    <x v="8"/>
    <x v="29"/>
    <d v="1900-01-09T00:00:00"/>
    <n v="19"/>
    <x v="9"/>
    <x v="6"/>
  </r>
  <r>
    <x v="1674"/>
    <n v="-9"/>
    <x v="3473"/>
    <n v="1965.01"/>
    <s v="Complete Access"/>
    <x v="682"/>
    <x v="1"/>
    <x v="5"/>
    <d v="1900-01-09T00:00:00"/>
    <n v="19"/>
    <x v="9"/>
    <x v="6"/>
  </r>
  <r>
    <x v="1674"/>
    <n v="-6.98"/>
    <x v="3474"/>
    <n v="1949.05"/>
    <s v="Complete Access"/>
    <x v="802"/>
    <x v="11"/>
    <x v="14"/>
    <d v="1900-01-09T00:00:00"/>
    <n v="19"/>
    <x v="9"/>
    <x v="6"/>
  </r>
  <r>
    <x v="1674"/>
    <n v="-153.68"/>
    <x v="3475"/>
    <n v="1762.37"/>
    <s v="Complete Access"/>
    <x v="803"/>
    <x v="1"/>
    <x v="5"/>
    <d v="1900-01-09T00:00:00"/>
    <n v="19"/>
    <x v="9"/>
    <x v="6"/>
  </r>
  <r>
    <x v="1674"/>
    <n v="-2.5"/>
    <x v="72"/>
    <n v="1704.87"/>
    <s v="Complete Access"/>
    <x v="37"/>
    <x v="0"/>
    <x v="0"/>
    <d v="1900-01-09T00:00:00"/>
    <n v="19"/>
    <x v="9"/>
    <x v="6"/>
  </r>
  <r>
    <x v="1674"/>
    <n v="-6.3"/>
    <x v="3476"/>
    <n v="1668.57"/>
    <s v="Complete Access"/>
    <x v="801"/>
    <x v="8"/>
    <x v="29"/>
    <d v="1900-01-09T00:00:00"/>
    <n v="19"/>
    <x v="9"/>
    <x v="6"/>
  </r>
  <r>
    <x v="1674"/>
    <n v="-7.9"/>
    <x v="3476"/>
    <n v="1674.87"/>
    <s v="Complete Access"/>
    <x v="801"/>
    <x v="8"/>
    <x v="29"/>
    <d v="1900-01-09T00:00:00"/>
    <n v="19"/>
    <x v="9"/>
    <x v="6"/>
  </r>
  <r>
    <x v="1674"/>
    <n v="-22.1"/>
    <x v="3476"/>
    <n v="1682.77"/>
    <s v="Complete Access"/>
    <x v="801"/>
    <x v="8"/>
    <x v="29"/>
    <d v="1900-01-09T00:00:00"/>
    <n v="19"/>
    <x v="9"/>
    <x v="6"/>
  </r>
  <r>
    <x v="1674"/>
    <n v="-5"/>
    <x v="3477"/>
    <n v="1757.37"/>
    <s v="Complete Access"/>
    <x v="804"/>
    <x v="8"/>
    <x v="29"/>
    <d v="1900-01-09T00:00:00"/>
    <n v="19"/>
    <x v="9"/>
    <x v="6"/>
  </r>
  <r>
    <x v="1674"/>
    <n v="-8.98"/>
    <x v="3478"/>
    <n v="1956.03"/>
    <s v="Complete Access"/>
    <x v="587"/>
    <x v="8"/>
    <x v="22"/>
    <d v="1900-01-09T00:00:00"/>
    <n v="19"/>
    <x v="9"/>
    <x v="6"/>
  </r>
  <r>
    <x v="1674"/>
    <n v="-20.8"/>
    <x v="2942"/>
    <n v="1916.05"/>
    <s v="Complete Access"/>
    <x v="681"/>
    <x v="1"/>
    <x v="5"/>
    <d v="1900-01-09T00:00:00"/>
    <n v="19"/>
    <x v="9"/>
    <x v="6"/>
  </r>
  <r>
    <x v="1674"/>
    <n v="-5.2"/>
    <x v="2942"/>
    <n v="1936.85"/>
    <s v="Complete Access"/>
    <x v="681"/>
    <x v="1"/>
    <x v="5"/>
    <d v="1900-01-09T00:00:00"/>
    <n v="19"/>
    <x v="9"/>
    <x v="6"/>
  </r>
  <r>
    <x v="1675"/>
    <n v="-10.35"/>
    <x v="3479"/>
    <n v="2071.31"/>
    <s v="Complete Access"/>
    <x v="27"/>
    <x v="1"/>
    <x v="5"/>
    <d v="1900-01-08T00:00:00"/>
    <n v="19"/>
    <x v="9"/>
    <x v="6"/>
  </r>
  <r>
    <x v="1675"/>
    <n v="-11.4"/>
    <x v="3480"/>
    <n v="2059.91"/>
    <s v="Complete Access"/>
    <x v="47"/>
    <x v="1"/>
    <x v="5"/>
    <d v="1900-01-08T00:00:00"/>
    <n v="19"/>
    <x v="9"/>
    <x v="6"/>
  </r>
  <r>
    <x v="1675"/>
    <n v="-7.5"/>
    <x v="3450"/>
    <n v="2019.41"/>
    <s v="Complete Access"/>
    <x v="796"/>
    <x v="20"/>
    <x v="63"/>
    <d v="1900-01-08T00:00:00"/>
    <n v="19"/>
    <x v="9"/>
    <x v="6"/>
  </r>
  <r>
    <x v="1675"/>
    <n v="-45.4"/>
    <x v="3481"/>
    <n v="1974.01"/>
    <s v="Complete Access"/>
    <x v="741"/>
    <x v="16"/>
    <x v="81"/>
    <d v="1900-01-08T00:00:00"/>
    <n v="19"/>
    <x v="9"/>
    <x v="6"/>
  </r>
  <r>
    <x v="1675"/>
    <n v="-12.5"/>
    <x v="3482"/>
    <n v="2026.91"/>
    <s v="Complete Access"/>
    <x v="1"/>
    <x v="1"/>
    <x v="1"/>
    <d v="1900-01-08T00:00:00"/>
    <n v="19"/>
    <x v="9"/>
    <x v="6"/>
  </r>
  <r>
    <x v="1675"/>
    <n v="-20.5"/>
    <x v="3483"/>
    <n v="2039.41"/>
    <s v="Complete Access"/>
    <x v="186"/>
    <x v="1"/>
    <x v="5"/>
    <d v="1900-01-08T00:00:00"/>
    <n v="19"/>
    <x v="9"/>
    <x v="6"/>
  </r>
  <r>
    <x v="1676"/>
    <n v="1182.25"/>
    <x v="3188"/>
    <n v="2081.66"/>
    <s v="Complete Access"/>
    <x v="14"/>
    <x v="6"/>
    <x v="9"/>
    <d v="1900-01-07T00:00:00"/>
    <n v="19"/>
    <x v="9"/>
    <x v="6"/>
  </r>
  <r>
    <x v="1676"/>
    <n v="-4.08"/>
    <x v="3484"/>
    <n v="899.41"/>
    <s v="Complete Access"/>
    <x v="1"/>
    <x v="1"/>
    <x v="1"/>
    <d v="1900-01-07T00:00:00"/>
    <n v="19"/>
    <x v="9"/>
    <x v="6"/>
  </r>
  <r>
    <x v="1677"/>
    <n v="-7"/>
    <x v="2859"/>
    <n v="926.36"/>
    <s v="Complete Access"/>
    <x v="61"/>
    <x v="1"/>
    <x v="1"/>
    <d v="1900-01-06T00:00:00"/>
    <n v="19"/>
    <x v="9"/>
    <x v="6"/>
  </r>
  <r>
    <x v="1677"/>
    <n v="-12.5"/>
    <x v="3485"/>
    <n v="970"/>
    <s v="Complete Access"/>
    <x v="682"/>
    <x v="1"/>
    <x v="5"/>
    <d v="1900-01-06T00:00:00"/>
    <n v="19"/>
    <x v="9"/>
    <x v="6"/>
  </r>
  <r>
    <x v="1677"/>
    <n v="-27.84"/>
    <x v="3486"/>
    <n v="942.16"/>
    <s v="Complete Access"/>
    <x v="609"/>
    <x v="1"/>
    <x v="1"/>
    <d v="1900-01-06T00:00:00"/>
    <n v="19"/>
    <x v="9"/>
    <x v="6"/>
  </r>
  <r>
    <x v="1677"/>
    <n v="-16.940000000000001"/>
    <x v="3487"/>
    <n v="982.5"/>
    <s v="Complete Access"/>
    <x v="805"/>
    <x v="11"/>
    <x v="14"/>
    <d v="1900-01-06T00:00:00"/>
    <n v="19"/>
    <x v="9"/>
    <x v="6"/>
  </r>
  <r>
    <x v="1677"/>
    <n v="-22.87"/>
    <x v="3441"/>
    <n v="903.49"/>
    <s v="Complete Access"/>
    <x v="177"/>
    <x v="1"/>
    <x v="1"/>
    <d v="1900-01-06T00:00:00"/>
    <n v="19"/>
    <x v="9"/>
    <x v="6"/>
  </r>
  <r>
    <x v="1677"/>
    <n v="-8.8000000000000007"/>
    <x v="3488"/>
    <n v="933.36"/>
    <s v="Complete Access"/>
    <x v="1"/>
    <x v="1"/>
    <x v="1"/>
    <d v="1900-01-06T00:00:00"/>
    <n v="19"/>
    <x v="9"/>
    <x v="6"/>
  </r>
  <r>
    <x v="1678"/>
    <n v="-8.1"/>
    <x v="2859"/>
    <n v="1010.22"/>
    <s v="Complete Access"/>
    <x v="61"/>
    <x v="1"/>
    <x v="1"/>
    <d v="1900-01-05T00:00:00"/>
    <n v="19"/>
    <x v="9"/>
    <x v="6"/>
  </r>
  <r>
    <x v="1678"/>
    <n v="-10.78"/>
    <x v="3441"/>
    <n v="999.44"/>
    <s v="Complete Access"/>
    <x v="177"/>
    <x v="1"/>
    <x v="1"/>
    <d v="1900-01-05T00:00:00"/>
    <n v="19"/>
    <x v="9"/>
    <x v="6"/>
  </r>
  <r>
    <x v="1679"/>
    <n v="-515"/>
    <x v="3404"/>
    <n v="1018.32"/>
    <s v="Complete Access"/>
    <x v="783"/>
    <x v="19"/>
    <x v="61"/>
    <d v="1900-01-03T00:00:00"/>
    <n v="18"/>
    <x v="9"/>
    <x v="6"/>
  </r>
  <r>
    <x v="1679"/>
    <n v="-100"/>
    <x v="2274"/>
    <n v="1533.32"/>
    <s v="Complete Access"/>
    <x v="552"/>
    <x v="0"/>
    <x v="74"/>
    <d v="1900-01-03T00:00:00"/>
    <n v="18"/>
    <x v="9"/>
    <x v="6"/>
  </r>
  <r>
    <x v="1680"/>
    <n v="-7.77"/>
    <x v="2859"/>
    <n v="1633.32"/>
    <s v="Complete Access"/>
    <x v="61"/>
    <x v="1"/>
    <x v="1"/>
    <d v="1900-01-02T00:00:00"/>
    <n v="18"/>
    <x v="9"/>
    <x v="6"/>
  </r>
  <r>
    <x v="1680"/>
    <n v="-11"/>
    <x v="3489"/>
    <n v="1701.09"/>
    <s v="Complete Access"/>
    <x v="682"/>
    <x v="1"/>
    <x v="5"/>
    <d v="1900-01-02T00:00:00"/>
    <n v="18"/>
    <x v="9"/>
    <x v="6"/>
  </r>
  <r>
    <x v="1680"/>
    <n v="-60"/>
    <x v="3490"/>
    <n v="1641.09"/>
    <s v="Complete Access"/>
    <x v="219"/>
    <x v="7"/>
    <x v="53"/>
    <d v="1900-01-02T00:00:00"/>
    <n v="18"/>
    <x v="9"/>
    <x v="6"/>
  </r>
  <r>
    <x v="1681"/>
    <n v="-6"/>
    <x v="2859"/>
    <n v="1712.09"/>
    <s v="Complete Access"/>
    <x v="61"/>
    <x v="1"/>
    <x v="1"/>
    <d v="1900-01-01T00:00:00"/>
    <n v="18"/>
    <x v="9"/>
    <x v="6"/>
  </r>
  <r>
    <x v="1681"/>
    <n v="-20.95"/>
    <x v="3491"/>
    <n v="1771.09"/>
    <s v="Complete Access"/>
    <x v="806"/>
    <x v="20"/>
    <x v="63"/>
    <d v="1900-01-01T00:00:00"/>
    <n v="18"/>
    <x v="9"/>
    <x v="6"/>
  </r>
  <r>
    <x v="1681"/>
    <n v="-12"/>
    <x v="3492"/>
    <n v="1718.09"/>
    <s v="Complete Access"/>
    <x v="242"/>
    <x v="1"/>
    <x v="5"/>
    <d v="1900-01-01T00:00:00"/>
    <n v="18"/>
    <x v="9"/>
    <x v="6"/>
  </r>
  <r>
    <x v="1681"/>
    <n v="-41"/>
    <x v="3493"/>
    <n v="1730.09"/>
    <s v="Complete Access"/>
    <x v="807"/>
    <x v="9"/>
    <x v="39"/>
    <d v="1900-01-01T00:00:00"/>
    <n v="18"/>
    <x v="9"/>
    <x v="6"/>
  </r>
  <r>
    <x v="1682"/>
    <n v="-7"/>
    <x v="2859"/>
    <n v="149.99"/>
    <s v="Complete Access"/>
    <x v="61"/>
    <x v="1"/>
    <x v="1"/>
    <d v="1899-12-31T00:00:00"/>
    <n v="18"/>
    <x v="9"/>
    <x v="6"/>
  </r>
  <r>
    <x v="1682"/>
    <n v="1814.35"/>
    <x v="3188"/>
    <n v="1964.34"/>
    <s v="Complete Access"/>
    <x v="14"/>
    <x v="6"/>
    <x v="9"/>
    <d v="1899-12-31T00:00:00"/>
    <n v="18"/>
    <x v="9"/>
    <x v="6"/>
  </r>
  <r>
    <x v="1682"/>
    <n v="-22.94"/>
    <x v="3494"/>
    <n v="187.81"/>
    <s v="Complete Access"/>
    <x v="805"/>
    <x v="11"/>
    <x v="14"/>
    <d v="1899-12-31T00:00:00"/>
    <n v="18"/>
    <x v="9"/>
    <x v="6"/>
  </r>
  <r>
    <x v="1682"/>
    <n v="-172.3"/>
    <x v="3495"/>
    <n v="1792.04"/>
    <s v="Complete Access"/>
    <x v="76"/>
    <x v="2"/>
    <x v="2"/>
    <d v="1899-12-31T00:00:00"/>
    <n v="18"/>
    <x v="9"/>
    <x v="6"/>
  </r>
  <r>
    <x v="1682"/>
    <n v="-30.82"/>
    <x v="3496"/>
    <n v="156.99"/>
    <s v="Complete Access"/>
    <x v="1"/>
    <x v="1"/>
    <x v="1"/>
    <d v="1899-12-31T00:00:00"/>
    <n v="18"/>
    <x v="9"/>
    <x v="6"/>
  </r>
  <r>
    <x v="1683"/>
    <n v="-7"/>
    <x v="2859"/>
    <n v="260.75"/>
    <s v="Complete Access"/>
    <x v="61"/>
    <x v="1"/>
    <x v="1"/>
    <d v="1900-01-29T00:00:00"/>
    <n v="18"/>
    <x v="10"/>
    <x v="6"/>
  </r>
  <r>
    <x v="1683"/>
    <n v="-50"/>
    <x v="3377"/>
    <n v="210.75"/>
    <s v="Complete Access"/>
    <x v="776"/>
    <x v="5"/>
    <x v="83"/>
    <d v="1900-01-29T00:00:00"/>
    <n v="18"/>
    <x v="10"/>
    <x v="6"/>
  </r>
  <r>
    <x v="1683"/>
    <n v="-7.5"/>
    <x v="3497"/>
    <n v="1270.08"/>
    <s v="Complete Access"/>
    <x v="682"/>
    <x v="1"/>
    <x v="5"/>
    <d v="1900-01-29T00:00:00"/>
    <n v="18"/>
    <x v="10"/>
    <x v="6"/>
  </r>
  <r>
    <x v="1683"/>
    <n v="-317.39"/>
    <x v="3498"/>
    <n v="952.69"/>
    <s v="Complete Access"/>
    <x v="95"/>
    <x v="14"/>
    <x v="38"/>
    <d v="1900-01-29T00:00:00"/>
    <n v="18"/>
    <x v="10"/>
    <x v="6"/>
  </r>
  <r>
    <x v="1683"/>
    <n v="-636.41"/>
    <x v="3499"/>
    <n v="267.75"/>
    <s v="Complete Access"/>
    <x v="93"/>
    <x v="9"/>
    <x v="36"/>
    <d v="1900-01-29T00:00:00"/>
    <n v="18"/>
    <x v="10"/>
    <x v="6"/>
  </r>
  <r>
    <x v="1683"/>
    <n v="-34.630000000000003"/>
    <x v="3500"/>
    <n v="918.06"/>
    <s v="Complete Access"/>
    <x v="1"/>
    <x v="1"/>
    <x v="1"/>
    <d v="1900-01-29T00:00:00"/>
    <n v="18"/>
    <x v="10"/>
    <x v="6"/>
  </r>
  <r>
    <x v="1683"/>
    <n v="-13.9"/>
    <x v="3501"/>
    <n v="904.16"/>
    <s v="Complete Access"/>
    <x v="186"/>
    <x v="1"/>
    <x v="5"/>
    <d v="1900-01-29T00:00:00"/>
    <n v="18"/>
    <x v="10"/>
    <x v="6"/>
  </r>
  <r>
    <x v="1684"/>
    <n v="-7"/>
    <x v="2859"/>
    <n v="1287.0999999999999"/>
    <s v="Complete Access"/>
    <x v="61"/>
    <x v="1"/>
    <x v="1"/>
    <d v="1900-01-28T00:00:00"/>
    <n v="18"/>
    <x v="10"/>
    <x v="6"/>
  </r>
  <r>
    <x v="1684"/>
    <n v="-9.52"/>
    <x v="3441"/>
    <n v="1277.58"/>
    <s v="Complete Access"/>
    <x v="177"/>
    <x v="1"/>
    <x v="1"/>
    <d v="1900-01-28T00:00:00"/>
    <n v="18"/>
    <x v="10"/>
    <x v="6"/>
  </r>
  <r>
    <x v="1685"/>
    <n v="-246.5"/>
    <x v="3502"/>
    <n v="1061.07"/>
    <s v="Complete Access"/>
    <x v="808"/>
    <x v="8"/>
    <x v="22"/>
    <d v="1900-01-26T00:00:00"/>
    <n v="17"/>
    <x v="10"/>
    <x v="6"/>
  </r>
  <r>
    <x v="1685"/>
    <n v="-2.7"/>
    <x v="3503"/>
    <n v="1707.26"/>
    <s v="Complete Access"/>
    <x v="809"/>
    <x v="1"/>
    <x v="5"/>
    <d v="1900-01-26T00:00:00"/>
    <n v="17"/>
    <x v="10"/>
    <x v="6"/>
  </r>
  <r>
    <x v="1685"/>
    <n v="-15.4"/>
    <x v="3503"/>
    <n v="1709.96"/>
    <s v="Complete Access"/>
    <x v="809"/>
    <x v="1"/>
    <x v="5"/>
    <d v="1900-01-26T00:00:00"/>
    <n v="17"/>
    <x v="10"/>
    <x v="6"/>
  </r>
  <r>
    <x v="1685"/>
    <n v="-338.35"/>
    <x v="3504"/>
    <n v="1307.57"/>
    <s v="Complete Access"/>
    <x v="810"/>
    <x v="14"/>
    <x v="66"/>
    <d v="1900-01-26T00:00:00"/>
    <n v="17"/>
    <x v="10"/>
    <x v="6"/>
  </r>
  <r>
    <x v="1685"/>
    <n v="-6.8"/>
    <x v="3505"/>
    <n v="1645.92"/>
    <s v="Complete Access"/>
    <x v="27"/>
    <x v="1"/>
    <x v="5"/>
    <d v="1900-01-26T00:00:00"/>
    <n v="17"/>
    <x v="10"/>
    <x v="6"/>
  </r>
  <r>
    <x v="1685"/>
    <n v="-515"/>
    <x v="3404"/>
    <n v="1762.96"/>
    <s v="Complete Access"/>
    <x v="783"/>
    <x v="19"/>
    <x v="61"/>
    <d v="1900-01-26T00:00:00"/>
    <n v="17"/>
    <x v="10"/>
    <x v="6"/>
  </r>
  <r>
    <x v="1685"/>
    <n v="-19.600000000000001"/>
    <x v="3506"/>
    <n v="1743.36"/>
    <s v="Complete Access"/>
    <x v="609"/>
    <x v="1"/>
    <x v="1"/>
    <d v="1900-01-26T00:00:00"/>
    <n v="17"/>
    <x v="10"/>
    <x v="6"/>
  </r>
  <r>
    <x v="1685"/>
    <n v="-100"/>
    <x v="2274"/>
    <n v="2277.96"/>
    <s v="Complete Access"/>
    <x v="552"/>
    <x v="0"/>
    <x v="74"/>
    <d v="1900-01-26T00:00:00"/>
    <n v="17"/>
    <x v="10"/>
    <x v="6"/>
  </r>
  <r>
    <x v="1685"/>
    <n v="-16.97"/>
    <x v="3441"/>
    <n v="1294.0999999999999"/>
    <s v="Complete Access"/>
    <x v="177"/>
    <x v="1"/>
    <x v="1"/>
    <d v="1900-01-26T00:00:00"/>
    <n v="17"/>
    <x v="10"/>
    <x v="6"/>
  </r>
  <r>
    <x v="1685"/>
    <n v="-9.5"/>
    <x v="3507"/>
    <n v="1725.36"/>
    <s v="Complete Access"/>
    <x v="190"/>
    <x v="8"/>
    <x v="29"/>
    <d v="1900-01-26T00:00:00"/>
    <n v="17"/>
    <x v="10"/>
    <x v="6"/>
  </r>
  <r>
    <x v="1685"/>
    <n v="-8.5"/>
    <x v="3507"/>
    <n v="1734.86"/>
    <s v="Complete Access"/>
    <x v="190"/>
    <x v="8"/>
    <x v="29"/>
    <d v="1900-01-26T00:00:00"/>
    <n v="17"/>
    <x v="10"/>
    <x v="6"/>
  </r>
  <r>
    <x v="1685"/>
    <n v="250"/>
    <x v="3407"/>
    <n v="1311.07"/>
    <s v="Complete Access"/>
    <x v="0"/>
    <x v="0"/>
    <x v="0"/>
    <d v="1900-01-26T00:00:00"/>
    <n v="17"/>
    <x v="10"/>
    <x v="6"/>
  </r>
  <r>
    <x v="1685"/>
    <n v="-9.09"/>
    <x v="3508"/>
    <n v="1652.72"/>
    <s v="Complete Access"/>
    <x v="786"/>
    <x v="8"/>
    <x v="29"/>
    <d v="1900-01-26T00:00:00"/>
    <n v="17"/>
    <x v="10"/>
    <x v="6"/>
  </r>
  <r>
    <x v="1685"/>
    <n v="-18.18"/>
    <x v="3508"/>
    <n v="1661.81"/>
    <s v="Complete Access"/>
    <x v="786"/>
    <x v="8"/>
    <x v="29"/>
    <d v="1900-01-26T00:00:00"/>
    <n v="17"/>
    <x v="10"/>
    <x v="6"/>
  </r>
  <r>
    <x v="1685"/>
    <n v="-18.18"/>
    <x v="3509"/>
    <n v="1679.99"/>
    <s v="Complete Access"/>
    <x v="786"/>
    <x v="8"/>
    <x v="29"/>
    <d v="1900-01-26T00:00:00"/>
    <n v="17"/>
    <x v="10"/>
    <x v="6"/>
  </r>
  <r>
    <x v="1685"/>
    <n v="-9.09"/>
    <x v="3509"/>
    <n v="1698.17"/>
    <s v="Complete Access"/>
    <x v="786"/>
    <x v="8"/>
    <x v="29"/>
    <d v="1900-01-26T00:00:00"/>
    <n v="17"/>
    <x v="10"/>
    <x v="6"/>
  </r>
  <r>
    <x v="1686"/>
    <n v="-7"/>
    <x v="2859"/>
    <n v="2312.36"/>
    <s v="Complete Access"/>
    <x v="61"/>
    <x v="1"/>
    <x v="1"/>
    <d v="1900-01-25T00:00:00"/>
    <n v="17"/>
    <x v="10"/>
    <x v="6"/>
  </r>
  <r>
    <x v="1686"/>
    <n v="150"/>
    <x v="3510"/>
    <n v="2462.36"/>
    <s v="Complete Access"/>
    <x v="811"/>
    <x v="0"/>
    <x v="0"/>
    <d v="1900-01-25T00:00:00"/>
    <n v="17"/>
    <x v="10"/>
    <x v="6"/>
  </r>
  <r>
    <x v="1686"/>
    <n v="-39"/>
    <x v="2494"/>
    <n v="2423.36"/>
    <s v="Complete Access"/>
    <x v="27"/>
    <x v="1"/>
    <x v="5"/>
    <d v="1900-01-25T00:00:00"/>
    <n v="17"/>
    <x v="10"/>
    <x v="6"/>
  </r>
  <r>
    <x v="1686"/>
    <n v="-45.4"/>
    <x v="3511"/>
    <n v="2377.96"/>
    <s v="Complete Access"/>
    <x v="741"/>
    <x v="16"/>
    <x v="81"/>
    <d v="1900-01-25T00:00:00"/>
    <n v="17"/>
    <x v="10"/>
    <x v="6"/>
  </r>
  <r>
    <x v="1687"/>
    <n v="-28.14"/>
    <x v="3512"/>
    <n v="2422.36"/>
    <s v="Complete Access"/>
    <x v="668"/>
    <x v="15"/>
    <x v="34"/>
    <d v="1900-01-24T00:00:00"/>
    <n v="17"/>
    <x v="10"/>
    <x v="6"/>
  </r>
  <r>
    <x v="1687"/>
    <n v="-50"/>
    <x v="3513"/>
    <n v="2319.36"/>
    <s v="Complete Access"/>
    <x v="601"/>
    <x v="0"/>
    <x v="0"/>
    <d v="1900-01-24T00:00:00"/>
    <n v="17"/>
    <x v="10"/>
    <x v="6"/>
  </r>
  <r>
    <x v="1687"/>
    <n v="-50"/>
    <x v="3513"/>
    <n v="2369.36"/>
    <s v="Complete Access"/>
    <x v="601"/>
    <x v="0"/>
    <x v="0"/>
    <d v="1900-01-24T00:00:00"/>
    <n v="17"/>
    <x v="10"/>
    <x v="6"/>
  </r>
  <r>
    <x v="1687"/>
    <n v="-18.98"/>
    <x v="3514"/>
    <n v="2450.5"/>
    <s v="Complete Access"/>
    <x v="774"/>
    <x v="8"/>
    <x v="29"/>
    <d v="1900-01-24T00:00:00"/>
    <n v="17"/>
    <x v="10"/>
    <x v="6"/>
  </r>
  <r>
    <x v="1687"/>
    <n v="-20.170000000000002"/>
    <x v="3515"/>
    <n v="2485.1799999999998"/>
    <s v="Complete Access"/>
    <x v="812"/>
    <x v="20"/>
    <x v="63"/>
    <d v="1900-01-24T00:00:00"/>
    <n v="17"/>
    <x v="10"/>
    <x v="6"/>
  </r>
  <r>
    <x v="1687"/>
    <n v="-15.7"/>
    <x v="3516"/>
    <n v="2469.48"/>
    <s v="Complete Access"/>
    <x v="34"/>
    <x v="9"/>
    <x v="12"/>
    <d v="1900-01-24T00:00:00"/>
    <n v="17"/>
    <x v="10"/>
    <x v="6"/>
  </r>
  <r>
    <x v="1687"/>
    <n v="-3"/>
    <x v="3517"/>
    <n v="2419.36"/>
    <s v="Complete Access"/>
    <x v="34"/>
    <x v="9"/>
    <x v="12"/>
    <d v="1900-01-24T00:00:00"/>
    <n v="17"/>
    <x v="10"/>
    <x v="6"/>
  </r>
  <r>
    <x v="1688"/>
    <n v="-10.97"/>
    <x v="2859"/>
    <n v="2505.35"/>
    <s v="Complete Access"/>
    <x v="61"/>
    <x v="1"/>
    <x v="1"/>
    <d v="1900-01-23T00:00:00"/>
    <n v="17"/>
    <x v="10"/>
    <x v="6"/>
  </r>
  <r>
    <x v="1688"/>
    <n v="-18.7"/>
    <x v="3518"/>
    <n v="2584.4"/>
    <s v="Complete Access"/>
    <x v="813"/>
    <x v="8"/>
    <x v="29"/>
    <d v="1900-01-23T00:00:00"/>
    <n v="17"/>
    <x v="10"/>
    <x v="6"/>
  </r>
  <r>
    <x v="1688"/>
    <n v="-22"/>
    <x v="3518"/>
    <n v="2727.63"/>
    <s v="Complete Access"/>
    <x v="813"/>
    <x v="8"/>
    <x v="29"/>
    <d v="1900-01-23T00:00:00"/>
    <n v="17"/>
    <x v="10"/>
    <x v="6"/>
  </r>
  <r>
    <x v="1688"/>
    <n v="-7.6"/>
    <x v="3518"/>
    <n v="2749.63"/>
    <s v="Complete Access"/>
    <x v="813"/>
    <x v="8"/>
    <x v="29"/>
    <d v="1900-01-23T00:00:00"/>
    <n v="17"/>
    <x v="10"/>
    <x v="6"/>
  </r>
  <r>
    <x v="1688"/>
    <n v="-49"/>
    <x v="3519"/>
    <n v="2827.83"/>
    <s v="Complete Access"/>
    <x v="8"/>
    <x v="1"/>
    <x v="5"/>
    <d v="1900-01-23T00:00:00"/>
    <n v="17"/>
    <x v="10"/>
    <x v="6"/>
  </r>
  <r>
    <x v="1688"/>
    <n v="-40.5"/>
    <x v="3520"/>
    <n v="2516.3200000000002"/>
    <s v="Complete Access"/>
    <x v="8"/>
    <x v="1"/>
    <x v="5"/>
    <d v="1900-01-23T00:00:00"/>
    <n v="17"/>
    <x v="10"/>
    <x v="6"/>
  </r>
  <r>
    <x v="1688"/>
    <n v="-29.9"/>
    <x v="3520"/>
    <n v="2757.23"/>
    <s v="Complete Access"/>
    <x v="8"/>
    <x v="1"/>
    <x v="5"/>
    <d v="1900-01-23T00:00:00"/>
    <n v="17"/>
    <x v="10"/>
    <x v="6"/>
  </r>
  <r>
    <x v="1688"/>
    <n v="-40.700000000000003"/>
    <x v="3521"/>
    <n v="2787.13"/>
    <s v="Complete Access"/>
    <x v="8"/>
    <x v="1"/>
    <x v="5"/>
    <d v="1900-01-23T00:00:00"/>
    <n v="17"/>
    <x v="10"/>
    <x v="6"/>
  </r>
  <r>
    <x v="1688"/>
    <n v="-11.72"/>
    <x v="3522"/>
    <n v="2603.1"/>
    <s v="Complete Access"/>
    <x v="814"/>
    <x v="8"/>
    <x v="29"/>
    <d v="1900-01-23T00:00:00"/>
    <n v="17"/>
    <x v="10"/>
    <x v="6"/>
  </r>
  <r>
    <x v="1688"/>
    <n v="-61.41"/>
    <x v="3522"/>
    <n v="2614.8200000000002"/>
    <s v="Complete Access"/>
    <x v="814"/>
    <x v="8"/>
    <x v="29"/>
    <d v="1900-01-23T00:00:00"/>
    <n v="17"/>
    <x v="10"/>
    <x v="6"/>
  </r>
  <r>
    <x v="1688"/>
    <n v="-11.72"/>
    <x v="3522"/>
    <n v="2676.23"/>
    <s v="Complete Access"/>
    <x v="814"/>
    <x v="8"/>
    <x v="29"/>
    <d v="1900-01-23T00:00:00"/>
    <n v="17"/>
    <x v="10"/>
    <x v="6"/>
  </r>
  <r>
    <x v="1688"/>
    <n v="-11.72"/>
    <x v="3522"/>
    <n v="2687.95"/>
    <s v="Complete Access"/>
    <x v="814"/>
    <x v="8"/>
    <x v="29"/>
    <d v="1900-01-23T00:00:00"/>
    <n v="17"/>
    <x v="10"/>
    <x v="6"/>
  </r>
  <r>
    <x v="1688"/>
    <n v="-11.72"/>
    <x v="3522"/>
    <n v="2699.67"/>
    <s v="Complete Access"/>
    <x v="814"/>
    <x v="8"/>
    <x v="29"/>
    <d v="1900-01-23T00:00:00"/>
    <n v="17"/>
    <x v="10"/>
    <x v="6"/>
  </r>
  <r>
    <x v="1688"/>
    <n v="-10.15"/>
    <x v="3522"/>
    <n v="2711.39"/>
    <s v="Complete Access"/>
    <x v="814"/>
    <x v="8"/>
    <x v="29"/>
    <d v="1900-01-23T00:00:00"/>
    <n v="17"/>
    <x v="10"/>
    <x v="6"/>
  </r>
  <r>
    <x v="1688"/>
    <n v="-6.09"/>
    <x v="3522"/>
    <n v="2721.54"/>
    <s v="Complete Access"/>
    <x v="814"/>
    <x v="8"/>
    <x v="29"/>
    <d v="1900-01-23T00:00:00"/>
    <n v="17"/>
    <x v="10"/>
    <x v="6"/>
  </r>
  <r>
    <x v="1688"/>
    <n v="-27.58"/>
    <x v="3523"/>
    <n v="2556.8200000000002"/>
    <s v="Complete Access"/>
    <x v="609"/>
    <x v="1"/>
    <x v="1"/>
    <d v="1900-01-23T00:00:00"/>
    <n v="17"/>
    <x v="10"/>
    <x v="6"/>
  </r>
  <r>
    <x v="1689"/>
    <n v="-9"/>
    <x v="2859"/>
    <n v="2876.83"/>
    <s v="Complete Access"/>
    <x v="61"/>
    <x v="1"/>
    <x v="1"/>
    <d v="1900-01-22T00:00:00"/>
    <n v="17"/>
    <x v="10"/>
    <x v="6"/>
  </r>
  <r>
    <x v="1690"/>
    <n v="-515"/>
    <x v="3404"/>
    <n v="2885.83"/>
    <s v="Complete Access"/>
    <x v="783"/>
    <x v="19"/>
    <x v="61"/>
    <d v="1900-01-19T00:00:00"/>
    <n v="16"/>
    <x v="10"/>
    <x v="6"/>
  </r>
  <r>
    <x v="1690"/>
    <n v="-100"/>
    <x v="2274"/>
    <n v="3400.83"/>
    <s v="Complete Access"/>
    <x v="552"/>
    <x v="0"/>
    <x v="74"/>
    <d v="1900-01-19T00:00:00"/>
    <n v="16"/>
    <x v="10"/>
    <x v="6"/>
  </r>
  <r>
    <x v="1691"/>
    <n v="-264.05"/>
    <x v="3524"/>
    <n v="3500.83"/>
    <s v="Complete Access"/>
    <x v="810"/>
    <x v="14"/>
    <x v="66"/>
    <d v="1900-01-18T00:00:00"/>
    <n v="16"/>
    <x v="10"/>
    <x v="6"/>
  </r>
  <r>
    <x v="1692"/>
    <n v="-50"/>
    <x v="3525"/>
    <n v="2610.59"/>
    <s v="Complete Access"/>
    <x v="601"/>
    <x v="0"/>
    <x v="0"/>
    <d v="1900-01-16T00:00:00"/>
    <n v="16"/>
    <x v="10"/>
    <x v="6"/>
  </r>
  <r>
    <x v="1692"/>
    <n v="-50"/>
    <x v="3526"/>
    <n v="2668.09"/>
    <s v="Complete Access"/>
    <x v="776"/>
    <x v="5"/>
    <x v="83"/>
    <d v="1900-01-16T00:00:00"/>
    <n v="16"/>
    <x v="10"/>
    <x v="6"/>
  </r>
  <r>
    <x v="1692"/>
    <n v="-66.73"/>
    <x v="3527"/>
    <n v="2744.77"/>
    <s v="Complete Access"/>
    <x v="815"/>
    <x v="4"/>
    <x v="52"/>
    <d v="1900-01-16T00:00:00"/>
    <n v="16"/>
    <x v="10"/>
    <x v="6"/>
  </r>
  <r>
    <x v="1692"/>
    <n v="1182.25"/>
    <x v="3188"/>
    <n v="3764.88"/>
    <s v="Complete Access"/>
    <x v="14"/>
    <x v="6"/>
    <x v="9"/>
    <d v="1900-01-16T00:00:00"/>
    <n v="16"/>
    <x v="10"/>
    <x v="6"/>
  </r>
  <r>
    <x v="1692"/>
    <n v="-2"/>
    <x v="3528"/>
    <n v="2742.77"/>
    <s v="Complete Access"/>
    <x v="10"/>
    <x v="0"/>
    <x v="0"/>
    <d v="1900-01-16T00:00:00"/>
    <n v="16"/>
    <x v="10"/>
    <x v="6"/>
  </r>
  <r>
    <x v="1692"/>
    <n v="-27.96"/>
    <x v="3441"/>
    <n v="2582.63"/>
    <s v="Complete Access"/>
    <x v="177"/>
    <x v="1"/>
    <x v="1"/>
    <d v="1900-01-16T00:00:00"/>
    <n v="16"/>
    <x v="10"/>
    <x v="6"/>
  </r>
  <r>
    <x v="1692"/>
    <n v="-24.68"/>
    <x v="3529"/>
    <n v="2718.09"/>
    <s v="Complete Access"/>
    <x v="1"/>
    <x v="1"/>
    <x v="1"/>
    <d v="1900-01-16T00:00:00"/>
    <n v="16"/>
    <x v="10"/>
    <x v="6"/>
  </r>
  <r>
    <x v="1692"/>
    <n v="-7.5"/>
    <x v="3000"/>
    <n v="2660.59"/>
    <s v="Complete Access"/>
    <x v="687"/>
    <x v="1"/>
    <x v="5"/>
    <d v="1900-01-16T00:00:00"/>
    <n v="16"/>
    <x v="10"/>
    <x v="6"/>
  </r>
  <r>
    <x v="1693"/>
    <n v="-4"/>
    <x v="2859"/>
    <n v="2811.5"/>
    <s v="Complete Access"/>
    <x v="61"/>
    <x v="1"/>
    <x v="1"/>
    <d v="1900-01-15T00:00:00"/>
    <n v="16"/>
    <x v="10"/>
    <x v="6"/>
  </r>
  <r>
    <x v="1693"/>
    <n v="-11"/>
    <x v="3530"/>
    <n v="2839.8"/>
    <s v="Complete Access"/>
    <x v="682"/>
    <x v="1"/>
    <x v="5"/>
    <d v="1900-01-15T00:00:00"/>
    <n v="16"/>
    <x v="10"/>
    <x v="6"/>
  </r>
  <r>
    <x v="1693"/>
    <n v="-27.1"/>
    <x v="3531"/>
    <n v="2850.8"/>
    <s v="Complete Access"/>
    <x v="816"/>
    <x v="8"/>
    <x v="22"/>
    <d v="1900-01-15T00:00:00"/>
    <n v="16"/>
    <x v="10"/>
    <x v="6"/>
  </r>
  <r>
    <x v="1693"/>
    <n v="-10.4"/>
    <x v="3532"/>
    <n v="2815.5"/>
    <s v="Complete Access"/>
    <x v="1"/>
    <x v="1"/>
    <x v="1"/>
    <d v="1900-01-15T00:00:00"/>
    <n v="16"/>
    <x v="10"/>
    <x v="6"/>
  </r>
  <r>
    <x v="1693"/>
    <n v="-13.9"/>
    <x v="3533"/>
    <n v="2825.9"/>
    <s v="Complete Access"/>
    <x v="186"/>
    <x v="1"/>
    <x v="5"/>
    <d v="1900-01-15T00:00:00"/>
    <n v="16"/>
    <x v="10"/>
    <x v="6"/>
  </r>
  <r>
    <x v="1694"/>
    <n v="250"/>
    <x v="3534"/>
    <n v="2877.9"/>
    <s v="Complete Access"/>
    <x v="817"/>
    <x v="18"/>
    <x v="80"/>
    <d v="1900-01-14T00:00:00"/>
    <n v="16"/>
    <x v="10"/>
    <x v="6"/>
  </r>
  <r>
    <x v="1695"/>
    <n v="-515"/>
    <x v="3404"/>
    <n v="2627.9"/>
    <s v="Complete Access"/>
    <x v="783"/>
    <x v="19"/>
    <x v="61"/>
    <d v="1900-01-12T00:00:00"/>
    <n v="15"/>
    <x v="10"/>
    <x v="6"/>
  </r>
  <r>
    <x v="1695"/>
    <n v="-100"/>
    <x v="2274"/>
    <n v="3142.9"/>
    <s v="Complete Access"/>
    <x v="552"/>
    <x v="0"/>
    <x v="74"/>
    <d v="1900-01-12T00:00:00"/>
    <n v="15"/>
    <x v="10"/>
    <x v="6"/>
  </r>
  <r>
    <x v="1696"/>
    <n v="1182.25"/>
    <x v="3188"/>
    <n v="3242.9"/>
    <s v="Complete Access"/>
    <x v="14"/>
    <x v="6"/>
    <x v="9"/>
    <d v="1900-01-11T00:00:00"/>
    <n v="15"/>
    <x v="10"/>
    <x v="6"/>
  </r>
  <r>
    <x v="1696"/>
    <n v="-31.79"/>
    <x v="3441"/>
    <n v="2060.65"/>
    <s v="Complete Access"/>
    <x v="177"/>
    <x v="1"/>
    <x v="1"/>
    <d v="1900-01-11T00:00:00"/>
    <n v="15"/>
    <x v="10"/>
    <x v="6"/>
  </r>
  <r>
    <x v="1696"/>
    <n v="-12.5"/>
    <x v="3535"/>
    <n v="2092.44"/>
    <s v="Complete Access"/>
    <x v="186"/>
    <x v="1"/>
    <x v="5"/>
    <d v="1900-01-11T00:00:00"/>
    <n v="15"/>
    <x v="10"/>
    <x v="6"/>
  </r>
  <r>
    <x v="1697"/>
    <n v="-9.6"/>
    <x v="3536"/>
    <n v="2191.73"/>
    <s v="Complete Access"/>
    <x v="27"/>
    <x v="1"/>
    <x v="5"/>
    <d v="1900-01-10T00:00:00"/>
    <n v="15"/>
    <x v="10"/>
    <x v="6"/>
  </r>
  <r>
    <x v="1697"/>
    <n v="-25.9"/>
    <x v="3537"/>
    <n v="2165.83"/>
    <s v="Complete Access"/>
    <x v="260"/>
    <x v="1"/>
    <x v="5"/>
    <d v="1900-01-10T00:00:00"/>
    <n v="15"/>
    <x v="10"/>
    <x v="6"/>
  </r>
  <r>
    <x v="1697"/>
    <n v="-45.4"/>
    <x v="3538"/>
    <n v="2104.94"/>
    <s v="Complete Access"/>
    <x v="741"/>
    <x v="16"/>
    <x v="81"/>
    <d v="1900-01-10T00:00:00"/>
    <n v="15"/>
    <x v="10"/>
    <x v="6"/>
  </r>
  <r>
    <x v="1697"/>
    <n v="-15.49"/>
    <x v="3539"/>
    <n v="2150.34"/>
    <s v="Complete Access"/>
    <x v="1"/>
    <x v="1"/>
    <x v="1"/>
    <d v="1900-01-10T00:00:00"/>
    <n v="15"/>
    <x v="10"/>
    <x v="6"/>
  </r>
  <r>
    <x v="1698"/>
    <n v="-6"/>
    <x v="2859"/>
    <n v="2298.2800000000002"/>
    <s v="Complete Access"/>
    <x v="61"/>
    <x v="1"/>
    <x v="1"/>
    <d v="1900-01-09T00:00:00"/>
    <n v="15"/>
    <x v="10"/>
    <x v="6"/>
  </r>
  <r>
    <x v="1698"/>
    <n v="-23.45"/>
    <x v="3441"/>
    <n v="2274.83"/>
    <s v="Complete Access"/>
    <x v="177"/>
    <x v="1"/>
    <x v="1"/>
    <d v="1900-01-09T00:00:00"/>
    <n v="15"/>
    <x v="10"/>
    <x v="6"/>
  </r>
  <r>
    <x v="1698"/>
    <n v="-73.5"/>
    <x v="2543"/>
    <n v="2201.33"/>
    <s v="Complete Access"/>
    <x v="17"/>
    <x v="7"/>
    <x v="11"/>
    <d v="1900-01-09T00:00:00"/>
    <n v="15"/>
    <x v="10"/>
    <x v="6"/>
  </r>
  <r>
    <x v="1699"/>
    <n v="-43"/>
    <x v="3540"/>
    <n v="2399.13"/>
    <s v="Complete Access"/>
    <x v="8"/>
    <x v="1"/>
    <x v="5"/>
    <d v="1900-01-08T00:00:00"/>
    <n v="15"/>
    <x v="10"/>
    <x v="6"/>
  </r>
  <r>
    <x v="1699"/>
    <n v="-25.15"/>
    <x v="3541"/>
    <n v="2373.98"/>
    <s v="Complete Access"/>
    <x v="609"/>
    <x v="1"/>
    <x v="1"/>
    <d v="1900-01-08T00:00:00"/>
    <n v="15"/>
    <x v="10"/>
    <x v="6"/>
  </r>
  <r>
    <x v="1699"/>
    <n v="-43.9"/>
    <x v="3542"/>
    <n v="2309.2800000000002"/>
    <s v="Complete Access"/>
    <x v="684"/>
    <x v="3"/>
    <x v="60"/>
    <d v="1900-01-08T00:00:00"/>
    <n v="15"/>
    <x v="10"/>
    <x v="6"/>
  </r>
  <r>
    <x v="1699"/>
    <n v="-5"/>
    <x v="3543"/>
    <n v="2304.2800000000002"/>
    <s v="Complete Access"/>
    <x v="818"/>
    <x v="11"/>
    <x v="49"/>
    <d v="1900-01-08T00:00:00"/>
    <n v="15"/>
    <x v="10"/>
    <x v="6"/>
  </r>
  <r>
    <x v="1699"/>
    <n v="-20.8"/>
    <x v="3544"/>
    <n v="2353.1799999999998"/>
    <s v="Complete Access"/>
    <x v="186"/>
    <x v="1"/>
    <x v="5"/>
    <d v="1900-01-08T00:00:00"/>
    <n v="15"/>
    <x v="10"/>
    <x v="6"/>
  </r>
  <r>
    <x v="1700"/>
    <n v="-20"/>
    <x v="2970"/>
    <n v="2464.7800000000002"/>
    <s v="Complete Access"/>
    <x v="601"/>
    <x v="0"/>
    <x v="0"/>
    <d v="1900-01-07T00:00:00"/>
    <n v="15"/>
    <x v="10"/>
    <x v="6"/>
  </r>
  <r>
    <x v="1700"/>
    <n v="-22.65"/>
    <x v="3545"/>
    <n v="2442.13"/>
    <s v="Complete Access"/>
    <x v="4"/>
    <x v="1"/>
    <x v="1"/>
    <d v="1900-01-07T00:00:00"/>
    <n v="15"/>
    <x v="10"/>
    <x v="6"/>
  </r>
  <r>
    <x v="1701"/>
    <n v="-515"/>
    <x v="3404"/>
    <n v="2484.7800000000002"/>
    <s v="Complete Access"/>
    <x v="783"/>
    <x v="19"/>
    <x v="61"/>
    <d v="1900-01-05T00:00:00"/>
    <n v="14"/>
    <x v="10"/>
    <x v="6"/>
  </r>
  <r>
    <x v="1701"/>
    <n v="-100"/>
    <x v="2274"/>
    <n v="2999.78"/>
    <s v="Complete Access"/>
    <x v="552"/>
    <x v="0"/>
    <x v="74"/>
    <d v="1900-01-05T00:00:00"/>
    <n v="14"/>
    <x v="10"/>
    <x v="6"/>
  </r>
  <r>
    <x v="1701"/>
    <n v="-13.5"/>
    <x v="3546"/>
    <n v="3099.78"/>
    <s v="Complete Access"/>
    <x v="186"/>
    <x v="1"/>
    <x v="5"/>
    <d v="1900-01-05T00:00:00"/>
    <n v="14"/>
    <x v="10"/>
    <x v="6"/>
  </r>
  <r>
    <x v="1702"/>
    <n v="-10.41"/>
    <x v="2859"/>
    <n v="3113.28"/>
    <s v="Complete Access"/>
    <x v="61"/>
    <x v="1"/>
    <x v="1"/>
    <d v="1900-01-04T00:00:00"/>
    <n v="14"/>
    <x v="10"/>
    <x v="6"/>
  </r>
  <r>
    <x v="1702"/>
    <n v="-50"/>
    <x v="3547"/>
    <n v="3123.69"/>
    <s v="Complete Access"/>
    <x v="819"/>
    <x v="5"/>
    <x v="83"/>
    <d v="1900-01-04T00:00:00"/>
    <n v="14"/>
    <x v="10"/>
    <x v="6"/>
  </r>
  <r>
    <x v="1703"/>
    <n v="-43.38"/>
    <x v="3548"/>
    <n v="3307.98"/>
    <s v="Complete Access"/>
    <x v="820"/>
    <x v="8"/>
    <x v="29"/>
    <d v="1900-01-03T00:00:00"/>
    <n v="14"/>
    <x v="10"/>
    <x v="6"/>
  </r>
  <r>
    <x v="1703"/>
    <n v="-39.049999999999997"/>
    <x v="3548"/>
    <n v="3351.36"/>
    <s v="Complete Access"/>
    <x v="820"/>
    <x v="8"/>
    <x v="29"/>
    <d v="1900-01-03T00:00:00"/>
    <n v="14"/>
    <x v="10"/>
    <x v="6"/>
  </r>
  <r>
    <x v="1703"/>
    <n v="-58.58"/>
    <x v="3548"/>
    <n v="3390.41"/>
    <s v="Complete Access"/>
    <x v="820"/>
    <x v="8"/>
    <x v="29"/>
    <d v="1900-01-03T00:00:00"/>
    <n v="14"/>
    <x v="10"/>
    <x v="6"/>
  </r>
  <r>
    <x v="1703"/>
    <n v="-19.53"/>
    <x v="3548"/>
    <n v="3448.99"/>
    <s v="Complete Access"/>
    <x v="820"/>
    <x v="8"/>
    <x v="29"/>
    <d v="1900-01-03T00:00:00"/>
    <n v="14"/>
    <x v="10"/>
    <x v="6"/>
  </r>
  <r>
    <x v="1703"/>
    <n v="-93.4"/>
    <x v="3549"/>
    <n v="3173.69"/>
    <s v="Complete Access"/>
    <x v="821"/>
    <x v="1"/>
    <x v="5"/>
    <d v="1900-01-03T00:00:00"/>
    <n v="14"/>
    <x v="10"/>
    <x v="6"/>
  </r>
  <r>
    <x v="1703"/>
    <n v="-44.31"/>
    <x v="3550"/>
    <n v="3468.52"/>
    <s v="Complete Access"/>
    <x v="237"/>
    <x v="15"/>
    <x v="34"/>
    <d v="1900-01-03T00:00:00"/>
    <n v="14"/>
    <x v="10"/>
    <x v="6"/>
  </r>
  <r>
    <x v="1703"/>
    <n v="-40.89"/>
    <x v="3551"/>
    <n v="3267.09"/>
    <s v="Complete Access"/>
    <x v="1"/>
    <x v="1"/>
    <x v="1"/>
    <d v="1900-01-03T00:00:00"/>
    <n v="14"/>
    <x v="10"/>
    <x v="6"/>
  </r>
  <r>
    <x v="1704"/>
    <n v="-41.5"/>
    <x v="3552"/>
    <n v="2406.58"/>
    <s v="Complete Access"/>
    <x v="8"/>
    <x v="1"/>
    <x v="5"/>
    <d v="1900-01-02T00:00:00"/>
    <n v="14"/>
    <x v="10"/>
    <x v="6"/>
  </r>
  <r>
    <x v="1704"/>
    <n v="-50"/>
    <x v="3553"/>
    <n v="2448.08"/>
    <s v="Complete Access"/>
    <x v="8"/>
    <x v="1"/>
    <x v="5"/>
    <d v="1900-01-02T00:00:00"/>
    <n v="14"/>
    <x v="10"/>
    <x v="6"/>
  </r>
  <r>
    <x v="1704"/>
    <n v="1182.25"/>
    <x v="3188"/>
    <n v="3512.83"/>
    <s v="Complete Access"/>
    <x v="14"/>
    <x v="6"/>
    <x v="9"/>
    <d v="1900-01-02T00:00:00"/>
    <n v="14"/>
    <x v="10"/>
    <x v="6"/>
  </r>
  <r>
    <x v="1704"/>
    <n v="-14"/>
    <x v="3554"/>
    <n v="2332.58"/>
    <s v="Complete Access"/>
    <x v="186"/>
    <x v="1"/>
    <x v="5"/>
    <d v="1900-01-02T00:00:00"/>
    <n v="14"/>
    <x v="10"/>
    <x v="6"/>
  </r>
  <r>
    <x v="1704"/>
    <n v="-60"/>
    <x v="3555"/>
    <n v="2346.58"/>
    <s v="Complete Access"/>
    <x v="219"/>
    <x v="7"/>
    <x v="53"/>
    <d v="1900-01-02T00:00:00"/>
    <n v="14"/>
    <x v="10"/>
    <x v="6"/>
  </r>
  <r>
    <x v="1704"/>
    <n v="-2"/>
    <x v="3556"/>
    <n v="2330.58"/>
    <s v="Complete Access"/>
    <x v="34"/>
    <x v="9"/>
    <x v="12"/>
    <d v="1900-01-02T00:00:00"/>
    <n v="14"/>
    <x v="10"/>
    <x v="6"/>
  </r>
  <r>
    <x v="1705"/>
    <n v="50"/>
    <x v="3557"/>
    <n v="2500.58"/>
    <s v="Complete Access"/>
    <x v="822"/>
    <x v="9"/>
    <x v="12"/>
    <d v="1900-01-01T00:00:00"/>
    <n v="14"/>
    <x v="10"/>
    <x v="6"/>
  </r>
  <r>
    <x v="1705"/>
    <n v="-12"/>
    <x v="3558"/>
    <n v="2450.58"/>
    <s v="Complete Access"/>
    <x v="823"/>
    <x v="8"/>
    <x v="29"/>
    <d v="1900-01-01T00:00:00"/>
    <n v="14"/>
    <x v="10"/>
    <x v="6"/>
  </r>
  <r>
    <x v="1705"/>
    <n v="-2.5"/>
    <x v="2979"/>
    <n v="2498.08"/>
    <s v="Complete Access"/>
    <x v="685"/>
    <x v="20"/>
    <x v="63"/>
    <d v="1900-01-01T00:00:00"/>
    <n v="14"/>
    <x v="10"/>
    <x v="6"/>
  </r>
  <r>
    <x v="1706"/>
    <n v="-172.3"/>
    <x v="3559"/>
    <n v="2462.58"/>
    <s v="Complete Access"/>
    <x v="76"/>
    <x v="2"/>
    <x v="2"/>
    <d v="1899-12-31T00:00:00"/>
    <n v="14"/>
    <x v="10"/>
    <x v="6"/>
  </r>
  <r>
    <x v="1707"/>
    <n v="-11.4"/>
    <x v="3560"/>
    <n v="2634.88"/>
    <s v="Complete Access"/>
    <x v="91"/>
    <x v="9"/>
    <x v="12"/>
    <d v="1900-01-30T00:00:00"/>
    <n v="14"/>
    <x v="11"/>
    <x v="6"/>
  </r>
  <r>
    <x v="1708"/>
    <n v="-515"/>
    <x v="3404"/>
    <n v="2693.18"/>
    <s v="Complete Access"/>
    <x v="783"/>
    <x v="19"/>
    <x v="61"/>
    <d v="1900-01-29T00:00:00"/>
    <n v="13"/>
    <x v="11"/>
    <x v="6"/>
  </r>
  <r>
    <x v="1708"/>
    <n v="-100"/>
    <x v="2274"/>
    <n v="3208.18"/>
    <s v="Complete Access"/>
    <x v="552"/>
    <x v="0"/>
    <x v="74"/>
    <d v="1900-01-29T00:00:00"/>
    <n v="13"/>
    <x v="11"/>
    <x v="6"/>
  </r>
  <r>
    <x v="1708"/>
    <n v="-31.67"/>
    <x v="3561"/>
    <n v="3322.68"/>
    <s v="Complete Access"/>
    <x v="1"/>
    <x v="1"/>
    <x v="1"/>
    <d v="1900-01-29T00:00:00"/>
    <n v="13"/>
    <x v="11"/>
    <x v="6"/>
  </r>
  <r>
    <x v="1708"/>
    <n v="-19"/>
    <x v="3562"/>
    <n v="2646.28"/>
    <s v="Complete Access"/>
    <x v="824"/>
    <x v="8"/>
    <x v="29"/>
    <d v="1900-01-29T00:00:00"/>
    <n v="13"/>
    <x v="11"/>
    <x v="6"/>
  </r>
  <r>
    <x v="1708"/>
    <n v="-27.9"/>
    <x v="3562"/>
    <n v="2665.28"/>
    <s v="Complete Access"/>
    <x v="824"/>
    <x v="8"/>
    <x v="29"/>
    <d v="1900-01-29T00:00:00"/>
    <n v="13"/>
    <x v="11"/>
    <x v="6"/>
  </r>
  <r>
    <x v="1708"/>
    <n v="-14.5"/>
    <x v="3563"/>
    <n v="3308.18"/>
    <s v="Complete Access"/>
    <x v="186"/>
    <x v="1"/>
    <x v="5"/>
    <d v="1900-01-29T00:00:00"/>
    <n v="13"/>
    <x v="11"/>
    <x v="6"/>
  </r>
  <r>
    <x v="1709"/>
    <n v="-7.1"/>
    <x v="2859"/>
    <n v="3534.8"/>
    <s v="Complete Access"/>
    <x v="61"/>
    <x v="1"/>
    <x v="1"/>
    <d v="1900-01-28T00:00:00"/>
    <n v="13"/>
    <x v="11"/>
    <x v="6"/>
  </r>
  <r>
    <x v="1709"/>
    <n v="-43"/>
    <x v="3564"/>
    <n v="3556.4"/>
    <s v="Complete Access"/>
    <x v="8"/>
    <x v="1"/>
    <x v="5"/>
    <d v="1900-01-28T00:00:00"/>
    <n v="13"/>
    <x v="11"/>
    <x v="6"/>
  </r>
  <r>
    <x v="1709"/>
    <n v="-50"/>
    <x v="3565"/>
    <n v="3354.35"/>
    <s v="Complete Access"/>
    <x v="822"/>
    <x v="9"/>
    <x v="12"/>
    <d v="1900-01-28T00:00:00"/>
    <n v="13"/>
    <x v="11"/>
    <x v="6"/>
  </r>
  <r>
    <x v="1709"/>
    <n v="-12.95"/>
    <x v="3566"/>
    <n v="3514.35"/>
    <s v="Complete Access"/>
    <x v="825"/>
    <x v="11"/>
    <x v="14"/>
    <d v="1900-01-28T00:00:00"/>
    <n v="13"/>
    <x v="11"/>
    <x v="6"/>
  </r>
  <r>
    <x v="1709"/>
    <n v="-110"/>
    <x v="2929"/>
    <n v="3404.35"/>
    <s v="Complete Access"/>
    <x v="645"/>
    <x v="0"/>
    <x v="69"/>
    <d v="1900-01-28T00:00:00"/>
    <n v="13"/>
    <x v="11"/>
    <x v="6"/>
  </r>
  <r>
    <x v="1709"/>
    <n v="-14.5"/>
    <x v="3567"/>
    <n v="3541.9"/>
    <s v="Complete Access"/>
    <x v="186"/>
    <x v="1"/>
    <x v="5"/>
    <d v="1900-01-28T00:00:00"/>
    <n v="13"/>
    <x v="11"/>
    <x v="6"/>
  </r>
  <r>
    <x v="1709"/>
    <n v="-7.5"/>
    <x v="3000"/>
    <n v="3527.3"/>
    <s v="Complete Access"/>
    <x v="687"/>
    <x v="1"/>
    <x v="5"/>
    <d v="1900-01-28T00:00:00"/>
    <n v="13"/>
    <x v="11"/>
    <x v="6"/>
  </r>
  <r>
    <x v="1710"/>
    <n v="-1.56"/>
    <x v="2859"/>
    <n v="3774.8"/>
    <s v="Complete Access"/>
    <x v="61"/>
    <x v="1"/>
    <x v="1"/>
    <d v="1900-01-27T00:00:00"/>
    <n v="13"/>
    <x v="11"/>
    <x v="6"/>
  </r>
  <r>
    <x v="1710"/>
    <n v="-49.75"/>
    <x v="3568"/>
    <n v="3776.36"/>
    <s v="Complete Access"/>
    <x v="609"/>
    <x v="1"/>
    <x v="1"/>
    <d v="1900-01-27T00:00:00"/>
    <n v="13"/>
    <x v="11"/>
    <x v="6"/>
  </r>
  <r>
    <x v="1710"/>
    <n v="-175.4"/>
    <x v="3569"/>
    <n v="3599.4"/>
    <s v="Complete Access"/>
    <x v="741"/>
    <x v="16"/>
    <x v="81"/>
    <d v="1900-01-27T00:00:00"/>
    <n v="13"/>
    <x v="11"/>
    <x v="6"/>
  </r>
  <r>
    <x v="1711"/>
    <n v="-43"/>
    <x v="3570"/>
    <n v="2688.16"/>
    <s v="Complete Access"/>
    <x v="8"/>
    <x v="1"/>
    <x v="5"/>
    <d v="1900-01-26T00:00:00"/>
    <n v="13"/>
    <x v="11"/>
    <x v="6"/>
  </r>
  <r>
    <x v="1711"/>
    <n v="1182.25"/>
    <x v="3188"/>
    <n v="3826.11"/>
    <s v="Complete Access"/>
    <x v="14"/>
    <x v="6"/>
    <x v="9"/>
    <d v="1900-01-26T00:00:00"/>
    <n v="13"/>
    <x v="11"/>
    <x v="6"/>
  </r>
  <r>
    <x v="1711"/>
    <n v="-31.5"/>
    <x v="3571"/>
    <n v="2656.66"/>
    <s v="Complete Access"/>
    <x v="826"/>
    <x v="8"/>
    <x v="29"/>
    <d v="1900-01-26T00:00:00"/>
    <n v="13"/>
    <x v="11"/>
    <x v="6"/>
  </r>
  <r>
    <x v="1711"/>
    <n v="-31.88"/>
    <x v="3572"/>
    <n v="2731.16"/>
    <s v="Complete Access"/>
    <x v="617"/>
    <x v="4"/>
    <x v="73"/>
    <d v="1900-01-26T00:00:00"/>
    <n v="13"/>
    <x v="11"/>
    <x v="6"/>
  </r>
  <r>
    <x v="1711"/>
    <n v="-12.8"/>
    <x v="3573"/>
    <n v="2643.86"/>
    <s v="Complete Access"/>
    <x v="34"/>
    <x v="9"/>
    <x v="12"/>
    <d v="1900-01-26T00:00:00"/>
    <n v="13"/>
    <x v="11"/>
    <x v="6"/>
  </r>
  <r>
    <x v="1712"/>
    <n v="-50"/>
    <x v="3547"/>
    <n v="2723.04"/>
    <s v="Complete Access"/>
    <x v="819"/>
    <x v="5"/>
    <x v="83"/>
    <d v="1900-01-25T00:00:00"/>
    <n v="13"/>
    <x v="11"/>
    <x v="6"/>
  </r>
  <r>
    <x v="1712"/>
    <n v="40"/>
    <x v="3024"/>
    <n v="2763.04"/>
    <s v="Complete Access"/>
    <x v="27"/>
    <x v="1"/>
    <x v="5"/>
    <d v="1900-01-25T00:00:00"/>
    <n v="13"/>
    <x v="11"/>
    <x v="6"/>
  </r>
  <r>
    <x v="1712"/>
    <n v="-7.9"/>
    <x v="3000"/>
    <n v="2773.04"/>
    <s v="Complete Access"/>
    <x v="687"/>
    <x v="1"/>
    <x v="5"/>
    <d v="1900-01-25T00:00:00"/>
    <n v="13"/>
    <x v="11"/>
    <x v="6"/>
  </r>
  <r>
    <x v="1713"/>
    <n v="-2.08"/>
    <x v="2859"/>
    <n v="2805.99"/>
    <s v="Complete Access"/>
    <x v="61"/>
    <x v="1"/>
    <x v="1"/>
    <d v="1900-01-24T00:00:00"/>
    <n v="13"/>
    <x v="11"/>
    <x v="6"/>
  </r>
  <r>
    <x v="1713"/>
    <n v="-11.55"/>
    <x v="3441"/>
    <n v="2780.94"/>
    <s v="Complete Access"/>
    <x v="177"/>
    <x v="1"/>
    <x v="1"/>
    <d v="1900-01-24T00:00:00"/>
    <n v="13"/>
    <x v="11"/>
    <x v="6"/>
  </r>
  <r>
    <x v="1713"/>
    <n v="-13.5"/>
    <x v="3000"/>
    <n v="2792.49"/>
    <s v="Complete Access"/>
    <x v="687"/>
    <x v="1"/>
    <x v="5"/>
    <d v="1900-01-24T00:00:00"/>
    <n v="13"/>
    <x v="11"/>
    <x v="6"/>
  </r>
  <r>
    <x v="1714"/>
    <n v="-515"/>
    <x v="3404"/>
    <n v="2808.07"/>
    <s v="Complete Access"/>
    <x v="783"/>
    <x v="19"/>
    <x v="61"/>
    <d v="1900-01-22T00:00:00"/>
    <n v="12"/>
    <x v="11"/>
    <x v="6"/>
  </r>
  <r>
    <x v="1714"/>
    <n v="-100"/>
    <x v="2274"/>
    <n v="3323.07"/>
    <s v="Complete Access"/>
    <x v="552"/>
    <x v="0"/>
    <x v="74"/>
    <d v="1900-01-22T00:00:00"/>
    <n v="12"/>
    <x v="11"/>
    <x v="6"/>
  </r>
  <r>
    <x v="1715"/>
    <n v="-50"/>
    <x v="3403"/>
    <n v="3423.07"/>
    <s v="Complete Access"/>
    <x v="601"/>
    <x v="0"/>
    <x v="0"/>
    <d v="1900-01-20T00:00:00"/>
    <n v="12"/>
    <x v="11"/>
    <x v="6"/>
  </r>
  <r>
    <x v="1715"/>
    <n v="-22.5"/>
    <x v="3574"/>
    <n v="3473.07"/>
    <s v="Complete Access"/>
    <x v="826"/>
    <x v="8"/>
    <x v="29"/>
    <d v="1900-01-20T00:00:00"/>
    <n v="12"/>
    <x v="11"/>
    <x v="6"/>
  </r>
  <r>
    <x v="1715"/>
    <n v="-22.5"/>
    <x v="3574"/>
    <n v="3495.57"/>
    <s v="Complete Access"/>
    <x v="826"/>
    <x v="8"/>
    <x v="29"/>
    <d v="1900-01-20T00:00:00"/>
    <n v="12"/>
    <x v="11"/>
    <x v="6"/>
  </r>
  <r>
    <x v="1716"/>
    <n v="-31"/>
    <x v="3575"/>
    <n v="2342.7199999999998"/>
    <s v="Complete Access"/>
    <x v="8"/>
    <x v="1"/>
    <x v="5"/>
    <d v="1900-01-19T00:00:00"/>
    <n v="12"/>
    <x v="11"/>
    <x v="6"/>
  </r>
  <r>
    <x v="1716"/>
    <n v="1182.25"/>
    <x v="3188"/>
    <n v="3518.07"/>
    <s v="Complete Access"/>
    <x v="14"/>
    <x v="6"/>
    <x v="9"/>
    <d v="1900-01-19T00:00:00"/>
    <n v="12"/>
    <x v="11"/>
    <x v="6"/>
  </r>
  <r>
    <x v="1716"/>
    <n v="-6.9"/>
    <x v="3000"/>
    <n v="2335.8200000000002"/>
    <s v="Complete Access"/>
    <x v="687"/>
    <x v="1"/>
    <x v="5"/>
    <d v="1900-01-19T00:00:00"/>
    <n v="12"/>
    <x v="11"/>
    <x v="6"/>
  </r>
  <r>
    <x v="1717"/>
    <n v="-21.19"/>
    <x v="3441"/>
    <n v="2373.7199999999998"/>
    <s v="Complete Access"/>
    <x v="177"/>
    <x v="1"/>
    <x v="1"/>
    <d v="1900-01-18T00:00:00"/>
    <n v="12"/>
    <x v="11"/>
    <x v="6"/>
  </r>
  <r>
    <x v="1717"/>
    <n v="-15"/>
    <x v="3576"/>
    <n v="2402.81"/>
    <s v="Complete Access"/>
    <x v="186"/>
    <x v="1"/>
    <x v="5"/>
    <d v="1900-01-18T00:00:00"/>
    <n v="12"/>
    <x v="11"/>
    <x v="6"/>
  </r>
  <r>
    <x v="1717"/>
    <n v="-7.9"/>
    <x v="3000"/>
    <n v="2394.91"/>
    <s v="Complete Access"/>
    <x v="687"/>
    <x v="1"/>
    <x v="5"/>
    <d v="1900-01-18T00:00:00"/>
    <n v="12"/>
    <x v="11"/>
    <x v="6"/>
  </r>
  <r>
    <x v="1718"/>
    <n v="-45.09"/>
    <x v="3441"/>
    <n v="2417.81"/>
    <s v="Complete Access"/>
    <x v="177"/>
    <x v="1"/>
    <x v="1"/>
    <d v="1900-01-16T00:00:00"/>
    <n v="12"/>
    <x v="11"/>
    <x v="6"/>
  </r>
  <r>
    <x v="1719"/>
    <n v="-515"/>
    <x v="3404"/>
    <n v="2462.9"/>
    <s v="Complete Access"/>
    <x v="783"/>
    <x v="19"/>
    <x v="61"/>
    <d v="1900-01-15T00:00:00"/>
    <n v="11"/>
    <x v="11"/>
    <x v="6"/>
  </r>
  <r>
    <x v="1719"/>
    <n v="-100"/>
    <x v="2274"/>
    <n v="2977.9"/>
    <s v="Complete Access"/>
    <x v="552"/>
    <x v="0"/>
    <x v="74"/>
    <d v="1900-01-15T00:00:00"/>
    <n v="11"/>
    <x v="11"/>
    <x v="6"/>
  </r>
  <r>
    <x v="1720"/>
    <n v="-50"/>
    <x v="3403"/>
    <n v="3077.9"/>
    <s v="Complete Access"/>
    <x v="601"/>
    <x v="0"/>
    <x v="0"/>
    <d v="1900-01-14T00:00:00"/>
    <n v="11"/>
    <x v="11"/>
    <x v="6"/>
  </r>
  <r>
    <x v="1720"/>
    <n v="-20"/>
    <x v="3403"/>
    <n v="3127.9"/>
    <s v="Complete Access"/>
    <x v="601"/>
    <x v="0"/>
    <x v="0"/>
    <d v="1900-01-14T00:00:00"/>
    <n v="11"/>
    <x v="11"/>
    <x v="6"/>
  </r>
  <r>
    <x v="1720"/>
    <n v="-30"/>
    <x v="3577"/>
    <n v="2847.9"/>
    <s v="Complete Access"/>
    <x v="247"/>
    <x v="9"/>
    <x v="57"/>
    <d v="1900-01-14T00:00:00"/>
    <n v="11"/>
    <x v="11"/>
    <x v="6"/>
  </r>
  <r>
    <x v="1720"/>
    <n v="300"/>
    <x v="3578"/>
    <n v="3147.9"/>
    <s v="Complete Access"/>
    <x v="657"/>
    <x v="0"/>
    <x v="69"/>
    <d v="1900-01-14T00:00:00"/>
    <n v="11"/>
    <x v="11"/>
    <x v="6"/>
  </r>
  <r>
    <x v="1721"/>
    <n v="-50"/>
    <x v="3547"/>
    <n v="3082.23"/>
    <s v="Complete Access"/>
    <x v="819"/>
    <x v="5"/>
    <x v="83"/>
    <d v="1900-01-13T00:00:00"/>
    <n v="11"/>
    <x v="11"/>
    <x v="6"/>
  </r>
  <r>
    <x v="1721"/>
    <n v="-22.03"/>
    <x v="3441"/>
    <n v="3053.3"/>
    <s v="Complete Access"/>
    <x v="177"/>
    <x v="1"/>
    <x v="1"/>
    <d v="1900-01-13T00:00:00"/>
    <n v="11"/>
    <x v="11"/>
    <x v="6"/>
  </r>
  <r>
    <x v="1721"/>
    <n v="-175.4"/>
    <x v="3579"/>
    <n v="2877.9"/>
    <s v="Complete Access"/>
    <x v="741"/>
    <x v="16"/>
    <x v="81"/>
    <d v="1900-01-13T00:00:00"/>
    <n v="11"/>
    <x v="11"/>
    <x v="6"/>
  </r>
  <r>
    <x v="1721"/>
    <n v="-12.25"/>
    <x v="3580"/>
    <n v="3132.23"/>
    <s v="Complete Access"/>
    <x v="1"/>
    <x v="1"/>
    <x v="1"/>
    <d v="1900-01-13T00:00:00"/>
    <n v="11"/>
    <x v="11"/>
    <x v="6"/>
  </r>
  <r>
    <x v="1721"/>
    <n v="-6.9"/>
    <x v="3000"/>
    <n v="3075.33"/>
    <s v="Complete Access"/>
    <x v="687"/>
    <x v="1"/>
    <x v="5"/>
    <d v="1900-01-13T00:00:00"/>
    <n v="11"/>
    <x v="11"/>
    <x v="6"/>
  </r>
  <r>
    <x v="1722"/>
    <n v="-32"/>
    <x v="3581"/>
    <n v="2088.04"/>
    <s v="Complete Access"/>
    <x v="8"/>
    <x v="1"/>
    <x v="5"/>
    <d v="1900-01-12T00:00:00"/>
    <n v="11"/>
    <x v="11"/>
    <x v="6"/>
  </r>
  <r>
    <x v="1722"/>
    <n v="-36"/>
    <x v="3582"/>
    <n v="2052.04"/>
    <s v="Complete Access"/>
    <x v="8"/>
    <x v="1"/>
    <x v="5"/>
    <d v="1900-01-12T00:00:00"/>
    <n v="11"/>
    <x v="11"/>
    <x v="6"/>
  </r>
  <r>
    <x v="1722"/>
    <n v="1248.67"/>
    <x v="3188"/>
    <n v="3280.71"/>
    <s v="Complete Access"/>
    <x v="14"/>
    <x v="6"/>
    <x v="9"/>
    <d v="1900-01-12T00:00:00"/>
    <n v="11"/>
    <x v="11"/>
    <x v="6"/>
  </r>
  <r>
    <x v="1722"/>
    <n v="-62.73"/>
    <x v="3441"/>
    <n v="3217.98"/>
    <s v="Complete Access"/>
    <x v="177"/>
    <x v="1"/>
    <x v="1"/>
    <d v="1900-01-12T00:00:00"/>
    <n v="11"/>
    <x v="11"/>
    <x v="6"/>
  </r>
  <r>
    <x v="1722"/>
    <n v="-73.5"/>
    <x v="2543"/>
    <n v="3144.48"/>
    <s v="Complete Access"/>
    <x v="17"/>
    <x v="7"/>
    <x v="11"/>
    <d v="1900-01-12T00:00:00"/>
    <n v="11"/>
    <x v="11"/>
    <x v="6"/>
  </r>
  <r>
    <x v="1722"/>
    <n v="-12.5"/>
    <x v="3583"/>
    <n v="2039.54"/>
    <s v="Complete Access"/>
    <x v="186"/>
    <x v="1"/>
    <x v="5"/>
    <d v="1900-01-12T00:00:00"/>
    <n v="11"/>
    <x v="11"/>
    <x v="6"/>
  </r>
  <r>
    <x v="1722"/>
    <n v="-7.5"/>
    <x v="3000"/>
    <n v="2032.04"/>
    <s v="Complete Access"/>
    <x v="687"/>
    <x v="1"/>
    <x v="5"/>
    <d v="1900-01-12T00:00:00"/>
    <n v="11"/>
    <x v="11"/>
    <x v="6"/>
  </r>
  <r>
    <x v="1723"/>
    <n v="-25.06"/>
    <x v="3411"/>
    <n v="2120.04"/>
    <s v="Complete Access"/>
    <x v="785"/>
    <x v="9"/>
    <x v="12"/>
    <d v="1900-01-10T00:00:00"/>
    <n v="11"/>
    <x v="11"/>
    <x v="6"/>
  </r>
  <r>
    <x v="1724"/>
    <n v="-515"/>
    <x v="3404"/>
    <n v="2155.96"/>
    <s v="Complete Access"/>
    <x v="783"/>
    <x v="19"/>
    <x v="61"/>
    <d v="1900-01-08T00:00:00"/>
    <n v="10"/>
    <x v="11"/>
    <x v="6"/>
  </r>
  <r>
    <x v="1724"/>
    <n v="-100"/>
    <x v="2274"/>
    <n v="2670.96"/>
    <s v="Complete Access"/>
    <x v="552"/>
    <x v="0"/>
    <x v="74"/>
    <d v="1900-01-08T00:00:00"/>
    <n v="10"/>
    <x v="11"/>
    <x v="6"/>
  </r>
  <r>
    <x v="1724"/>
    <n v="-10.86"/>
    <x v="3584"/>
    <n v="2145.1"/>
    <s v="Complete Access"/>
    <x v="1"/>
    <x v="1"/>
    <x v="1"/>
    <d v="1900-01-08T00:00:00"/>
    <n v="10"/>
    <x v="11"/>
    <x v="6"/>
  </r>
  <r>
    <x v="1725"/>
    <n v="-50"/>
    <x v="3472"/>
    <n v="2773.46"/>
    <s v="Complete Access"/>
    <x v="801"/>
    <x v="8"/>
    <x v="29"/>
    <d v="1900-01-07T00:00:00"/>
    <n v="10"/>
    <x v="11"/>
    <x v="6"/>
  </r>
  <r>
    <x v="1725"/>
    <n v="-2.5"/>
    <x v="72"/>
    <n v="2770.96"/>
    <s v="Complete Access"/>
    <x v="37"/>
    <x v="0"/>
    <x v="0"/>
    <d v="1900-01-07T00:00:00"/>
    <n v="10"/>
    <x v="11"/>
    <x v="6"/>
  </r>
  <r>
    <x v="1725"/>
    <n v="-7.5"/>
    <x v="3000"/>
    <n v="2823.46"/>
    <s v="Complete Access"/>
    <x v="687"/>
    <x v="1"/>
    <x v="5"/>
    <d v="1900-01-07T00:00:00"/>
    <n v="10"/>
    <x v="11"/>
    <x v="6"/>
  </r>
  <r>
    <x v="1726"/>
    <n v="-13.9"/>
    <x v="3585"/>
    <n v="2830.96"/>
    <s v="Complete Access"/>
    <x v="714"/>
    <x v="1"/>
    <x v="5"/>
    <d v="1900-01-06T00:00:00"/>
    <n v="10"/>
    <x v="11"/>
    <x v="6"/>
  </r>
  <r>
    <x v="1726"/>
    <n v="-19.399999999999999"/>
    <x v="3586"/>
    <n v="2916.72"/>
    <s v="Complete Access"/>
    <x v="47"/>
    <x v="1"/>
    <x v="5"/>
    <d v="1900-01-06T00:00:00"/>
    <n v="10"/>
    <x v="11"/>
    <x v="6"/>
  </r>
  <r>
    <x v="1726"/>
    <n v="-29.3"/>
    <x v="3587"/>
    <n v="2887.42"/>
    <s v="Complete Access"/>
    <x v="237"/>
    <x v="15"/>
    <x v="34"/>
    <d v="1900-01-06T00:00:00"/>
    <n v="10"/>
    <x v="11"/>
    <x v="6"/>
  </r>
  <r>
    <x v="1726"/>
    <n v="-42.56"/>
    <x v="3588"/>
    <n v="2844.86"/>
    <s v="Complete Access"/>
    <x v="1"/>
    <x v="1"/>
    <x v="1"/>
    <d v="1900-01-06T00:00:00"/>
    <n v="10"/>
    <x v="11"/>
    <x v="6"/>
  </r>
  <r>
    <x v="1727"/>
    <n v="1182.25"/>
    <x v="3188"/>
    <n v="2936.12"/>
    <s v="Complete Access"/>
    <x v="14"/>
    <x v="6"/>
    <x v="9"/>
    <d v="1900-01-05T00:00:00"/>
    <n v="10"/>
    <x v="11"/>
    <x v="6"/>
  </r>
  <r>
    <x v="1727"/>
    <n v="-8.8800000000000008"/>
    <x v="3441"/>
    <n v="1753.87"/>
    <s v="Complete Access"/>
    <x v="177"/>
    <x v="1"/>
    <x v="1"/>
    <d v="1900-01-05T00:00:00"/>
    <n v="10"/>
    <x v="11"/>
    <x v="6"/>
  </r>
  <r>
    <x v="1727"/>
    <n v="-7.9"/>
    <x v="3000"/>
    <n v="1762.75"/>
    <s v="Complete Access"/>
    <x v="687"/>
    <x v="1"/>
    <x v="5"/>
    <d v="1900-01-05T00:00:00"/>
    <n v="10"/>
    <x v="11"/>
    <x v="6"/>
  </r>
  <r>
    <x v="1728"/>
    <n v="-20"/>
    <x v="3589"/>
    <n v="1770.65"/>
    <s v="Complete Access"/>
    <x v="601"/>
    <x v="0"/>
    <x v="0"/>
    <d v="1900-01-04T00:00:00"/>
    <n v="10"/>
    <x v="11"/>
    <x v="6"/>
  </r>
  <r>
    <x v="1728"/>
    <n v="-20"/>
    <x v="3590"/>
    <n v="1790.65"/>
    <s v="Complete Access"/>
    <x v="254"/>
    <x v="16"/>
    <x v="35"/>
    <d v="1900-01-04T00:00:00"/>
    <n v="10"/>
    <x v="11"/>
    <x v="6"/>
  </r>
  <r>
    <x v="1729"/>
    <n v="-20"/>
    <x v="3202"/>
    <n v="1480.16"/>
    <s v="Complete Access"/>
    <x v="601"/>
    <x v="0"/>
    <x v="0"/>
    <d v="1900-01-03T00:00:00"/>
    <n v="10"/>
    <x v="11"/>
    <x v="6"/>
  </r>
  <r>
    <x v="1729"/>
    <n v="-50"/>
    <x v="3591"/>
    <n v="1810.65"/>
    <s v="Complete Access"/>
    <x v="776"/>
    <x v="5"/>
    <x v="83"/>
    <d v="1900-01-03T00:00:00"/>
    <n v="10"/>
    <x v="11"/>
    <x v="6"/>
  </r>
  <r>
    <x v="1729"/>
    <n v="380.49"/>
    <x v="3592"/>
    <n v="1860.65"/>
    <s v="Complete Access"/>
    <x v="67"/>
    <x v="0"/>
    <x v="0"/>
    <d v="1900-01-03T00:00:00"/>
    <n v="10"/>
    <x v="11"/>
    <x v="6"/>
  </r>
  <r>
    <x v="1730"/>
    <n v="-515"/>
    <x v="3404"/>
    <n v="1575.16"/>
    <s v="Complete Access"/>
    <x v="783"/>
    <x v="19"/>
    <x v="61"/>
    <d v="1900-01-01T00:00:00"/>
    <n v="9"/>
    <x v="11"/>
    <x v="6"/>
  </r>
  <r>
    <x v="1730"/>
    <n v="-100"/>
    <x v="2274"/>
    <n v="2090.16"/>
    <s v="Complete Access"/>
    <x v="552"/>
    <x v="0"/>
    <x v="74"/>
    <d v="1900-01-01T00:00:00"/>
    <n v="9"/>
    <x v="11"/>
    <x v="6"/>
  </r>
  <r>
    <x v="1730"/>
    <n v="-15"/>
    <x v="3593"/>
    <n v="1560.16"/>
    <s v="Complete Access"/>
    <x v="186"/>
    <x v="1"/>
    <x v="5"/>
    <d v="1900-01-01T00:00:00"/>
    <n v="9"/>
    <x v="11"/>
    <x v="6"/>
  </r>
  <r>
    <x v="1730"/>
    <n v="-60"/>
    <x v="3594"/>
    <n v="1500.16"/>
    <s v="Complete Access"/>
    <x v="219"/>
    <x v="7"/>
    <x v="53"/>
    <d v="1900-01-01T00:00:00"/>
    <n v="9"/>
    <x v="11"/>
    <x v="6"/>
  </r>
  <r>
    <x v="1731"/>
    <n v="-166.4"/>
    <x v="3595"/>
    <n v="2190.16"/>
    <s v="Complete Access"/>
    <x v="76"/>
    <x v="2"/>
    <x v="2"/>
    <d v="1899-12-31T00:00:00"/>
    <n v="9"/>
    <x v="11"/>
    <x v="6"/>
  </r>
  <r>
    <x v="1731"/>
    <n v="-44.32"/>
    <x v="3596"/>
    <n v="2356.56"/>
    <s v="Complete Access"/>
    <x v="1"/>
    <x v="1"/>
    <x v="1"/>
    <d v="1899-12-31T00:00:00"/>
    <n v="9"/>
    <x v="11"/>
    <x v="6"/>
  </r>
  <r>
    <x v="1732"/>
    <n v="-1.99"/>
    <x v="2859"/>
    <n v="2576.2800000000002"/>
    <s v="Complete Access"/>
    <x v="61"/>
    <x v="1"/>
    <x v="1"/>
    <d v="1900-01-27T00:00:00"/>
    <n v="9"/>
    <x v="0"/>
    <x v="6"/>
  </r>
  <r>
    <x v="1732"/>
    <n v="-30.2"/>
    <x v="3597"/>
    <n v="2615.2600000000002"/>
    <s v="Complete Access"/>
    <x v="827"/>
    <x v="1"/>
    <x v="1"/>
    <d v="1900-01-27T00:00:00"/>
    <n v="9"/>
    <x v="0"/>
    <x v="6"/>
  </r>
  <r>
    <x v="1732"/>
    <n v="-175.4"/>
    <x v="3598"/>
    <n v="2400.88"/>
    <s v="Complete Access"/>
    <x v="741"/>
    <x v="16"/>
    <x v="81"/>
    <d v="1900-01-27T00:00:00"/>
    <n v="9"/>
    <x v="0"/>
    <x v="6"/>
  </r>
  <r>
    <x v="1732"/>
    <n v="-24.99"/>
    <x v="3599"/>
    <n v="2578.27"/>
    <s v="Complete Access"/>
    <x v="34"/>
    <x v="9"/>
    <x v="12"/>
    <d v="1900-01-27T00:00:00"/>
    <n v="9"/>
    <x v="0"/>
    <x v="6"/>
  </r>
  <r>
    <x v="1732"/>
    <n v="-12"/>
    <x v="3599"/>
    <n v="2603.2600000000002"/>
    <s v="Complete Access"/>
    <x v="34"/>
    <x v="9"/>
    <x v="12"/>
    <d v="1900-01-27T00:00:00"/>
    <n v="9"/>
    <x v="0"/>
    <x v="6"/>
  </r>
  <r>
    <x v="1733"/>
    <n v="-1.96"/>
    <x v="2859"/>
    <n v="1470.71"/>
    <s v="Complete Access"/>
    <x v="61"/>
    <x v="1"/>
    <x v="1"/>
    <d v="1900-01-26T00:00:00"/>
    <n v="9"/>
    <x v="0"/>
    <x v="6"/>
  </r>
  <r>
    <x v="1733"/>
    <n v="1182.25"/>
    <x v="3188"/>
    <n v="2645.46"/>
    <s v="Complete Access"/>
    <x v="14"/>
    <x v="6"/>
    <x v="9"/>
    <d v="1900-01-26T00:00:00"/>
    <n v="9"/>
    <x v="0"/>
    <x v="6"/>
  </r>
  <r>
    <x v="1733"/>
    <n v="-119.98"/>
    <x v="3600"/>
    <n v="1472.67"/>
    <s v="Complete Access"/>
    <x v="210"/>
    <x v="3"/>
    <x v="15"/>
    <d v="1900-01-26T00:00:00"/>
    <n v="9"/>
    <x v="0"/>
    <x v="6"/>
  </r>
  <r>
    <x v="1733"/>
    <n v="-7.5"/>
    <x v="3000"/>
    <n v="1463.21"/>
    <s v="Complete Access"/>
    <x v="687"/>
    <x v="1"/>
    <x v="5"/>
    <d v="1900-01-26T00:00:00"/>
    <n v="9"/>
    <x v="0"/>
    <x v="6"/>
  </r>
  <r>
    <x v="1734"/>
    <n v="-12"/>
    <x v="3601"/>
    <n v="1600.15"/>
    <s v="Complete Access"/>
    <x v="242"/>
    <x v="1"/>
    <x v="5"/>
    <d v="1900-01-25T00:00:00"/>
    <n v="9"/>
    <x v="0"/>
    <x v="6"/>
  </r>
  <r>
    <x v="1734"/>
    <n v="-31.83"/>
    <x v="3602"/>
    <n v="1612.15"/>
    <s v="Complete Access"/>
    <x v="1"/>
    <x v="1"/>
    <x v="1"/>
    <d v="1900-01-25T00:00:00"/>
    <n v="9"/>
    <x v="0"/>
    <x v="6"/>
  </r>
  <r>
    <x v="1734"/>
    <n v="-7.5"/>
    <x v="3000"/>
    <n v="1592.65"/>
    <s v="Complete Access"/>
    <x v="687"/>
    <x v="1"/>
    <x v="5"/>
    <d v="1900-01-25T00:00:00"/>
    <n v="9"/>
    <x v="0"/>
    <x v="6"/>
  </r>
  <r>
    <x v="1735"/>
    <n v="-1.1499999999999999"/>
    <x v="2859"/>
    <n v="1667.68"/>
    <s v="Complete Access"/>
    <x v="61"/>
    <x v="1"/>
    <x v="1"/>
    <d v="1900-01-24T00:00:00"/>
    <n v="9"/>
    <x v="0"/>
    <x v="6"/>
  </r>
  <r>
    <x v="1735"/>
    <n v="-40"/>
    <x v="3403"/>
    <n v="1621.98"/>
    <s v="Complete Access"/>
    <x v="601"/>
    <x v="0"/>
    <x v="0"/>
    <d v="1900-01-24T00:00:00"/>
    <n v="9"/>
    <x v="0"/>
    <x v="6"/>
  </r>
  <r>
    <x v="1735"/>
    <n v="22"/>
    <x v="3024"/>
    <n v="1643.98"/>
    <s v="Complete Access"/>
    <x v="27"/>
    <x v="1"/>
    <x v="5"/>
    <d v="1900-01-24T00:00:00"/>
    <n v="9"/>
    <x v="0"/>
    <x v="6"/>
  </r>
  <r>
    <x v="1735"/>
    <n v="-5.7"/>
    <x v="3000"/>
    <n v="1661.98"/>
    <s v="Complete Access"/>
    <x v="687"/>
    <x v="1"/>
    <x v="5"/>
    <d v="1900-01-24T00:00:00"/>
    <n v="9"/>
    <x v="0"/>
    <x v="6"/>
  </r>
  <r>
    <x v="1736"/>
    <n v="-515"/>
    <x v="3404"/>
    <n v="1671.63"/>
    <s v="Complete Access"/>
    <x v="783"/>
    <x v="19"/>
    <x v="61"/>
    <d v="1900-01-22T00:00:00"/>
    <n v="8"/>
    <x v="0"/>
    <x v="6"/>
  </r>
  <r>
    <x v="1736"/>
    <n v="-27.55"/>
    <x v="3603"/>
    <n v="2286.63"/>
    <s v="Complete Access"/>
    <x v="47"/>
    <x v="1"/>
    <x v="5"/>
    <d v="1900-01-22T00:00:00"/>
    <n v="8"/>
    <x v="0"/>
    <x v="6"/>
  </r>
  <r>
    <x v="1736"/>
    <n v="-100"/>
    <x v="2274"/>
    <n v="2186.63"/>
    <s v="Complete Access"/>
    <x v="552"/>
    <x v="0"/>
    <x v="74"/>
    <d v="1900-01-22T00:00:00"/>
    <n v="8"/>
    <x v="0"/>
    <x v="6"/>
  </r>
  <r>
    <x v="1736"/>
    <n v="-20.21"/>
    <x v="3604"/>
    <n v="2314.1799999999998"/>
    <s v="Complete Access"/>
    <x v="1"/>
    <x v="1"/>
    <x v="1"/>
    <d v="1900-01-22T00:00:00"/>
    <n v="8"/>
    <x v="0"/>
    <x v="6"/>
  </r>
  <r>
    <x v="1736"/>
    <n v="-2.8"/>
    <x v="3605"/>
    <n v="1668.83"/>
    <s v="Complete Access"/>
    <x v="828"/>
    <x v="1"/>
    <x v="5"/>
    <d v="1900-01-22T00:00:00"/>
    <n v="8"/>
    <x v="0"/>
    <x v="6"/>
  </r>
  <r>
    <x v="1737"/>
    <n v="30"/>
    <x v="3606"/>
    <n v="2383.84"/>
    <s v="Complete Access"/>
    <x v="8"/>
    <x v="1"/>
    <x v="5"/>
    <d v="1900-01-21T00:00:00"/>
    <n v="8"/>
    <x v="0"/>
    <x v="6"/>
  </r>
  <r>
    <x v="1737"/>
    <n v="-13.1"/>
    <x v="3607"/>
    <n v="2327.2399999999998"/>
    <s v="Complete Access"/>
    <x v="829"/>
    <x v="8"/>
    <x v="29"/>
    <d v="1900-01-21T00:00:00"/>
    <n v="8"/>
    <x v="0"/>
    <x v="6"/>
  </r>
  <r>
    <x v="1737"/>
    <n v="-43.5"/>
    <x v="3608"/>
    <n v="2340.34"/>
    <s v="Complete Access"/>
    <x v="260"/>
    <x v="1"/>
    <x v="5"/>
    <d v="1900-01-21T00:00:00"/>
    <n v="8"/>
    <x v="0"/>
    <x v="6"/>
  </r>
  <r>
    <x v="1737"/>
    <n v="7.15"/>
    <x v="2702"/>
    <n v="2334.39"/>
    <s v="Complete Access"/>
    <x v="6"/>
    <x v="4"/>
    <x v="4"/>
    <d v="1900-01-21T00:00:00"/>
    <n v="8"/>
    <x v="0"/>
    <x v="6"/>
  </r>
  <r>
    <x v="1738"/>
    <n v="-9.9"/>
    <x v="3609"/>
    <n v="2474.87"/>
    <s v="Complete Access"/>
    <x v="27"/>
    <x v="1"/>
    <x v="5"/>
    <d v="1900-01-20T00:00:00"/>
    <n v="8"/>
    <x v="0"/>
    <x v="6"/>
  </r>
  <r>
    <x v="1738"/>
    <n v="-2.0299999999999998"/>
    <x v="2859"/>
    <n v="2361.7399999999998"/>
    <s v="Complete Access"/>
    <x v="61"/>
    <x v="1"/>
    <x v="1"/>
    <d v="1900-01-20T00:00:00"/>
    <n v="8"/>
    <x v="0"/>
    <x v="6"/>
  </r>
  <r>
    <x v="1738"/>
    <n v="-30"/>
    <x v="3610"/>
    <n v="2413.77"/>
    <s v="Complete Access"/>
    <x v="8"/>
    <x v="1"/>
    <x v="5"/>
    <d v="1900-01-20T00:00:00"/>
    <n v="8"/>
    <x v="0"/>
    <x v="6"/>
  </r>
  <r>
    <x v="1738"/>
    <n v="-50"/>
    <x v="3547"/>
    <n v="2363.77"/>
    <s v="Complete Access"/>
    <x v="819"/>
    <x v="5"/>
    <x v="83"/>
    <d v="1900-01-20T00:00:00"/>
    <n v="8"/>
    <x v="0"/>
    <x v="6"/>
  </r>
  <r>
    <x v="1738"/>
    <n v="-31.1"/>
    <x v="3611"/>
    <n v="2443.77"/>
    <s v="Complete Access"/>
    <x v="609"/>
    <x v="1"/>
    <x v="1"/>
    <d v="1900-01-20T00:00:00"/>
    <n v="8"/>
    <x v="0"/>
    <x v="6"/>
  </r>
  <r>
    <x v="1738"/>
    <n v="-7.9"/>
    <x v="3000"/>
    <n v="2353.84"/>
    <s v="Complete Access"/>
    <x v="687"/>
    <x v="1"/>
    <x v="5"/>
    <d v="1900-01-20T00:00:00"/>
    <n v="8"/>
    <x v="0"/>
    <x v="6"/>
  </r>
  <r>
    <x v="1739"/>
    <n v="-3.79"/>
    <x v="2859"/>
    <n v="1300.8"/>
    <s v="Complete Access"/>
    <x v="61"/>
    <x v="1"/>
    <x v="1"/>
    <d v="1900-01-19T00:00:00"/>
    <n v="8"/>
    <x v="0"/>
    <x v="6"/>
  </r>
  <r>
    <x v="1739"/>
    <n v="1191.47"/>
    <x v="3188"/>
    <n v="2484.77"/>
    <s v="Complete Access"/>
    <x v="14"/>
    <x v="6"/>
    <x v="9"/>
    <d v="1900-01-19T00:00:00"/>
    <n v="8"/>
    <x v="0"/>
    <x v="6"/>
  </r>
  <r>
    <x v="1739"/>
    <n v="-7.5"/>
    <x v="3000"/>
    <n v="1293.3"/>
    <s v="Complete Access"/>
    <x v="687"/>
    <x v="1"/>
    <x v="5"/>
    <d v="1900-01-19T00:00:00"/>
    <n v="8"/>
    <x v="0"/>
    <x v="6"/>
  </r>
  <r>
    <x v="1740"/>
    <n v="-21"/>
    <x v="3612"/>
    <n v="1314.59"/>
    <s v="Complete Access"/>
    <x v="830"/>
    <x v="1"/>
    <x v="5"/>
    <d v="1900-01-18T00:00:00"/>
    <n v="8"/>
    <x v="0"/>
    <x v="6"/>
  </r>
  <r>
    <x v="1740"/>
    <n v="14"/>
    <x v="3024"/>
    <n v="1304.5899999999999"/>
    <s v="Complete Access"/>
    <x v="27"/>
    <x v="1"/>
    <x v="5"/>
    <d v="1900-01-18T00:00:00"/>
    <n v="8"/>
    <x v="0"/>
    <x v="6"/>
  </r>
  <r>
    <x v="1740"/>
    <n v="-16.5"/>
    <x v="3613"/>
    <n v="1298.0899999999999"/>
    <s v="Complete Access"/>
    <x v="1"/>
    <x v="1"/>
    <x v="1"/>
    <d v="1900-01-18T00:00:00"/>
    <n v="8"/>
    <x v="0"/>
    <x v="6"/>
  </r>
  <r>
    <x v="1740"/>
    <n v="-7.5"/>
    <x v="3000"/>
    <n v="1290.5899999999999"/>
    <s v="Complete Access"/>
    <x v="687"/>
    <x v="1"/>
    <x v="5"/>
    <d v="1900-01-18T00:00:00"/>
    <n v="8"/>
    <x v="0"/>
    <x v="6"/>
  </r>
  <r>
    <x v="1741"/>
    <n v="-7.58"/>
    <x v="2859"/>
    <n v="1343.49"/>
    <s v="Complete Access"/>
    <x v="61"/>
    <x v="1"/>
    <x v="1"/>
    <d v="1900-01-17T00:00:00"/>
    <n v="8"/>
    <x v="0"/>
    <x v="6"/>
  </r>
  <r>
    <x v="1741"/>
    <n v="-7.9"/>
    <x v="3000"/>
    <n v="1335.59"/>
    <s v="Complete Access"/>
    <x v="687"/>
    <x v="1"/>
    <x v="5"/>
    <d v="1900-01-17T00:00:00"/>
    <n v="8"/>
    <x v="0"/>
    <x v="6"/>
  </r>
  <r>
    <x v="1742"/>
    <n v="-515"/>
    <x v="3404"/>
    <n v="1351.07"/>
    <s v="Complete Access"/>
    <x v="783"/>
    <x v="19"/>
    <x v="61"/>
    <d v="1900-01-15T00:00:00"/>
    <n v="7"/>
    <x v="0"/>
    <x v="6"/>
  </r>
  <r>
    <x v="1742"/>
    <n v="-100"/>
    <x v="2274"/>
    <n v="1866.07"/>
    <s v="Complete Access"/>
    <x v="552"/>
    <x v="0"/>
    <x v="74"/>
    <d v="1900-01-15T00:00:00"/>
    <n v="7"/>
    <x v="0"/>
    <x v="6"/>
  </r>
  <r>
    <x v="1743"/>
    <n v="300"/>
    <x v="3578"/>
    <n v="1978.57"/>
    <s v="Complete Access"/>
    <x v="657"/>
    <x v="0"/>
    <x v="69"/>
    <d v="1900-01-14T00:00:00"/>
    <n v="7"/>
    <x v="0"/>
    <x v="6"/>
  </r>
  <r>
    <x v="1743"/>
    <n v="-12.5"/>
    <x v="3061"/>
    <n v="1966.07"/>
    <s v="Complete Access"/>
    <x v="27"/>
    <x v="1"/>
    <x v="5"/>
    <d v="1900-01-14T00:00:00"/>
    <n v="7"/>
    <x v="0"/>
    <x v="6"/>
  </r>
  <r>
    <x v="1743"/>
    <n v="-7.5"/>
    <x v="3000"/>
    <n v="1678.57"/>
    <s v="Complete Access"/>
    <x v="687"/>
    <x v="1"/>
    <x v="5"/>
    <d v="1900-01-14T00:00:00"/>
    <n v="7"/>
    <x v="0"/>
    <x v="6"/>
  </r>
  <r>
    <x v="1744"/>
    <n v="-7.31"/>
    <x v="2859"/>
    <n v="1889.37"/>
    <s v="Complete Access"/>
    <x v="61"/>
    <x v="1"/>
    <x v="1"/>
    <d v="1900-01-13T00:00:00"/>
    <n v="7"/>
    <x v="0"/>
    <x v="6"/>
  </r>
  <r>
    <x v="1744"/>
    <n v="-20"/>
    <x v="3403"/>
    <n v="1861.47"/>
    <s v="Complete Access"/>
    <x v="601"/>
    <x v="0"/>
    <x v="0"/>
    <d v="1900-01-13T00:00:00"/>
    <n v="7"/>
    <x v="0"/>
    <x v="6"/>
  </r>
  <r>
    <x v="1744"/>
    <n v="-175.4"/>
    <x v="3614"/>
    <n v="1686.07"/>
    <s v="Complete Access"/>
    <x v="741"/>
    <x v="16"/>
    <x v="81"/>
    <d v="1900-01-13T00:00:00"/>
    <n v="7"/>
    <x v="0"/>
    <x v="6"/>
  </r>
  <r>
    <x v="1744"/>
    <n v="-34.49"/>
    <x v="3615"/>
    <n v="1956.68"/>
    <s v="Complete Access"/>
    <x v="1"/>
    <x v="1"/>
    <x v="1"/>
    <d v="1900-01-13T00:00:00"/>
    <n v="7"/>
    <x v="0"/>
    <x v="6"/>
  </r>
  <r>
    <x v="1744"/>
    <n v="-7.9"/>
    <x v="3000"/>
    <n v="1881.47"/>
    <s v="Complete Access"/>
    <x v="687"/>
    <x v="1"/>
    <x v="5"/>
    <d v="1900-01-13T00:00:00"/>
    <n v="7"/>
    <x v="0"/>
    <x v="6"/>
  </r>
  <r>
    <x v="1744"/>
    <n v="-60"/>
    <x v="3616"/>
    <n v="1896.68"/>
    <s v="Complete Access"/>
    <x v="219"/>
    <x v="7"/>
    <x v="53"/>
    <d v="1900-01-13T00:00:00"/>
    <n v="7"/>
    <x v="0"/>
    <x v="6"/>
  </r>
  <r>
    <x v="1745"/>
    <n v="-40.51"/>
    <x v="3617"/>
    <n v="842.12"/>
    <s v="Complete Access"/>
    <x v="8"/>
    <x v="1"/>
    <x v="5"/>
    <d v="1900-01-12T00:00:00"/>
    <n v="7"/>
    <x v="0"/>
    <x v="6"/>
  </r>
  <r>
    <x v="1745"/>
    <n v="-18.8"/>
    <x v="3618"/>
    <n v="818.82"/>
    <s v="Complete Access"/>
    <x v="831"/>
    <x v="1"/>
    <x v="5"/>
    <d v="1900-01-12T00:00:00"/>
    <n v="7"/>
    <x v="0"/>
    <x v="6"/>
  </r>
  <r>
    <x v="1745"/>
    <n v="1182.25"/>
    <x v="3188"/>
    <n v="1991.17"/>
    <s v="Complete Access"/>
    <x v="14"/>
    <x v="6"/>
    <x v="9"/>
    <d v="1900-01-12T00:00:00"/>
    <n v="7"/>
    <x v="0"/>
    <x v="6"/>
  </r>
  <r>
    <x v="1745"/>
    <n v="-3"/>
    <x v="3619"/>
    <n v="808.92"/>
    <s v="Complete Access"/>
    <x v="27"/>
    <x v="1"/>
    <x v="5"/>
    <d v="1900-01-12T00:00:00"/>
    <n v="7"/>
    <x v="0"/>
    <x v="6"/>
  </r>
  <r>
    <x v="1745"/>
    <n v="-6.9"/>
    <x v="3000"/>
    <n v="811.92"/>
    <s v="Complete Access"/>
    <x v="687"/>
    <x v="1"/>
    <x v="5"/>
    <d v="1900-01-12T00:00:00"/>
    <n v="7"/>
    <x v="0"/>
    <x v="6"/>
  </r>
  <r>
    <x v="1745"/>
    <n v="-4.5"/>
    <x v="3620"/>
    <n v="837.62"/>
    <s v="Complete Access"/>
    <x v="34"/>
    <x v="9"/>
    <x v="12"/>
    <d v="1900-01-12T00:00:00"/>
    <n v="7"/>
    <x v="0"/>
    <x v="6"/>
  </r>
  <r>
    <x v="1746"/>
    <n v="-14.9"/>
    <x v="3000"/>
    <n v="882.63"/>
    <s v="Complete Access"/>
    <x v="687"/>
    <x v="1"/>
    <x v="5"/>
    <d v="1900-01-11T00:00:00"/>
    <n v="7"/>
    <x v="0"/>
    <x v="6"/>
  </r>
  <r>
    <x v="1747"/>
    <n v="-1.1100000000000001"/>
    <x v="2859"/>
    <n v="970.53"/>
    <s v="Complete Access"/>
    <x v="61"/>
    <x v="1"/>
    <x v="1"/>
    <d v="1900-01-10T00:00:00"/>
    <n v="7"/>
    <x v="0"/>
    <x v="6"/>
  </r>
  <r>
    <x v="1747"/>
    <n v="-73"/>
    <x v="2543"/>
    <n v="897.53"/>
    <s v="Complete Access"/>
    <x v="17"/>
    <x v="7"/>
    <x v="11"/>
    <d v="1900-01-10T00:00:00"/>
    <n v="7"/>
    <x v="0"/>
    <x v="6"/>
  </r>
  <r>
    <x v="1748"/>
    <n v="-20"/>
    <x v="3621"/>
    <n v="1026.6400000000001"/>
    <s v="Complete Access"/>
    <x v="601"/>
    <x v="0"/>
    <x v="0"/>
    <d v="1900-01-09T00:00:00"/>
    <n v="7"/>
    <x v="0"/>
    <x v="6"/>
  </r>
  <r>
    <x v="1748"/>
    <n v="-50"/>
    <x v="3622"/>
    <n v="974.14"/>
    <s v="Complete Access"/>
    <x v="601"/>
    <x v="0"/>
    <x v="0"/>
    <d v="1900-01-09T00:00:00"/>
    <n v="7"/>
    <x v="0"/>
    <x v="6"/>
  </r>
  <r>
    <x v="1748"/>
    <n v="-50"/>
    <x v="3547"/>
    <n v="1046.6400000000001"/>
    <s v="Complete Access"/>
    <x v="819"/>
    <x v="5"/>
    <x v="83"/>
    <d v="1900-01-09T00:00:00"/>
    <n v="7"/>
    <x v="0"/>
    <x v="6"/>
  </r>
  <r>
    <x v="1748"/>
    <n v="-2.5"/>
    <x v="72"/>
    <n v="971.64"/>
    <s v="Complete Access"/>
    <x v="37"/>
    <x v="0"/>
    <x v="0"/>
    <d v="1900-01-09T00:00:00"/>
    <n v="7"/>
    <x v="0"/>
    <x v="6"/>
  </r>
  <r>
    <x v="1748"/>
    <n v="-2.5"/>
    <x v="72"/>
    <n v="1024.1400000000001"/>
    <s v="Complete Access"/>
    <x v="37"/>
    <x v="0"/>
    <x v="0"/>
    <d v="1900-01-09T00:00:00"/>
    <n v="7"/>
    <x v="0"/>
    <x v="6"/>
  </r>
  <r>
    <x v="1748"/>
    <n v="-42"/>
    <x v="3308"/>
    <n v="1096.6400000000001"/>
    <s v="Complete Access"/>
    <x v="77"/>
    <x v="4"/>
    <x v="27"/>
    <d v="1900-01-09T00:00:00"/>
    <n v="7"/>
    <x v="0"/>
    <x v="6"/>
  </r>
  <r>
    <x v="1749"/>
    <n v="-515"/>
    <x v="3404"/>
    <n v="1174.0899999999999"/>
    <s v="Complete Access"/>
    <x v="783"/>
    <x v="19"/>
    <x v="61"/>
    <d v="1900-01-08T00:00:00"/>
    <n v="6"/>
    <x v="0"/>
    <x v="6"/>
  </r>
  <r>
    <x v="1749"/>
    <n v="-22.95"/>
    <x v="3623"/>
    <n v="1138.6400000000001"/>
    <s v="Complete Access"/>
    <x v="832"/>
    <x v="1"/>
    <x v="23"/>
    <d v="1900-01-08T00:00:00"/>
    <n v="6"/>
    <x v="0"/>
    <x v="6"/>
  </r>
  <r>
    <x v="1749"/>
    <n v="-100"/>
    <x v="2274"/>
    <n v="1689.09"/>
    <s v="Complete Access"/>
    <x v="552"/>
    <x v="0"/>
    <x v="74"/>
    <d v="1900-01-08T00:00:00"/>
    <n v="6"/>
    <x v="0"/>
    <x v="6"/>
  </r>
  <r>
    <x v="1749"/>
    <n v="-12.5"/>
    <x v="3624"/>
    <n v="1161.5899999999999"/>
    <s v="Complete Access"/>
    <x v="186"/>
    <x v="1"/>
    <x v="5"/>
    <d v="1900-01-08T00:00:00"/>
    <n v="6"/>
    <x v="0"/>
    <x v="6"/>
  </r>
  <r>
    <x v="1750"/>
    <n v="-0.72"/>
    <x v="2859"/>
    <n v="1802.59"/>
    <s v="Complete Access"/>
    <x v="61"/>
    <x v="1"/>
    <x v="1"/>
    <d v="1900-01-07T00:00:00"/>
    <n v="6"/>
    <x v="0"/>
    <x v="6"/>
  </r>
  <r>
    <x v="1750"/>
    <n v="-12.5"/>
    <x v="3625"/>
    <n v="1803.31"/>
    <s v="Complete Access"/>
    <x v="186"/>
    <x v="1"/>
    <x v="5"/>
    <d v="1900-01-07T00:00:00"/>
    <n v="6"/>
    <x v="0"/>
    <x v="6"/>
  </r>
  <r>
    <x v="1750"/>
    <n v="-13.5"/>
    <x v="3000"/>
    <n v="1789.09"/>
    <s v="Complete Access"/>
    <x v="687"/>
    <x v="1"/>
    <x v="5"/>
    <d v="1900-01-07T00:00:00"/>
    <n v="6"/>
    <x v="0"/>
    <x v="6"/>
  </r>
  <r>
    <x v="1751"/>
    <n v="-6.15"/>
    <x v="3626"/>
    <n v="1885.88"/>
    <s v="Complete Access"/>
    <x v="27"/>
    <x v="1"/>
    <x v="5"/>
    <d v="1900-01-06T00:00:00"/>
    <n v="6"/>
    <x v="0"/>
    <x v="6"/>
  </r>
  <r>
    <x v="1751"/>
    <n v="-4.96"/>
    <x v="2859"/>
    <n v="1815.81"/>
    <s v="Complete Access"/>
    <x v="61"/>
    <x v="1"/>
    <x v="1"/>
    <d v="1900-01-06T00:00:00"/>
    <n v="6"/>
    <x v="0"/>
    <x v="6"/>
  </r>
  <r>
    <x v="1751"/>
    <n v="-29.5"/>
    <x v="3627"/>
    <n v="1856.38"/>
    <s v="Complete Access"/>
    <x v="260"/>
    <x v="1"/>
    <x v="5"/>
    <d v="1900-01-06T00:00:00"/>
    <n v="6"/>
    <x v="0"/>
    <x v="6"/>
  </r>
  <r>
    <x v="1751"/>
    <n v="-35.61"/>
    <x v="3628"/>
    <n v="1820.77"/>
    <s v="Complete Access"/>
    <x v="1"/>
    <x v="1"/>
    <x v="1"/>
    <d v="1900-01-06T00:00:00"/>
    <n v="6"/>
    <x v="0"/>
    <x v="6"/>
  </r>
  <r>
    <x v="1752"/>
    <n v="-6.69"/>
    <x v="2859"/>
    <n v="892.83"/>
    <s v="Complete Access"/>
    <x v="61"/>
    <x v="1"/>
    <x v="1"/>
    <d v="1900-01-05T00:00:00"/>
    <n v="6"/>
    <x v="0"/>
    <x v="6"/>
  </r>
  <r>
    <x v="1752"/>
    <n v="-36"/>
    <x v="3629"/>
    <n v="958.52"/>
    <s v="Complete Access"/>
    <x v="8"/>
    <x v="1"/>
    <x v="5"/>
    <d v="1900-01-05T00:00:00"/>
    <n v="6"/>
    <x v="0"/>
    <x v="6"/>
  </r>
  <r>
    <x v="1752"/>
    <n v="999.2"/>
    <x v="3188"/>
    <n v="1892.03"/>
    <s v="Complete Access"/>
    <x v="14"/>
    <x v="6"/>
    <x v="9"/>
    <d v="1900-01-05T00:00:00"/>
    <n v="6"/>
    <x v="0"/>
    <x v="6"/>
  </r>
  <r>
    <x v="1752"/>
    <n v="-59"/>
    <x v="3630"/>
    <n v="899.52"/>
    <s v="Complete Access"/>
    <x v="347"/>
    <x v="3"/>
    <x v="62"/>
    <d v="1900-01-05T00:00:00"/>
    <n v="6"/>
    <x v="0"/>
    <x v="6"/>
  </r>
  <r>
    <x v="1753"/>
    <n v="-0.96"/>
    <x v="2859"/>
    <n v="1008.02"/>
    <s v="Complete Access"/>
    <x v="61"/>
    <x v="1"/>
    <x v="1"/>
    <d v="1900-01-04T00:00:00"/>
    <n v="6"/>
    <x v="0"/>
    <x v="6"/>
  </r>
  <r>
    <x v="1753"/>
    <n v="-30"/>
    <x v="3631"/>
    <n v="1008.98"/>
    <s v="Complete Access"/>
    <x v="8"/>
    <x v="1"/>
    <x v="5"/>
    <d v="1900-01-04T00:00:00"/>
    <n v="6"/>
    <x v="0"/>
    <x v="6"/>
  </r>
  <r>
    <x v="1753"/>
    <n v="-11.61"/>
    <x v="3632"/>
    <n v="1038.98"/>
    <s v="Complete Access"/>
    <x v="609"/>
    <x v="1"/>
    <x v="1"/>
    <d v="1900-01-04T00:00:00"/>
    <n v="6"/>
    <x v="0"/>
    <x v="6"/>
  </r>
  <r>
    <x v="1753"/>
    <n v="-13.5"/>
    <x v="3000"/>
    <n v="994.52"/>
    <s v="Complete Access"/>
    <x v="687"/>
    <x v="1"/>
    <x v="5"/>
    <d v="1900-01-04T00:00:00"/>
    <n v="6"/>
    <x v="0"/>
    <x v="6"/>
  </r>
  <r>
    <x v="1754"/>
    <n v="-1.85"/>
    <x v="2859"/>
    <n v="1064.0899999999999"/>
    <s v="Complete Access"/>
    <x v="61"/>
    <x v="1"/>
    <x v="1"/>
    <d v="1900-01-03T00:00:00"/>
    <n v="6"/>
    <x v="0"/>
    <x v="6"/>
  </r>
  <r>
    <x v="1754"/>
    <n v="-13.5"/>
    <x v="3000"/>
    <n v="1050.5899999999999"/>
    <s v="Complete Access"/>
    <x v="687"/>
    <x v="1"/>
    <x v="5"/>
    <d v="1900-01-03T00:00:00"/>
    <n v="6"/>
    <x v="0"/>
    <x v="6"/>
  </r>
  <r>
    <x v="1755"/>
    <n v="-515"/>
    <x v="3404"/>
    <n v="1070.44"/>
    <s v="Complete Access"/>
    <x v="783"/>
    <x v="19"/>
    <x v="61"/>
    <d v="1900-01-01T00:00:00"/>
    <n v="5"/>
    <x v="0"/>
    <x v="6"/>
  </r>
  <r>
    <x v="1755"/>
    <n v="-100"/>
    <x v="2274"/>
    <n v="1585.44"/>
    <s v="Complete Access"/>
    <x v="552"/>
    <x v="0"/>
    <x v="74"/>
    <d v="1900-01-01T00:00:00"/>
    <n v="5"/>
    <x v="0"/>
    <x v="6"/>
  </r>
  <r>
    <x v="1755"/>
    <n v="-4.5"/>
    <x v="3633"/>
    <n v="1065.94"/>
    <s v="Complete Access"/>
    <x v="1"/>
    <x v="1"/>
    <x v="1"/>
    <d v="1900-01-01T00:00:00"/>
    <n v="5"/>
    <x v="0"/>
    <x v="6"/>
  </r>
  <r>
    <x v="1756"/>
    <n v="-5.2"/>
    <x v="2859"/>
    <n v="1851.84"/>
    <s v="Complete Access"/>
    <x v="61"/>
    <x v="1"/>
    <x v="1"/>
    <d v="1899-12-31T00:00:00"/>
    <n v="5"/>
    <x v="0"/>
    <x v="6"/>
  </r>
  <r>
    <x v="1756"/>
    <n v="-166.4"/>
    <x v="3634"/>
    <n v="1685.44"/>
    <s v="Complete Access"/>
    <x v="76"/>
    <x v="2"/>
    <x v="2"/>
    <d v="1899-12-31T00:00:00"/>
    <n v="5"/>
    <x v="0"/>
    <x v="6"/>
  </r>
  <r>
    <x v="1756"/>
    <n v="-14.9"/>
    <x v="3635"/>
    <n v="1857.04"/>
    <s v="Complete Access"/>
    <x v="186"/>
    <x v="1"/>
    <x v="5"/>
    <d v="1899-12-31T00:00:00"/>
    <n v="5"/>
    <x v="0"/>
    <x v="6"/>
  </r>
  <r>
    <x v="1757"/>
    <n v="-12.6"/>
    <x v="3636"/>
    <n v="2194.8200000000002"/>
    <s v="Complete Access"/>
    <x v="668"/>
    <x v="15"/>
    <x v="34"/>
    <d v="1900-01-30T00:00:00"/>
    <n v="5"/>
    <x v="1"/>
    <x v="6"/>
  </r>
  <r>
    <x v="1757"/>
    <n v="-1.55"/>
    <x v="2859"/>
    <n v="2078.39"/>
    <s v="Complete Access"/>
    <x v="61"/>
    <x v="1"/>
    <x v="1"/>
    <d v="1900-01-30T00:00:00"/>
    <n v="5"/>
    <x v="1"/>
    <x v="6"/>
  </r>
  <r>
    <x v="1757"/>
    <n v="-34.9"/>
    <x v="3637"/>
    <n v="2129.94"/>
    <s v="Complete Access"/>
    <x v="8"/>
    <x v="1"/>
    <x v="5"/>
    <d v="1900-01-30T00:00:00"/>
    <n v="5"/>
    <x v="1"/>
    <x v="6"/>
  </r>
  <r>
    <x v="1757"/>
    <n v="-4.4000000000000004"/>
    <x v="3638"/>
    <n v="2220.2199999999998"/>
    <s v="Complete Access"/>
    <x v="819"/>
    <x v="5"/>
    <x v="83"/>
    <d v="1900-01-30T00:00:00"/>
    <n v="5"/>
    <x v="1"/>
    <x v="6"/>
  </r>
  <r>
    <x v="1757"/>
    <n v="-4.4000000000000004"/>
    <x v="3638"/>
    <n v="2224.62"/>
    <s v="Complete Access"/>
    <x v="819"/>
    <x v="5"/>
    <x v="83"/>
    <d v="1900-01-30T00:00:00"/>
    <n v="5"/>
    <x v="1"/>
    <x v="6"/>
  </r>
  <r>
    <x v="1757"/>
    <n v="-50"/>
    <x v="3547"/>
    <n v="2079.94"/>
    <s v="Complete Access"/>
    <x v="819"/>
    <x v="5"/>
    <x v="83"/>
    <d v="1900-01-30T00:00:00"/>
    <n v="5"/>
    <x v="1"/>
    <x v="6"/>
  </r>
  <r>
    <x v="1757"/>
    <n v="-17.149999999999999"/>
    <x v="3441"/>
    <n v="2047.34"/>
    <s v="Complete Access"/>
    <x v="177"/>
    <x v="1"/>
    <x v="1"/>
    <d v="1900-01-30T00:00:00"/>
    <n v="5"/>
    <x v="1"/>
    <x v="6"/>
  </r>
  <r>
    <x v="1757"/>
    <n v="-12.8"/>
    <x v="3639"/>
    <n v="2207.42"/>
    <s v="Complete Access"/>
    <x v="833"/>
    <x v="1"/>
    <x v="5"/>
    <d v="1900-01-30T00:00:00"/>
    <n v="5"/>
    <x v="1"/>
    <x v="6"/>
  </r>
  <r>
    <x v="1757"/>
    <n v="-29.98"/>
    <x v="3640"/>
    <n v="2164.84"/>
    <s v="Complete Access"/>
    <x v="794"/>
    <x v="3"/>
    <x v="15"/>
    <d v="1900-01-30T00:00:00"/>
    <n v="5"/>
    <x v="1"/>
    <x v="6"/>
  </r>
  <r>
    <x v="1757"/>
    <n v="-175.4"/>
    <x v="3641"/>
    <n v="1871.94"/>
    <s v="Complete Access"/>
    <x v="741"/>
    <x v="16"/>
    <x v="81"/>
    <d v="1900-01-30T00:00:00"/>
    <n v="5"/>
    <x v="1"/>
    <x v="6"/>
  </r>
  <r>
    <x v="1757"/>
    <n v="-13.5"/>
    <x v="3642"/>
    <n v="2229.02"/>
    <s v="Complete Access"/>
    <x v="687"/>
    <x v="1"/>
    <x v="5"/>
    <d v="1900-01-30T00:00:00"/>
    <n v="5"/>
    <x v="1"/>
    <x v="6"/>
  </r>
  <r>
    <x v="1757"/>
    <n v="-13.9"/>
    <x v="3000"/>
    <n v="2064.4899999999998"/>
    <s v="Complete Access"/>
    <x v="687"/>
    <x v="1"/>
    <x v="5"/>
    <d v="1900-01-30T00:00:00"/>
    <n v="5"/>
    <x v="1"/>
    <x v="6"/>
  </r>
  <r>
    <x v="1758"/>
    <n v="-0.97"/>
    <x v="3643"/>
    <n v="1124.08"/>
    <s v="Complete Access"/>
    <x v="61"/>
    <x v="1"/>
    <x v="1"/>
    <d v="1900-01-29T00:00:00"/>
    <n v="5"/>
    <x v="1"/>
    <x v="6"/>
  </r>
  <r>
    <x v="1758"/>
    <n v="-4.3099999999999996"/>
    <x v="2859"/>
    <n v="1060.27"/>
    <s v="Complete Access"/>
    <x v="61"/>
    <x v="1"/>
    <x v="1"/>
    <d v="1900-01-29T00:00:00"/>
    <n v="5"/>
    <x v="1"/>
    <x v="6"/>
  </r>
  <r>
    <x v="1758"/>
    <n v="-30"/>
    <x v="3644"/>
    <n v="1064.58"/>
    <s v="Complete Access"/>
    <x v="8"/>
    <x v="1"/>
    <x v="5"/>
    <d v="1900-01-29T00:00:00"/>
    <n v="5"/>
    <x v="1"/>
    <x v="6"/>
  </r>
  <r>
    <x v="1758"/>
    <n v="1182.25"/>
    <x v="3188"/>
    <n v="2242.52"/>
    <s v="Complete Access"/>
    <x v="14"/>
    <x v="6"/>
    <x v="9"/>
    <d v="1900-01-29T00:00:00"/>
    <n v="5"/>
    <x v="1"/>
    <x v="6"/>
  </r>
  <r>
    <x v="1758"/>
    <n v="-29.5"/>
    <x v="3645"/>
    <n v="1094.58"/>
    <s v="Complete Access"/>
    <x v="834"/>
    <x v="8"/>
    <x v="29"/>
    <d v="1900-01-29T00:00:00"/>
    <n v="5"/>
    <x v="1"/>
    <x v="6"/>
  </r>
  <r>
    <x v="1758"/>
    <n v="-13.5"/>
    <x v="3646"/>
    <n v="1125.05"/>
    <s v="Complete Access"/>
    <x v="687"/>
    <x v="1"/>
    <x v="5"/>
    <d v="1900-01-29T00:00:00"/>
    <n v="5"/>
    <x v="1"/>
    <x v="6"/>
  </r>
  <r>
    <x v="1759"/>
    <n v="-3.14"/>
    <x v="2859"/>
    <n v="1138.55"/>
    <s v="Complete Access"/>
    <x v="61"/>
    <x v="1"/>
    <x v="1"/>
    <d v="1900-01-28T00:00:00"/>
    <n v="5"/>
    <x v="1"/>
    <x v="6"/>
  </r>
  <r>
    <x v="1760"/>
    <n v="-18.38"/>
    <x v="3647"/>
    <n v="1157.69"/>
    <s v="Complete Access"/>
    <x v="835"/>
    <x v="15"/>
    <x v="34"/>
    <d v="1900-01-27T00:00:00"/>
    <n v="5"/>
    <x v="1"/>
    <x v="6"/>
  </r>
  <r>
    <x v="1760"/>
    <n v="-16"/>
    <x v="3450"/>
    <n v="1141.69"/>
    <s v="Complete Access"/>
    <x v="796"/>
    <x v="20"/>
    <x v="63"/>
    <d v="1900-01-27T00:00:00"/>
    <n v="5"/>
    <x v="1"/>
    <x v="6"/>
  </r>
  <r>
    <x v="1760"/>
    <n v="-19.28"/>
    <x v="3648"/>
    <n v="1176.07"/>
    <s v="Complete Access"/>
    <x v="836"/>
    <x v="8"/>
    <x v="29"/>
    <d v="1900-01-27T00:00:00"/>
    <n v="5"/>
    <x v="1"/>
    <x v="6"/>
  </r>
  <r>
    <x v="1760"/>
    <n v="-20.3"/>
    <x v="3648"/>
    <n v="1195.3499999999999"/>
    <s v="Complete Access"/>
    <x v="836"/>
    <x v="8"/>
    <x v="29"/>
    <d v="1900-01-27T00:00:00"/>
    <n v="5"/>
    <x v="1"/>
    <x v="6"/>
  </r>
  <r>
    <x v="1761"/>
    <n v="-20"/>
    <x v="3649"/>
    <n v="1235.95"/>
    <s v="Complete Access"/>
    <x v="83"/>
    <x v="8"/>
    <x v="29"/>
    <d v="1900-01-26T00:00:00"/>
    <n v="5"/>
    <x v="1"/>
    <x v="6"/>
  </r>
  <r>
    <x v="1761"/>
    <n v="-25"/>
    <x v="3649"/>
    <n v="1255.95"/>
    <s v="Complete Access"/>
    <x v="83"/>
    <x v="8"/>
    <x v="29"/>
    <d v="1900-01-26T00:00:00"/>
    <n v="5"/>
    <x v="1"/>
    <x v="6"/>
  </r>
  <r>
    <x v="1761"/>
    <n v="-6.5"/>
    <x v="3650"/>
    <n v="1280.95"/>
    <s v="Complete Access"/>
    <x v="837"/>
    <x v="8"/>
    <x v="29"/>
    <d v="1900-01-26T00:00:00"/>
    <n v="5"/>
    <x v="1"/>
    <x v="6"/>
  </r>
  <r>
    <x v="1761"/>
    <n v="-11.7"/>
    <x v="3651"/>
    <n v="1287.45"/>
    <s v="Complete Access"/>
    <x v="693"/>
    <x v="1"/>
    <x v="5"/>
    <d v="1900-01-26T00:00:00"/>
    <n v="5"/>
    <x v="1"/>
    <x v="6"/>
  </r>
  <r>
    <x v="1761"/>
    <n v="-20.3"/>
    <x v="3652"/>
    <n v="1215.6500000000001"/>
    <s v="Complete Access"/>
    <x v="836"/>
    <x v="8"/>
    <x v="29"/>
    <d v="1900-01-26T00:00:00"/>
    <n v="5"/>
    <x v="1"/>
    <x v="6"/>
  </r>
  <r>
    <x v="1762"/>
    <n v="-515"/>
    <x v="3404"/>
    <n v="1321.65"/>
    <s v="Complete Access"/>
    <x v="783"/>
    <x v="19"/>
    <x v="61"/>
    <d v="1900-01-25T00:00:00"/>
    <n v="4"/>
    <x v="1"/>
    <x v="6"/>
  </r>
  <r>
    <x v="1762"/>
    <n v="-22.5"/>
    <x v="3653"/>
    <n v="1299.1500000000001"/>
    <s v="Complete Access"/>
    <x v="796"/>
    <x v="20"/>
    <x v="63"/>
    <d v="1900-01-25T00:00:00"/>
    <n v="4"/>
    <x v="1"/>
    <x v="6"/>
  </r>
  <r>
    <x v="1762"/>
    <n v="-100"/>
    <x v="2274"/>
    <n v="1836.65"/>
    <s v="Complete Access"/>
    <x v="552"/>
    <x v="0"/>
    <x v="74"/>
    <d v="1900-01-25T00:00:00"/>
    <n v="4"/>
    <x v="1"/>
    <x v="6"/>
  </r>
  <r>
    <x v="1763"/>
    <n v="-4.24"/>
    <x v="3654"/>
    <n v="2070.15"/>
    <s v="Complete Access"/>
    <x v="61"/>
    <x v="1"/>
    <x v="1"/>
    <d v="1900-01-24T00:00:00"/>
    <n v="4"/>
    <x v="1"/>
    <x v="6"/>
  </r>
  <r>
    <x v="1763"/>
    <n v="-100"/>
    <x v="3403"/>
    <n v="1970.15"/>
    <s v="Complete Access"/>
    <x v="601"/>
    <x v="0"/>
    <x v="0"/>
    <d v="1900-01-24T00:00:00"/>
    <n v="4"/>
    <x v="1"/>
    <x v="6"/>
  </r>
  <r>
    <x v="1763"/>
    <n v="-33.5"/>
    <x v="3623"/>
    <n v="1936.65"/>
    <s v="Complete Access"/>
    <x v="832"/>
    <x v="1"/>
    <x v="23"/>
    <d v="1900-01-24T00:00:00"/>
    <n v="4"/>
    <x v="1"/>
    <x v="6"/>
  </r>
  <r>
    <x v="1763"/>
    <n v="-26.68"/>
    <x v="3655"/>
    <n v="2082.1799999999998"/>
    <s v="Complete Access"/>
    <x v="785"/>
    <x v="9"/>
    <x v="12"/>
    <d v="1900-01-24T00:00:00"/>
    <n v="4"/>
    <x v="1"/>
    <x v="6"/>
  </r>
  <r>
    <x v="1763"/>
    <n v="-7.79"/>
    <x v="3656"/>
    <n v="2074.39"/>
    <s v="Complete Access"/>
    <x v="1"/>
    <x v="1"/>
    <x v="1"/>
    <d v="1900-01-24T00:00:00"/>
    <n v="4"/>
    <x v="1"/>
    <x v="6"/>
  </r>
  <r>
    <x v="1764"/>
    <n v="-2.0499999999999998"/>
    <x v="3657"/>
    <n v="2108.86"/>
    <s v="Complete Access"/>
    <x v="61"/>
    <x v="1"/>
    <x v="1"/>
    <d v="1900-01-23T00:00:00"/>
    <n v="4"/>
    <x v="1"/>
    <x v="6"/>
  </r>
  <r>
    <x v="1764"/>
    <n v="-28.82"/>
    <x v="3658"/>
    <n v="2125.81"/>
    <s v="Complete Access"/>
    <x v="1"/>
    <x v="1"/>
    <x v="1"/>
    <d v="1900-01-23T00:00:00"/>
    <n v="4"/>
    <x v="1"/>
    <x v="6"/>
  </r>
  <r>
    <x v="1764"/>
    <n v="-14.9"/>
    <x v="3659"/>
    <n v="2110.91"/>
    <s v="Complete Access"/>
    <x v="186"/>
    <x v="1"/>
    <x v="5"/>
    <d v="1900-01-23T00:00:00"/>
    <n v="4"/>
    <x v="1"/>
    <x v="6"/>
  </r>
  <r>
    <x v="1764"/>
    <n v="-13.5"/>
    <x v="3660"/>
    <n v="2210.63"/>
    <s v="Complete Access"/>
    <x v="687"/>
    <x v="1"/>
    <x v="5"/>
    <d v="1900-01-23T00:00:00"/>
    <n v="4"/>
    <x v="1"/>
    <x v="6"/>
  </r>
  <r>
    <x v="1765"/>
    <n v="-1.91"/>
    <x v="3661"/>
    <n v="1041.8800000000001"/>
    <s v="Complete Access"/>
    <x v="61"/>
    <x v="1"/>
    <x v="1"/>
    <d v="1900-01-22T00:00:00"/>
    <n v="4"/>
    <x v="1"/>
    <x v="6"/>
  </r>
  <r>
    <x v="1765"/>
    <n v="-30"/>
    <x v="3662"/>
    <n v="2218.04"/>
    <s v="Complete Access"/>
    <x v="8"/>
    <x v="1"/>
    <x v="5"/>
    <d v="1900-01-22T00:00:00"/>
    <n v="4"/>
    <x v="1"/>
    <x v="6"/>
  </r>
  <r>
    <x v="1765"/>
    <n v="-1157.75"/>
    <x v="3663"/>
    <n v="1060.29"/>
    <s v="Complete Access"/>
    <x v="838"/>
    <x v="4"/>
    <x v="17"/>
    <d v="1900-01-22T00:00:00"/>
    <n v="4"/>
    <x v="1"/>
    <x v="6"/>
  </r>
  <r>
    <x v="1765"/>
    <n v="1182.25"/>
    <x v="3188"/>
    <n v="2224.13"/>
    <s v="Complete Access"/>
    <x v="14"/>
    <x v="6"/>
    <x v="9"/>
    <d v="1900-01-22T00:00:00"/>
    <n v="4"/>
    <x v="1"/>
    <x v="6"/>
  </r>
  <r>
    <x v="1765"/>
    <n v="-9.99"/>
    <x v="3664"/>
    <n v="2248.04"/>
    <s v="Complete Access"/>
    <x v="373"/>
    <x v="8"/>
    <x v="7"/>
    <d v="1900-01-22T00:00:00"/>
    <n v="4"/>
    <x v="1"/>
    <x v="6"/>
  </r>
  <r>
    <x v="1765"/>
    <n v="-16.5"/>
    <x v="3665"/>
    <n v="1043.79"/>
    <s v="Complete Access"/>
    <x v="34"/>
    <x v="9"/>
    <x v="12"/>
    <d v="1900-01-22T00:00:00"/>
    <n v="4"/>
    <x v="1"/>
    <x v="6"/>
  </r>
  <r>
    <x v="1766"/>
    <n v="-1.8"/>
    <x v="3666"/>
    <n v="1758.03"/>
    <s v="Complete Access"/>
    <x v="61"/>
    <x v="1"/>
    <x v="1"/>
    <d v="1900-01-21T00:00:00"/>
    <n v="4"/>
    <x v="1"/>
    <x v="6"/>
  </r>
  <r>
    <x v="1766"/>
    <n v="-50"/>
    <x v="3667"/>
    <n v="1785.83"/>
    <s v="Complete Access"/>
    <x v="819"/>
    <x v="5"/>
    <x v="83"/>
    <d v="1900-01-21T00:00:00"/>
    <n v="4"/>
    <x v="1"/>
    <x v="6"/>
  </r>
  <r>
    <x v="1766"/>
    <n v="500"/>
    <x v="3407"/>
    <n v="2258.0300000000002"/>
    <s v="Complete Access"/>
    <x v="0"/>
    <x v="0"/>
    <x v="0"/>
    <d v="1900-01-21T00:00:00"/>
    <n v="4"/>
    <x v="1"/>
    <x v="6"/>
  </r>
  <r>
    <x v="1766"/>
    <n v="-12.5"/>
    <x v="3668"/>
    <n v="1759.83"/>
    <s v="Complete Access"/>
    <x v="186"/>
    <x v="1"/>
    <x v="5"/>
    <d v="1900-01-21T00:00:00"/>
    <n v="4"/>
    <x v="1"/>
    <x v="6"/>
  </r>
  <r>
    <x v="1766"/>
    <n v="-13.5"/>
    <x v="3669"/>
    <n v="1772.33"/>
    <s v="Complete Access"/>
    <x v="687"/>
    <x v="1"/>
    <x v="5"/>
    <d v="1900-01-21T00:00:00"/>
    <n v="4"/>
    <x v="1"/>
    <x v="6"/>
  </r>
  <r>
    <x v="1766"/>
    <n v="-13.5"/>
    <x v="3669"/>
    <n v="1772.33"/>
    <s v="Complete Access"/>
    <x v="687"/>
    <x v="1"/>
    <x v="5"/>
    <d v="1900-01-21T00:00:00"/>
    <n v="4"/>
    <x v="1"/>
    <x v="6"/>
  </r>
  <r>
    <x v="1767"/>
    <n v="-56"/>
    <x v="3670"/>
    <n v="2154.63"/>
    <s v="Complete Access"/>
    <x v="739"/>
    <x v="4"/>
    <x v="20"/>
    <d v="1900-01-18T00:00:00"/>
    <n v="3"/>
    <x v="1"/>
    <x v="6"/>
  </r>
  <r>
    <x v="1767"/>
    <n v="-515"/>
    <x v="3404"/>
    <n v="1835.83"/>
    <s v="Complete Access"/>
    <x v="783"/>
    <x v="19"/>
    <x v="61"/>
    <d v="1900-01-18T00:00:00"/>
    <n v="3"/>
    <x v="1"/>
    <x v="6"/>
  </r>
  <r>
    <x v="1767"/>
    <n v="-100"/>
    <x v="2274"/>
    <n v="2350.83"/>
    <s v="Complete Access"/>
    <x v="552"/>
    <x v="0"/>
    <x v="74"/>
    <d v="1900-01-18T00:00:00"/>
    <n v="3"/>
    <x v="1"/>
    <x v="6"/>
  </r>
  <r>
    <x v="1767"/>
    <n v="-13.5"/>
    <x v="3671"/>
    <n v="2450.83"/>
    <s v="Complete Access"/>
    <x v="687"/>
    <x v="1"/>
    <x v="5"/>
    <d v="1900-01-18T00:00:00"/>
    <n v="3"/>
    <x v="1"/>
    <x v="6"/>
  </r>
  <r>
    <x v="1768"/>
    <n v="-1.79"/>
    <x v="3672"/>
    <n v="2362.33"/>
    <s v="Complete Access"/>
    <x v="61"/>
    <x v="1"/>
    <x v="1"/>
    <d v="1900-01-17T00:00:00"/>
    <n v="3"/>
    <x v="1"/>
    <x v="6"/>
  </r>
  <r>
    <x v="1768"/>
    <n v="102"/>
    <x v="3188"/>
    <n v="2464.33"/>
    <s v="Complete Access"/>
    <x v="14"/>
    <x v="6"/>
    <x v="9"/>
    <d v="1900-01-17T00:00:00"/>
    <n v="3"/>
    <x v="1"/>
    <x v="6"/>
  </r>
  <r>
    <x v="1769"/>
    <n v="-12.65"/>
    <x v="3673"/>
    <n v="2622.94"/>
    <s v="Complete Access"/>
    <x v="839"/>
    <x v="1"/>
    <x v="85"/>
    <d v="1900-01-16T00:00:00"/>
    <n v="3"/>
    <x v="1"/>
    <x v="6"/>
  </r>
  <r>
    <x v="1769"/>
    <n v="-1.04"/>
    <x v="3674"/>
    <n v="2554.9"/>
    <s v="Complete Access"/>
    <x v="61"/>
    <x v="1"/>
    <x v="1"/>
    <d v="1900-01-16T00:00:00"/>
    <n v="3"/>
    <x v="1"/>
    <x v="6"/>
  </r>
  <r>
    <x v="1769"/>
    <n v="-33.5"/>
    <x v="3675"/>
    <n v="2555.94"/>
    <s v="Complete Access"/>
    <x v="8"/>
    <x v="1"/>
    <x v="5"/>
    <d v="1900-01-16T00:00:00"/>
    <n v="3"/>
    <x v="1"/>
    <x v="6"/>
  </r>
  <r>
    <x v="1769"/>
    <n v="-15.38"/>
    <x v="3676"/>
    <n v="2539.52"/>
    <s v="Complete Access"/>
    <x v="840"/>
    <x v="3"/>
    <x v="60"/>
    <d v="1900-01-16T00:00:00"/>
    <n v="3"/>
    <x v="1"/>
    <x v="6"/>
  </r>
  <r>
    <x v="1769"/>
    <n v="-175.4"/>
    <x v="3677"/>
    <n v="2364.12"/>
    <s v="Complete Access"/>
    <x v="741"/>
    <x v="16"/>
    <x v="81"/>
    <d v="1900-01-16T00:00:00"/>
    <n v="3"/>
    <x v="1"/>
    <x v="6"/>
  </r>
  <r>
    <x v="1769"/>
    <n v="-18.600000000000001"/>
    <x v="3678"/>
    <n v="2604.34"/>
    <s v="Complete Access"/>
    <x v="1"/>
    <x v="1"/>
    <x v="1"/>
    <d v="1900-01-16T00:00:00"/>
    <n v="3"/>
    <x v="1"/>
    <x v="6"/>
  </r>
  <r>
    <x v="1769"/>
    <n v="-14.9"/>
    <x v="3679"/>
    <n v="2589.44"/>
    <s v="Complete Access"/>
    <x v="186"/>
    <x v="1"/>
    <x v="5"/>
    <d v="1900-01-16T00:00:00"/>
    <n v="3"/>
    <x v="1"/>
    <x v="6"/>
  </r>
  <r>
    <x v="1770"/>
    <n v="-7.96"/>
    <x v="3680"/>
    <n v="1555.34"/>
    <s v="Complete Access"/>
    <x v="61"/>
    <x v="1"/>
    <x v="1"/>
    <d v="1900-01-15T00:00:00"/>
    <n v="3"/>
    <x v="1"/>
    <x v="6"/>
  </r>
  <r>
    <x v="1770"/>
    <n v="1080.25"/>
    <x v="3188"/>
    <n v="2635.59"/>
    <s v="Complete Access"/>
    <x v="14"/>
    <x v="6"/>
    <x v="9"/>
    <d v="1900-01-15T00:00:00"/>
    <n v="3"/>
    <x v="1"/>
    <x v="6"/>
  </r>
  <r>
    <x v="1771"/>
    <n v="-37.64"/>
    <x v="3681"/>
    <n v="1723.89"/>
    <s v="Complete Access"/>
    <x v="841"/>
    <x v="2"/>
    <x v="86"/>
    <d v="1900-01-14T00:00:00"/>
    <n v="3"/>
    <x v="1"/>
    <x v="6"/>
  </r>
  <r>
    <x v="1771"/>
    <n v="-7.58"/>
    <x v="3682"/>
    <n v="1563.3"/>
    <s v="Complete Access"/>
    <x v="61"/>
    <x v="1"/>
    <x v="1"/>
    <d v="1900-01-14T00:00:00"/>
    <n v="3"/>
    <x v="1"/>
    <x v="6"/>
  </r>
  <r>
    <x v="1771"/>
    <n v="-1.71"/>
    <x v="3683"/>
    <n v="1584.88"/>
    <s v="Complete Access"/>
    <x v="61"/>
    <x v="1"/>
    <x v="1"/>
    <d v="1900-01-14T00:00:00"/>
    <n v="3"/>
    <x v="1"/>
    <x v="6"/>
  </r>
  <r>
    <x v="1771"/>
    <n v="-39"/>
    <x v="3684"/>
    <n v="1586.59"/>
    <s v="Complete Access"/>
    <x v="8"/>
    <x v="1"/>
    <x v="5"/>
    <d v="1900-01-14T00:00:00"/>
    <n v="3"/>
    <x v="1"/>
    <x v="6"/>
  </r>
  <r>
    <x v="1771"/>
    <n v="-50"/>
    <x v="3685"/>
    <n v="1625.59"/>
    <s v="Complete Access"/>
    <x v="819"/>
    <x v="5"/>
    <x v="83"/>
    <d v="1900-01-14T00:00:00"/>
    <n v="3"/>
    <x v="1"/>
    <x v="6"/>
  </r>
  <r>
    <x v="1771"/>
    <n v="-14"/>
    <x v="3686"/>
    <n v="1570.88"/>
    <s v="Complete Access"/>
    <x v="254"/>
    <x v="16"/>
    <x v="35"/>
    <d v="1900-01-14T00:00:00"/>
    <n v="3"/>
    <x v="1"/>
    <x v="6"/>
  </r>
  <r>
    <x v="1771"/>
    <n v="-12.8"/>
    <x v="3687"/>
    <n v="1711.09"/>
    <s v="Complete Access"/>
    <x v="833"/>
    <x v="1"/>
    <x v="5"/>
    <d v="1900-01-14T00:00:00"/>
    <n v="3"/>
    <x v="1"/>
    <x v="6"/>
  </r>
  <r>
    <x v="1771"/>
    <n v="-35.5"/>
    <x v="3688"/>
    <n v="1675.59"/>
    <s v="Complete Access"/>
    <x v="1"/>
    <x v="1"/>
    <x v="1"/>
    <d v="1900-01-14T00:00:00"/>
    <n v="3"/>
    <x v="1"/>
    <x v="6"/>
  </r>
  <r>
    <x v="1772"/>
    <n v="-20"/>
    <x v="2970"/>
    <n v="1834.53"/>
    <s v="Complete Access"/>
    <x v="601"/>
    <x v="0"/>
    <x v="0"/>
    <d v="1900-01-13T00:00:00"/>
    <n v="3"/>
    <x v="1"/>
    <x v="6"/>
  </r>
  <r>
    <x v="1772"/>
    <n v="-73"/>
    <x v="2543"/>
    <n v="1761.53"/>
    <s v="Complete Access"/>
    <x v="17"/>
    <x v="7"/>
    <x v="11"/>
    <d v="1900-01-13T00:00:00"/>
    <n v="3"/>
    <x v="1"/>
    <x v="6"/>
  </r>
  <r>
    <x v="1773"/>
    <n v="-17"/>
    <x v="3689"/>
    <n v="2469.5300000000002"/>
    <s v="Complete Access"/>
    <x v="842"/>
    <x v="8"/>
    <x v="29"/>
    <d v="1900-01-11T00:00:00"/>
    <n v="2"/>
    <x v="1"/>
    <x v="6"/>
  </r>
  <r>
    <x v="1773"/>
    <n v="-515"/>
    <x v="3404"/>
    <n v="1854.53"/>
    <s v="Complete Access"/>
    <x v="783"/>
    <x v="19"/>
    <x v="61"/>
    <d v="1900-01-11T00:00:00"/>
    <n v="2"/>
    <x v="1"/>
    <x v="6"/>
  </r>
  <r>
    <x v="1773"/>
    <n v="-100"/>
    <x v="2274"/>
    <n v="2369.5300000000002"/>
    <s v="Complete Access"/>
    <x v="552"/>
    <x v="0"/>
    <x v="74"/>
    <d v="1900-01-11T00:00:00"/>
    <n v="2"/>
    <x v="1"/>
    <x v="6"/>
  </r>
  <r>
    <x v="1773"/>
    <n v="-13.5"/>
    <x v="3690"/>
    <n v="2486.5300000000002"/>
    <s v="Complete Access"/>
    <x v="687"/>
    <x v="1"/>
    <x v="5"/>
    <d v="1900-01-11T00:00:00"/>
    <n v="2"/>
    <x v="1"/>
    <x v="6"/>
  </r>
  <r>
    <x v="1774"/>
    <n v="-12.5"/>
    <x v="3691"/>
    <n v="2500.0300000000002"/>
    <s v="Complete Access"/>
    <x v="843"/>
    <x v="1"/>
    <x v="5"/>
    <d v="1900-01-10T00:00:00"/>
    <n v="2"/>
    <x v="1"/>
    <x v="6"/>
  </r>
  <r>
    <x v="1774"/>
    <n v="-26.3"/>
    <x v="3692"/>
    <n v="2512.5300000000002"/>
    <s v="Complete Access"/>
    <x v="844"/>
    <x v="1"/>
    <x v="5"/>
    <d v="1900-01-10T00:00:00"/>
    <n v="2"/>
    <x v="1"/>
    <x v="6"/>
  </r>
  <r>
    <x v="1775"/>
    <n v="-2.02"/>
    <x v="3693"/>
    <n v="2538.83"/>
    <s v="Complete Access"/>
    <x v="61"/>
    <x v="1"/>
    <x v="1"/>
    <d v="1900-01-09T00:00:00"/>
    <n v="2"/>
    <x v="1"/>
    <x v="6"/>
  </r>
  <r>
    <x v="1775"/>
    <n v="-2.4900000000000002"/>
    <x v="3694"/>
    <n v="2554.35"/>
    <s v="Complete Access"/>
    <x v="177"/>
    <x v="1"/>
    <x v="1"/>
    <d v="1900-01-09T00:00:00"/>
    <n v="2"/>
    <x v="1"/>
    <x v="6"/>
  </r>
  <r>
    <x v="1775"/>
    <n v="-13.5"/>
    <x v="3695"/>
    <n v="2540.85"/>
    <s v="Complete Access"/>
    <x v="687"/>
    <x v="1"/>
    <x v="5"/>
    <d v="1900-01-09T00:00:00"/>
    <n v="2"/>
    <x v="1"/>
    <x v="6"/>
  </r>
  <r>
    <x v="1776"/>
    <n v="-8.01"/>
    <x v="3696"/>
    <n v="2623.2"/>
    <s v="Complete Access"/>
    <x v="61"/>
    <x v="1"/>
    <x v="1"/>
    <d v="1900-01-08T00:00:00"/>
    <n v="2"/>
    <x v="1"/>
    <x v="6"/>
  </r>
  <r>
    <x v="1776"/>
    <n v="-5.75"/>
    <x v="3696"/>
    <n v="2631.21"/>
    <s v="Complete Access"/>
    <x v="61"/>
    <x v="1"/>
    <x v="1"/>
    <d v="1900-01-08T00:00:00"/>
    <n v="2"/>
    <x v="1"/>
    <x v="6"/>
  </r>
  <r>
    <x v="1776"/>
    <n v="-66.36"/>
    <x v="3697"/>
    <n v="2556.84"/>
    <s v="Complete Access"/>
    <x v="91"/>
    <x v="9"/>
    <x v="12"/>
    <d v="1900-01-08T00:00:00"/>
    <n v="2"/>
    <x v="1"/>
    <x v="6"/>
  </r>
  <r>
    <x v="1777"/>
    <n v="-14.9"/>
    <x v="3698"/>
    <n v="2656.11"/>
    <s v="Complete Access"/>
    <x v="260"/>
    <x v="1"/>
    <x v="5"/>
    <d v="1900-01-07T00:00:00"/>
    <n v="2"/>
    <x v="1"/>
    <x v="6"/>
  </r>
  <r>
    <x v="1777"/>
    <n v="-31.7"/>
    <x v="3699"/>
    <n v="2671.01"/>
    <s v="Complete Access"/>
    <x v="1"/>
    <x v="1"/>
    <x v="1"/>
    <d v="1900-01-07T00:00:00"/>
    <n v="2"/>
    <x v="1"/>
    <x v="6"/>
  </r>
  <r>
    <x v="1777"/>
    <n v="-15.65"/>
    <x v="3700"/>
    <n v="2636.96"/>
    <s v="Complete Access"/>
    <x v="1"/>
    <x v="1"/>
    <x v="1"/>
    <d v="1900-01-07T00:00:00"/>
    <n v="2"/>
    <x v="1"/>
    <x v="6"/>
  </r>
  <r>
    <x v="1777"/>
    <n v="-3.5"/>
    <x v="3701"/>
    <n v="2652.61"/>
    <s v="Complete Access"/>
    <x v="213"/>
    <x v="1"/>
    <x v="23"/>
    <d v="1900-01-07T00:00:00"/>
    <n v="2"/>
    <x v="1"/>
    <x v="6"/>
  </r>
  <r>
    <x v="1778"/>
    <n v="250"/>
    <x v="3378"/>
    <n v="2702.71"/>
    <s v="Complete Access"/>
    <x v="722"/>
    <x v="0"/>
    <x v="0"/>
    <d v="1900-01-06T00:00:00"/>
    <n v="2"/>
    <x v="1"/>
    <x v="6"/>
  </r>
  <r>
    <x v="1779"/>
    <n v="-515"/>
    <x v="3404"/>
    <n v="2452.71"/>
    <s v="Complete Access"/>
    <x v="783"/>
    <x v="19"/>
    <x v="61"/>
    <d v="1900-01-04T00:00:00"/>
    <n v="1"/>
    <x v="1"/>
    <x v="6"/>
  </r>
  <r>
    <x v="1779"/>
    <n v="-15.08"/>
    <x v="3702"/>
    <n v="3067.71"/>
    <s v="Complete Access"/>
    <x v="609"/>
    <x v="1"/>
    <x v="1"/>
    <d v="1900-01-04T00:00:00"/>
    <n v="1"/>
    <x v="1"/>
    <x v="6"/>
  </r>
  <r>
    <x v="1779"/>
    <n v="-100"/>
    <x v="2274"/>
    <n v="2967.71"/>
    <s v="Complete Access"/>
    <x v="552"/>
    <x v="0"/>
    <x v="74"/>
    <d v="1900-01-04T00:00:00"/>
    <n v="1"/>
    <x v="1"/>
    <x v="6"/>
  </r>
  <r>
    <x v="1779"/>
    <n v="-4.99"/>
    <x v="3703"/>
    <n v="3082.79"/>
    <s v="Complete Access"/>
    <x v="177"/>
    <x v="1"/>
    <x v="1"/>
    <d v="1900-01-04T00:00:00"/>
    <n v="1"/>
    <x v="1"/>
    <x v="6"/>
  </r>
  <r>
    <x v="1780"/>
    <n v="-11.95"/>
    <x v="3704"/>
    <n v="3309.37"/>
    <s v="Complete Access"/>
    <x v="839"/>
    <x v="1"/>
    <x v="85"/>
    <d v="1900-01-02T00:00:00"/>
    <n v="1"/>
    <x v="1"/>
    <x v="6"/>
  </r>
  <r>
    <x v="1780"/>
    <n v="-34.5"/>
    <x v="3705"/>
    <n v="3133.18"/>
    <s v="Complete Access"/>
    <x v="8"/>
    <x v="1"/>
    <x v="5"/>
    <d v="1900-01-02T00:00:00"/>
    <n v="1"/>
    <x v="1"/>
    <x v="6"/>
  </r>
  <r>
    <x v="1780"/>
    <n v="-34.5"/>
    <x v="3705"/>
    <n v="3167.68"/>
    <s v="Complete Access"/>
    <x v="8"/>
    <x v="1"/>
    <x v="5"/>
    <d v="1900-01-02T00:00:00"/>
    <n v="1"/>
    <x v="1"/>
    <x v="6"/>
  </r>
  <r>
    <x v="1780"/>
    <n v="34.5"/>
    <x v="3706"/>
    <n v="3321.32"/>
    <s v="Complete Access"/>
    <x v="8"/>
    <x v="1"/>
    <x v="5"/>
    <d v="1900-01-02T00:00:00"/>
    <n v="1"/>
    <x v="1"/>
    <x v="6"/>
  </r>
  <r>
    <x v="1780"/>
    <n v="-16.899999999999999"/>
    <x v="3707"/>
    <n v="3292.47"/>
    <s v="Complete Access"/>
    <x v="260"/>
    <x v="1"/>
    <x v="5"/>
    <d v="1900-01-02T00:00:00"/>
    <n v="1"/>
    <x v="1"/>
    <x v="6"/>
  </r>
  <r>
    <x v="1780"/>
    <n v="-45.4"/>
    <x v="3708"/>
    <n v="3087.78"/>
    <s v="Complete Access"/>
    <x v="741"/>
    <x v="16"/>
    <x v="81"/>
    <d v="1900-01-02T00:00:00"/>
    <n v="1"/>
    <x v="1"/>
    <x v="6"/>
  </r>
  <r>
    <x v="1780"/>
    <n v="-30.29"/>
    <x v="3709"/>
    <n v="3202.18"/>
    <s v="Complete Access"/>
    <x v="1"/>
    <x v="1"/>
    <x v="1"/>
    <d v="1900-01-02T00:00:00"/>
    <n v="1"/>
    <x v="1"/>
    <x v="6"/>
  </r>
  <r>
    <x v="1780"/>
    <n v="-60"/>
    <x v="3710"/>
    <n v="3232.47"/>
    <s v="Complete Access"/>
    <x v="219"/>
    <x v="7"/>
    <x v="53"/>
    <d v="1900-01-02T00:00:00"/>
    <n v="1"/>
    <x v="1"/>
    <x v="6"/>
  </r>
  <r>
    <x v="1781"/>
    <n v="-166.4"/>
    <x v="3711"/>
    <n v="3286.82"/>
    <s v="Complete Access"/>
    <x v="76"/>
    <x v="2"/>
    <x v="2"/>
    <d v="1900-01-01T00:00:00"/>
    <n v="1"/>
    <x v="1"/>
    <x v="6"/>
  </r>
  <r>
    <x v="1782"/>
    <n v="-75.5"/>
    <x v="3712"/>
    <n v="3453.22"/>
    <s v="Complete Access"/>
    <x v="8"/>
    <x v="1"/>
    <x v="5"/>
    <d v="1899-12-31T00:00:00"/>
    <n v="1"/>
    <x v="1"/>
    <x v="6"/>
  </r>
  <r>
    <x v="1783"/>
    <n v="-12.8"/>
    <x v="3700"/>
    <n v="3528.72"/>
    <s v="Complete Access"/>
    <x v="1"/>
    <x v="1"/>
    <x v="1"/>
    <d v="1900-01-30T00:00:00"/>
    <n v="53"/>
    <x v="2"/>
    <x v="7"/>
  </r>
  <r>
    <x v="1784"/>
    <n v="-16.5"/>
    <x v="3061"/>
    <n v="3541.52"/>
    <s v="Complete Access"/>
    <x v="27"/>
    <x v="1"/>
    <x v="5"/>
    <d v="1900-01-29T00:00:00"/>
    <n v="53"/>
    <x v="2"/>
    <x v="7"/>
  </r>
  <r>
    <x v="1785"/>
    <n v="-31"/>
    <x v="3713"/>
    <n v="4312.62"/>
    <s v="Complete Access"/>
    <x v="8"/>
    <x v="1"/>
    <x v="5"/>
    <d v="1900-01-28T00:00:00"/>
    <n v="52"/>
    <x v="2"/>
    <x v="7"/>
  </r>
  <r>
    <x v="1785"/>
    <n v="-515"/>
    <x v="3404"/>
    <n v="3590.67"/>
    <s v="Complete Access"/>
    <x v="783"/>
    <x v="19"/>
    <x v="61"/>
    <d v="1900-01-28T00:00:00"/>
    <n v="52"/>
    <x v="2"/>
    <x v="7"/>
  </r>
  <r>
    <x v="1785"/>
    <n v="-106.95"/>
    <x v="3714"/>
    <n v="4205.67"/>
    <s v="Complete Access"/>
    <x v="347"/>
    <x v="3"/>
    <x v="62"/>
    <d v="1900-01-28T00:00:00"/>
    <n v="52"/>
    <x v="2"/>
    <x v="7"/>
  </r>
  <r>
    <x v="1785"/>
    <n v="-100"/>
    <x v="2274"/>
    <n v="4105.67"/>
    <s v="Complete Access"/>
    <x v="552"/>
    <x v="0"/>
    <x v="74"/>
    <d v="1900-01-28T00:00:00"/>
    <n v="52"/>
    <x v="2"/>
    <x v="7"/>
  </r>
  <r>
    <x v="1785"/>
    <n v="-32.65"/>
    <x v="3715"/>
    <n v="3558.02"/>
    <s v="Complete Access"/>
    <x v="34"/>
    <x v="9"/>
    <x v="12"/>
    <d v="1900-01-28T00:00:00"/>
    <n v="52"/>
    <x v="2"/>
    <x v="7"/>
  </r>
  <r>
    <x v="1786"/>
    <n v="-35.619999999999997"/>
    <x v="3716"/>
    <n v="4343.62"/>
    <s v="Complete Access"/>
    <x v="8"/>
    <x v="1"/>
    <x v="5"/>
    <d v="1900-01-27T00:00:00"/>
    <n v="52"/>
    <x v="2"/>
    <x v="7"/>
  </r>
  <r>
    <x v="1786"/>
    <n v="-20.9"/>
    <x v="3717"/>
    <n v="4397.6099999999997"/>
    <s v="Complete Access"/>
    <x v="832"/>
    <x v="1"/>
    <x v="23"/>
    <d v="1900-01-27T00:00:00"/>
    <n v="52"/>
    <x v="2"/>
    <x v="7"/>
  </r>
  <r>
    <x v="1786"/>
    <n v="-14.21"/>
    <x v="3718"/>
    <n v="4418.9399999999996"/>
    <s v="Complete Access"/>
    <x v="845"/>
    <x v="4"/>
    <x v="47"/>
    <d v="1900-01-27T00:00:00"/>
    <n v="52"/>
    <x v="2"/>
    <x v="7"/>
  </r>
  <r>
    <x v="1786"/>
    <n v="-10.5"/>
    <x v="3719"/>
    <n v="4433.1499999999996"/>
    <s v="Complete Access"/>
    <x v="846"/>
    <x v="3"/>
    <x v="60"/>
    <d v="1900-01-27T00:00:00"/>
    <n v="52"/>
    <x v="2"/>
    <x v="7"/>
  </r>
  <r>
    <x v="1786"/>
    <n v="-0.43"/>
    <x v="3720"/>
    <n v="4418.51"/>
    <s v="Complete Access"/>
    <x v="10"/>
    <x v="0"/>
    <x v="0"/>
    <d v="1900-01-27T00:00:00"/>
    <n v="52"/>
    <x v="2"/>
    <x v="7"/>
  </r>
  <r>
    <x v="1786"/>
    <n v="-25.4"/>
    <x v="3721"/>
    <n v="4443.6499999999996"/>
    <s v="Complete Access"/>
    <x v="260"/>
    <x v="1"/>
    <x v="5"/>
    <d v="1900-01-27T00:00:00"/>
    <n v="52"/>
    <x v="2"/>
    <x v="7"/>
  </r>
  <r>
    <x v="1786"/>
    <n v="-18.37"/>
    <x v="3722"/>
    <n v="4379.24"/>
    <s v="Complete Access"/>
    <x v="1"/>
    <x v="1"/>
    <x v="1"/>
    <d v="1900-01-27T00:00:00"/>
    <n v="52"/>
    <x v="2"/>
    <x v="7"/>
  </r>
  <r>
    <x v="1787"/>
    <n v="-100"/>
    <x v="3403"/>
    <n v="4469.05"/>
    <s v="Complete Access"/>
    <x v="601"/>
    <x v="0"/>
    <x v="0"/>
    <d v="1900-01-26T00:00:00"/>
    <n v="52"/>
    <x v="2"/>
    <x v="7"/>
  </r>
  <r>
    <x v="1788"/>
    <n v="-20"/>
    <x v="3723"/>
    <n v="4658.7299999999996"/>
    <s v="Complete Access"/>
    <x v="819"/>
    <x v="5"/>
    <x v="83"/>
    <d v="1900-01-24T00:00:00"/>
    <n v="52"/>
    <x v="2"/>
    <x v="7"/>
  </r>
  <r>
    <x v="1788"/>
    <n v="-50"/>
    <x v="3724"/>
    <n v="4569.05"/>
    <s v="Complete Access"/>
    <x v="847"/>
    <x v="18"/>
    <x v="80"/>
    <d v="1900-01-24T00:00:00"/>
    <n v="52"/>
    <x v="2"/>
    <x v="7"/>
  </r>
  <r>
    <x v="1788"/>
    <n v="-15.5"/>
    <x v="3725"/>
    <n v="4619.05"/>
    <s v="Complete Access"/>
    <x v="843"/>
    <x v="1"/>
    <x v="5"/>
    <d v="1900-01-24T00:00:00"/>
    <n v="52"/>
    <x v="2"/>
    <x v="7"/>
  </r>
  <r>
    <x v="1788"/>
    <n v="-12.5"/>
    <x v="3726"/>
    <n v="4634.55"/>
    <s v="Complete Access"/>
    <x v="843"/>
    <x v="1"/>
    <x v="5"/>
    <d v="1900-01-24T00:00:00"/>
    <n v="52"/>
    <x v="2"/>
    <x v="7"/>
  </r>
  <r>
    <x v="1788"/>
    <n v="200"/>
    <x v="3727"/>
    <n v="4678.7299999999996"/>
    <s v="Complete Access"/>
    <x v="657"/>
    <x v="0"/>
    <x v="69"/>
    <d v="1900-01-24T00:00:00"/>
    <n v="52"/>
    <x v="2"/>
    <x v="7"/>
  </r>
  <r>
    <x v="1788"/>
    <n v="-11.68"/>
    <x v="3728"/>
    <n v="4647.05"/>
    <s v="Complete Access"/>
    <x v="27"/>
    <x v="1"/>
    <x v="5"/>
    <d v="1900-01-24T00:00:00"/>
    <n v="52"/>
    <x v="2"/>
    <x v="7"/>
  </r>
  <r>
    <x v="1789"/>
    <n v="1080.25"/>
    <x v="3188"/>
    <n v="4478.7299999999996"/>
    <s v="Complete Access"/>
    <x v="14"/>
    <x v="6"/>
    <x v="9"/>
    <d v="1900-01-23T00:00:00"/>
    <n v="52"/>
    <x v="2"/>
    <x v="7"/>
  </r>
  <r>
    <x v="1790"/>
    <n v="-29.19"/>
    <x v="3729"/>
    <n v="3398.48"/>
    <s v="Complete Access"/>
    <x v="668"/>
    <x v="15"/>
    <x v="34"/>
    <d v="1900-01-22T00:00:00"/>
    <n v="52"/>
    <x v="2"/>
    <x v="7"/>
  </r>
  <r>
    <x v="1790"/>
    <n v="-4"/>
    <x v="3730"/>
    <n v="3427.67"/>
    <s v="Complete Access"/>
    <x v="34"/>
    <x v="9"/>
    <x v="12"/>
    <d v="1900-01-22T00:00:00"/>
    <n v="52"/>
    <x v="2"/>
    <x v="7"/>
  </r>
  <r>
    <x v="1791"/>
    <n v="-30"/>
    <x v="3731"/>
    <n v="4046.67"/>
    <s v="Complete Access"/>
    <x v="8"/>
    <x v="1"/>
    <x v="5"/>
    <d v="1900-01-21T00:00:00"/>
    <n v="51"/>
    <x v="2"/>
    <x v="7"/>
  </r>
  <r>
    <x v="1791"/>
    <n v="-515"/>
    <x v="3404"/>
    <n v="3431.67"/>
    <s v="Complete Access"/>
    <x v="783"/>
    <x v="19"/>
    <x v="61"/>
    <d v="1900-01-21T00:00:00"/>
    <n v="51"/>
    <x v="2"/>
    <x v="7"/>
  </r>
  <r>
    <x v="1791"/>
    <n v="-11.4"/>
    <x v="3732"/>
    <n v="4076.67"/>
    <s v="Complete Access"/>
    <x v="609"/>
    <x v="1"/>
    <x v="1"/>
    <d v="1900-01-21T00:00:00"/>
    <n v="51"/>
    <x v="2"/>
    <x v="7"/>
  </r>
  <r>
    <x v="1791"/>
    <n v="-12.5"/>
    <x v="3733"/>
    <n v="4247.53"/>
    <s v="Complete Access"/>
    <x v="843"/>
    <x v="1"/>
    <x v="5"/>
    <d v="1900-01-21T00:00:00"/>
    <n v="51"/>
    <x v="2"/>
    <x v="7"/>
  </r>
  <r>
    <x v="1791"/>
    <n v="-100"/>
    <x v="2274"/>
    <n v="3946.67"/>
    <s v="Complete Access"/>
    <x v="552"/>
    <x v="0"/>
    <x v="74"/>
    <d v="1900-01-21T00:00:00"/>
    <n v="51"/>
    <x v="2"/>
    <x v="7"/>
  </r>
  <r>
    <x v="1791"/>
    <n v="-159.46"/>
    <x v="3734"/>
    <n v="4088.07"/>
    <s v="Complete Access"/>
    <x v="540"/>
    <x v="12"/>
    <x v="21"/>
    <d v="1900-01-21T00:00:00"/>
    <n v="51"/>
    <x v="2"/>
    <x v="7"/>
  </r>
  <r>
    <x v="1792"/>
    <n v="-12.95"/>
    <x v="3735"/>
    <n v="4310.03"/>
    <s v="Complete Access"/>
    <x v="839"/>
    <x v="1"/>
    <x v="85"/>
    <d v="1900-01-20T00:00:00"/>
    <n v="51"/>
    <x v="2"/>
    <x v="7"/>
  </r>
  <r>
    <x v="1792"/>
    <n v="-50"/>
    <x v="3403"/>
    <n v="4260.03"/>
    <s v="Complete Access"/>
    <x v="601"/>
    <x v="0"/>
    <x v="0"/>
    <d v="1900-01-20T00:00:00"/>
    <n v="51"/>
    <x v="2"/>
    <x v="7"/>
  </r>
  <r>
    <x v="1792"/>
    <n v="-14.8"/>
    <x v="3736"/>
    <n v="4322.9799999999996"/>
    <s v="Complete Access"/>
    <x v="833"/>
    <x v="1"/>
    <x v="5"/>
    <d v="1900-01-20T00:00:00"/>
    <n v="51"/>
    <x v="2"/>
    <x v="7"/>
  </r>
  <r>
    <x v="1793"/>
    <n v="-26.95"/>
    <x v="3737"/>
    <n v="4513.18"/>
    <s v="Complete Access"/>
    <x v="806"/>
    <x v="20"/>
    <x v="63"/>
    <d v="1900-01-19T00:00:00"/>
    <n v="51"/>
    <x v="2"/>
    <x v="7"/>
  </r>
  <r>
    <x v="1793"/>
    <n v="-10.87"/>
    <x v="3738"/>
    <n v="4540.13"/>
    <s v="Complete Access"/>
    <x v="609"/>
    <x v="1"/>
    <x v="1"/>
    <d v="1900-01-19T00:00:00"/>
    <n v="51"/>
    <x v="2"/>
    <x v="7"/>
  </r>
  <r>
    <x v="1793"/>
    <n v="-12.5"/>
    <x v="3739"/>
    <n v="4551"/>
    <s v="Complete Access"/>
    <x v="843"/>
    <x v="1"/>
    <x v="5"/>
    <d v="1900-01-19T00:00:00"/>
    <n v="51"/>
    <x v="2"/>
    <x v="7"/>
  </r>
  <r>
    <x v="1793"/>
    <n v="-175.4"/>
    <x v="3740"/>
    <n v="4337.78"/>
    <s v="Complete Access"/>
    <x v="741"/>
    <x v="16"/>
    <x v="81"/>
    <d v="1900-01-19T00:00:00"/>
    <n v="51"/>
    <x v="2"/>
    <x v="7"/>
  </r>
  <r>
    <x v="1794"/>
    <n v="1080.25"/>
    <x v="3188"/>
    <n v="4563.5"/>
    <s v="Complete Access"/>
    <x v="14"/>
    <x v="6"/>
    <x v="9"/>
    <d v="1900-01-18T00:00:00"/>
    <n v="51"/>
    <x v="2"/>
    <x v="7"/>
  </r>
  <r>
    <x v="1794"/>
    <n v="-15"/>
    <x v="3741"/>
    <n v="3515.75"/>
    <s v="Complete Access"/>
    <x v="848"/>
    <x v="1"/>
    <x v="5"/>
    <d v="1900-01-18T00:00:00"/>
    <n v="51"/>
    <x v="2"/>
    <x v="7"/>
  </r>
  <r>
    <x v="1794"/>
    <n v="-32.5"/>
    <x v="3742"/>
    <n v="3483.25"/>
    <s v="Complete Access"/>
    <x v="1"/>
    <x v="1"/>
    <x v="1"/>
    <d v="1900-01-18T00:00:00"/>
    <n v="51"/>
    <x v="2"/>
    <x v="7"/>
  </r>
  <r>
    <x v="1795"/>
    <n v="-30.8"/>
    <x v="3743"/>
    <n v="3545.25"/>
    <s v="Complete Access"/>
    <x v="8"/>
    <x v="1"/>
    <x v="5"/>
    <d v="1900-01-17T00:00:00"/>
    <n v="51"/>
    <x v="2"/>
    <x v="7"/>
  </r>
  <r>
    <x v="1795"/>
    <n v="-14.5"/>
    <x v="3744"/>
    <n v="3530.75"/>
    <s v="Complete Access"/>
    <x v="843"/>
    <x v="1"/>
    <x v="5"/>
    <d v="1900-01-17T00:00:00"/>
    <n v="51"/>
    <x v="2"/>
    <x v="7"/>
  </r>
  <r>
    <x v="1795"/>
    <n v="-54.1"/>
    <x v="3745"/>
    <n v="3621.34"/>
    <s v="Complete Access"/>
    <x v="393"/>
    <x v="11"/>
    <x v="49"/>
    <d v="1900-01-17T00:00:00"/>
    <n v="51"/>
    <x v="2"/>
    <x v="7"/>
  </r>
  <r>
    <x v="1795"/>
    <n v="-45.29"/>
    <x v="3746"/>
    <n v="3576.05"/>
    <s v="Complete Access"/>
    <x v="1"/>
    <x v="1"/>
    <x v="1"/>
    <d v="1900-01-17T00:00:00"/>
    <n v="51"/>
    <x v="2"/>
    <x v="7"/>
  </r>
  <r>
    <x v="1796"/>
    <n v="220"/>
    <x v="3378"/>
    <n v="3675.44"/>
    <s v="Complete Access"/>
    <x v="722"/>
    <x v="0"/>
    <x v="0"/>
    <d v="1900-01-16T00:00:00"/>
    <n v="51"/>
    <x v="2"/>
    <x v="7"/>
  </r>
  <r>
    <x v="1797"/>
    <n v="-37.64"/>
    <x v="3747"/>
    <n v="4084.24"/>
    <s v="Complete Access"/>
    <x v="841"/>
    <x v="2"/>
    <x v="86"/>
    <d v="1900-01-14T00:00:00"/>
    <n v="50"/>
    <x v="2"/>
    <x v="7"/>
  </r>
  <r>
    <x v="1797"/>
    <n v="-515"/>
    <x v="3404"/>
    <n v="3455.44"/>
    <s v="Complete Access"/>
    <x v="783"/>
    <x v="19"/>
    <x v="61"/>
    <d v="1900-01-14T00:00:00"/>
    <n v="50"/>
    <x v="2"/>
    <x v="7"/>
  </r>
  <r>
    <x v="1797"/>
    <n v="-100"/>
    <x v="2274"/>
    <n v="3970.44"/>
    <s v="Complete Access"/>
    <x v="552"/>
    <x v="0"/>
    <x v="74"/>
    <d v="1900-01-14T00:00:00"/>
    <n v="50"/>
    <x v="2"/>
    <x v="7"/>
  </r>
  <r>
    <x v="1797"/>
    <n v="-13.8"/>
    <x v="3748"/>
    <n v="4070.44"/>
    <s v="Complete Access"/>
    <x v="833"/>
    <x v="1"/>
    <x v="5"/>
    <d v="1900-01-14T00:00:00"/>
    <n v="50"/>
    <x v="2"/>
    <x v="7"/>
  </r>
  <r>
    <x v="1798"/>
    <n v="-50"/>
    <x v="3749"/>
    <n v="4121.88"/>
    <s v="Complete Access"/>
    <x v="776"/>
    <x v="5"/>
    <x v="83"/>
    <d v="1900-01-13T00:00:00"/>
    <n v="50"/>
    <x v="2"/>
    <x v="7"/>
  </r>
  <r>
    <x v="1798"/>
    <n v="-12.5"/>
    <x v="3750"/>
    <n v="4171.88"/>
    <s v="Complete Access"/>
    <x v="843"/>
    <x v="1"/>
    <x v="5"/>
    <d v="1900-01-13T00:00:00"/>
    <n v="50"/>
    <x v="2"/>
    <x v="7"/>
  </r>
  <r>
    <x v="1798"/>
    <n v="-13.5"/>
    <x v="3751"/>
    <n v="4184.38"/>
    <s v="Complete Access"/>
    <x v="687"/>
    <x v="1"/>
    <x v="5"/>
    <d v="1900-01-13T00:00:00"/>
    <n v="50"/>
    <x v="2"/>
    <x v="7"/>
  </r>
  <r>
    <x v="1799"/>
    <n v="-10.39"/>
    <x v="3752"/>
    <n v="4303.78"/>
    <s v="Complete Access"/>
    <x v="609"/>
    <x v="1"/>
    <x v="1"/>
    <d v="1900-01-12T00:00:00"/>
    <n v="50"/>
    <x v="2"/>
    <x v="7"/>
  </r>
  <r>
    <x v="1799"/>
    <n v="-14.4"/>
    <x v="3753"/>
    <n v="4289.38"/>
    <s v="Complete Access"/>
    <x v="260"/>
    <x v="1"/>
    <x v="5"/>
    <d v="1900-01-12T00:00:00"/>
    <n v="50"/>
    <x v="2"/>
    <x v="7"/>
  </r>
  <r>
    <x v="1799"/>
    <n v="-73"/>
    <x v="2543"/>
    <n v="4197.88"/>
    <s v="Complete Access"/>
    <x v="17"/>
    <x v="7"/>
    <x v="11"/>
    <d v="1900-01-12T00:00:00"/>
    <n v="50"/>
    <x v="2"/>
    <x v="7"/>
  </r>
  <r>
    <x v="1799"/>
    <n v="-18.5"/>
    <x v="3754"/>
    <n v="4270.88"/>
    <s v="Complete Access"/>
    <x v="1"/>
    <x v="1"/>
    <x v="1"/>
    <d v="1900-01-12T00:00:00"/>
    <n v="50"/>
    <x v="2"/>
    <x v="7"/>
  </r>
  <r>
    <x v="1800"/>
    <n v="1080.25"/>
    <x v="3188"/>
    <n v="4314.17"/>
    <s v="Complete Access"/>
    <x v="14"/>
    <x v="6"/>
    <x v="9"/>
    <d v="1900-01-11T00:00:00"/>
    <n v="50"/>
    <x v="2"/>
    <x v="7"/>
  </r>
  <r>
    <x v="1800"/>
    <n v="-8.5"/>
    <x v="3755"/>
    <n v="3258.92"/>
    <s v="Complete Access"/>
    <x v="849"/>
    <x v="8"/>
    <x v="29"/>
    <d v="1900-01-11T00:00:00"/>
    <n v="50"/>
    <x v="2"/>
    <x v="7"/>
  </r>
  <r>
    <x v="1800"/>
    <n v="-25"/>
    <x v="3061"/>
    <n v="3233.92"/>
    <s v="Complete Access"/>
    <x v="27"/>
    <x v="1"/>
    <x v="5"/>
    <d v="1900-01-11T00:00:00"/>
    <n v="50"/>
    <x v="2"/>
    <x v="7"/>
  </r>
  <r>
    <x v="1801"/>
    <n v="-30"/>
    <x v="3756"/>
    <n v="3267.42"/>
    <s v="Complete Access"/>
    <x v="8"/>
    <x v="1"/>
    <x v="5"/>
    <d v="1900-01-10T00:00:00"/>
    <n v="50"/>
    <x v="2"/>
    <x v="7"/>
  </r>
  <r>
    <x v="1801"/>
    <n v="-17.8"/>
    <x v="3757"/>
    <n v="3373.15"/>
    <s v="Complete Access"/>
    <x v="833"/>
    <x v="1"/>
    <x v="5"/>
    <d v="1900-01-10T00:00:00"/>
    <n v="50"/>
    <x v="2"/>
    <x v="7"/>
  </r>
  <r>
    <x v="1801"/>
    <n v="-12.8"/>
    <x v="3758"/>
    <n v="3297.42"/>
    <s v="Complete Access"/>
    <x v="833"/>
    <x v="1"/>
    <x v="5"/>
    <d v="1900-01-10T00:00:00"/>
    <n v="50"/>
    <x v="2"/>
    <x v="7"/>
  </r>
  <r>
    <x v="1801"/>
    <n v="-19.43"/>
    <x v="3759"/>
    <n v="3353.72"/>
    <s v="Complete Access"/>
    <x v="237"/>
    <x v="15"/>
    <x v="34"/>
    <d v="1900-01-10T00:00:00"/>
    <n v="50"/>
    <x v="2"/>
    <x v="7"/>
  </r>
  <r>
    <x v="1801"/>
    <n v="-43.5"/>
    <x v="3760"/>
    <n v="3310.22"/>
    <s v="Complete Access"/>
    <x v="1"/>
    <x v="1"/>
    <x v="1"/>
    <d v="1900-01-10T00:00:00"/>
    <n v="50"/>
    <x v="2"/>
    <x v="7"/>
  </r>
  <r>
    <x v="1802"/>
    <n v="-515"/>
    <x v="3404"/>
    <n v="3390.95"/>
    <s v="Complete Access"/>
    <x v="783"/>
    <x v="19"/>
    <x v="61"/>
    <d v="1900-01-07T00:00:00"/>
    <n v="49"/>
    <x v="2"/>
    <x v="7"/>
  </r>
  <r>
    <x v="1802"/>
    <n v="-18"/>
    <x v="3761"/>
    <n v="4005.95"/>
    <s v="Complete Access"/>
    <x v="850"/>
    <x v="8"/>
    <x v="29"/>
    <d v="1900-01-07T00:00:00"/>
    <n v="49"/>
    <x v="2"/>
    <x v="7"/>
  </r>
  <r>
    <x v="1802"/>
    <n v="-8.5"/>
    <x v="3762"/>
    <n v="4023.95"/>
    <s v="Complete Access"/>
    <x v="850"/>
    <x v="8"/>
    <x v="29"/>
    <d v="1900-01-07T00:00:00"/>
    <n v="49"/>
    <x v="2"/>
    <x v="7"/>
  </r>
  <r>
    <x v="1802"/>
    <n v="-100"/>
    <x v="2274"/>
    <n v="3905.95"/>
    <s v="Complete Access"/>
    <x v="552"/>
    <x v="0"/>
    <x v="74"/>
    <d v="1900-01-07T00:00:00"/>
    <n v="49"/>
    <x v="2"/>
    <x v="7"/>
  </r>
  <r>
    <x v="1802"/>
    <n v="-13.8"/>
    <x v="3763"/>
    <n v="4032.45"/>
    <s v="Complete Access"/>
    <x v="833"/>
    <x v="1"/>
    <x v="5"/>
    <d v="1900-01-07T00:00:00"/>
    <n v="49"/>
    <x v="2"/>
    <x v="7"/>
  </r>
  <r>
    <x v="1803"/>
    <n v="-50"/>
    <x v="3764"/>
    <n v="4046.25"/>
    <s v="Complete Access"/>
    <x v="601"/>
    <x v="0"/>
    <x v="0"/>
    <d v="1900-01-06T00:00:00"/>
    <n v="49"/>
    <x v="2"/>
    <x v="7"/>
  </r>
  <r>
    <x v="1803"/>
    <n v="-12.5"/>
    <x v="3765"/>
    <n v="4163.9799999999996"/>
    <s v="Complete Access"/>
    <x v="843"/>
    <x v="1"/>
    <x v="5"/>
    <d v="1900-01-06T00:00:00"/>
    <n v="49"/>
    <x v="2"/>
    <x v="7"/>
  </r>
  <r>
    <x v="1803"/>
    <n v="-10.15"/>
    <x v="3766"/>
    <n v="4096.25"/>
    <s v="Complete Access"/>
    <x v="851"/>
    <x v="1"/>
    <x v="5"/>
    <d v="1900-01-06T00:00:00"/>
    <n v="49"/>
    <x v="2"/>
    <x v="7"/>
  </r>
  <r>
    <x v="1803"/>
    <n v="-57.58"/>
    <x v="3767"/>
    <n v="4106.3999999999996"/>
    <s v="Complete Access"/>
    <x v="1"/>
    <x v="1"/>
    <x v="1"/>
    <d v="1900-01-06T00:00:00"/>
    <n v="49"/>
    <x v="2"/>
    <x v="7"/>
  </r>
  <r>
    <x v="1804"/>
    <n v="-12.25"/>
    <x v="3768"/>
    <n v="4142.58"/>
    <s v="Complete Access"/>
    <x v="839"/>
    <x v="1"/>
    <x v="85"/>
    <d v="1900-01-05T00:00:00"/>
    <n v="49"/>
    <x v="2"/>
    <x v="7"/>
  </r>
  <r>
    <x v="1804"/>
    <n v="-6"/>
    <x v="3769"/>
    <n v="4119.88"/>
    <s v="Complete Access"/>
    <x v="61"/>
    <x v="1"/>
    <x v="1"/>
    <d v="1900-01-05T00:00:00"/>
    <n v="49"/>
    <x v="2"/>
    <x v="7"/>
  </r>
  <r>
    <x v="1804"/>
    <n v="-18"/>
    <x v="3770"/>
    <n v="4351.88"/>
    <s v="Complete Access"/>
    <x v="850"/>
    <x v="8"/>
    <x v="29"/>
    <d v="1900-01-05T00:00:00"/>
    <n v="49"/>
    <x v="2"/>
    <x v="7"/>
  </r>
  <r>
    <x v="1804"/>
    <n v="-16.7"/>
    <x v="3771"/>
    <n v="4125.88"/>
    <s v="Complete Access"/>
    <x v="609"/>
    <x v="1"/>
    <x v="1"/>
    <d v="1900-01-05T00:00:00"/>
    <n v="49"/>
    <x v="2"/>
    <x v="7"/>
  </r>
  <r>
    <x v="1804"/>
    <n v="250"/>
    <x v="3772"/>
    <n v="4369.88"/>
    <s v="Complete Access"/>
    <x v="657"/>
    <x v="0"/>
    <x v="69"/>
    <d v="1900-01-05T00:00:00"/>
    <n v="49"/>
    <x v="2"/>
    <x v="7"/>
  </r>
  <r>
    <x v="1804"/>
    <n v="-175.4"/>
    <x v="3773"/>
    <n v="4176.4799999999996"/>
    <s v="Complete Access"/>
    <x v="741"/>
    <x v="16"/>
    <x v="81"/>
    <d v="1900-01-05T00:00:00"/>
    <n v="49"/>
    <x v="2"/>
    <x v="7"/>
  </r>
  <r>
    <x v="1805"/>
    <n v="-30"/>
    <x v="3774"/>
    <n v="3549.82"/>
    <s v="Complete Access"/>
    <x v="8"/>
    <x v="1"/>
    <x v="5"/>
    <d v="1900-01-04T00:00:00"/>
    <n v="49"/>
    <x v="2"/>
    <x v="7"/>
  </r>
  <r>
    <x v="1805"/>
    <n v="890.2"/>
    <x v="3188"/>
    <n v="4154.83"/>
    <s v="Complete Access"/>
    <x v="14"/>
    <x v="6"/>
    <x v="9"/>
    <d v="1900-01-04T00:00:00"/>
    <n v="49"/>
    <x v="2"/>
    <x v="7"/>
  </r>
  <r>
    <x v="1805"/>
    <n v="-179"/>
    <x v="3775"/>
    <n v="3264.63"/>
    <s v="Complete Access"/>
    <x v="347"/>
    <x v="3"/>
    <x v="62"/>
    <d v="1900-01-04T00:00:00"/>
    <n v="49"/>
    <x v="2"/>
    <x v="7"/>
  </r>
  <r>
    <x v="1805"/>
    <n v="-60"/>
    <x v="3776"/>
    <n v="3489.82"/>
    <s v="Complete Access"/>
    <x v="219"/>
    <x v="7"/>
    <x v="53"/>
    <d v="1900-01-04T00:00:00"/>
    <n v="49"/>
    <x v="2"/>
    <x v="7"/>
  </r>
  <r>
    <x v="1805"/>
    <n v="-119"/>
    <x v="3777"/>
    <n v="3579.82"/>
    <s v="Complete Access"/>
    <x v="852"/>
    <x v="4"/>
    <x v="62"/>
    <d v="1900-01-04T00:00:00"/>
    <n v="49"/>
    <x v="2"/>
    <x v="7"/>
  </r>
  <r>
    <x v="1805"/>
    <n v="-46.19"/>
    <x v="3778"/>
    <n v="3443.63"/>
    <s v="Complete Access"/>
    <x v="34"/>
    <x v="9"/>
    <x v="12"/>
    <d v="1900-01-04T00:00:00"/>
    <n v="49"/>
    <x v="2"/>
    <x v="7"/>
  </r>
  <r>
    <x v="1806"/>
    <n v="-50"/>
    <x v="3779"/>
    <n v="3727.61"/>
    <s v="Complete Access"/>
    <x v="819"/>
    <x v="5"/>
    <x v="83"/>
    <d v="1900-01-03T00:00:00"/>
    <n v="49"/>
    <x v="2"/>
    <x v="7"/>
  </r>
  <r>
    <x v="1806"/>
    <n v="-6.96"/>
    <x v="3780"/>
    <n v="3698.82"/>
    <s v="Complete Access"/>
    <x v="609"/>
    <x v="1"/>
    <x v="1"/>
    <d v="1900-01-03T00:00:00"/>
    <n v="49"/>
    <x v="2"/>
    <x v="7"/>
  </r>
  <r>
    <x v="1806"/>
    <n v="-8.33"/>
    <x v="3781"/>
    <n v="3705.78"/>
    <s v="Complete Access"/>
    <x v="1"/>
    <x v="1"/>
    <x v="1"/>
    <d v="1900-01-03T00:00:00"/>
    <n v="49"/>
    <x v="2"/>
    <x v="7"/>
  </r>
  <r>
    <x v="1806"/>
    <n v="-13.5"/>
    <x v="3782"/>
    <n v="3714.11"/>
    <s v="Complete Access"/>
    <x v="687"/>
    <x v="1"/>
    <x v="5"/>
    <d v="1900-01-03T00:00:00"/>
    <n v="49"/>
    <x v="2"/>
    <x v="7"/>
  </r>
  <r>
    <x v="1807"/>
    <n v="-166.4"/>
    <x v="3783"/>
    <n v="3777.61"/>
    <s v="Complete Access"/>
    <x v="76"/>
    <x v="2"/>
    <x v="2"/>
    <d v="1900-01-02T00:00:00"/>
    <n v="49"/>
    <x v="2"/>
    <x v="7"/>
  </r>
  <r>
    <x v="1808"/>
    <n v="-7.77"/>
    <x v="3784"/>
    <n v="4559.01"/>
    <s v="Complete Access"/>
    <x v="61"/>
    <x v="1"/>
    <x v="1"/>
    <d v="1899-12-31T00:00:00"/>
    <n v="48"/>
    <x v="2"/>
    <x v="7"/>
  </r>
  <r>
    <x v="1808"/>
    <n v="-515"/>
    <x v="3404"/>
    <n v="3944.01"/>
    <s v="Complete Access"/>
    <x v="783"/>
    <x v="19"/>
    <x v="61"/>
    <d v="1899-12-31T00:00:00"/>
    <n v="48"/>
    <x v="2"/>
    <x v="7"/>
  </r>
  <r>
    <x v="1808"/>
    <n v="-9.99"/>
    <x v="3785"/>
    <n v="4566.78"/>
    <s v="Complete Access"/>
    <x v="373"/>
    <x v="8"/>
    <x v="7"/>
    <d v="1899-12-31T00:00:00"/>
    <n v="48"/>
    <x v="2"/>
    <x v="7"/>
  </r>
  <r>
    <x v="1808"/>
    <n v="-100"/>
    <x v="2274"/>
    <n v="4459.01"/>
    <s v="Complete Access"/>
    <x v="552"/>
    <x v="0"/>
    <x v="74"/>
    <d v="1899-12-31T00:00:00"/>
    <n v="48"/>
    <x v="2"/>
    <x v="7"/>
  </r>
  <r>
    <x v="1809"/>
    <n v="-22.2"/>
    <x v="3786"/>
    <n v="4576.7700000000004"/>
    <s v="Complete Access"/>
    <x v="1"/>
    <x v="1"/>
    <x v="1"/>
    <d v="1900-01-29T00:00:00"/>
    <n v="48"/>
    <x v="3"/>
    <x v="7"/>
  </r>
  <r>
    <x v="1809"/>
    <n v="-13.5"/>
    <x v="3787"/>
    <n v="4598.97"/>
    <s v="Complete Access"/>
    <x v="687"/>
    <x v="1"/>
    <x v="5"/>
    <d v="1900-01-29T00:00:00"/>
    <n v="48"/>
    <x v="3"/>
    <x v="7"/>
  </r>
  <r>
    <x v="1810"/>
    <n v="-10.45"/>
    <x v="3788"/>
    <n v="4681.22"/>
    <s v="Complete Access"/>
    <x v="839"/>
    <x v="1"/>
    <x v="85"/>
    <d v="1900-01-28T00:00:00"/>
    <n v="48"/>
    <x v="3"/>
    <x v="7"/>
  </r>
  <r>
    <x v="1810"/>
    <n v="-13.4"/>
    <x v="3789"/>
    <n v="4667.82"/>
    <s v="Complete Access"/>
    <x v="609"/>
    <x v="1"/>
    <x v="1"/>
    <d v="1900-01-28T00:00:00"/>
    <n v="48"/>
    <x v="3"/>
    <x v="7"/>
  </r>
  <r>
    <x v="1810"/>
    <n v="-35.25"/>
    <x v="3790"/>
    <n v="4612.47"/>
    <s v="Complete Access"/>
    <x v="853"/>
    <x v="3"/>
    <x v="26"/>
    <d v="1900-01-28T00:00:00"/>
    <n v="48"/>
    <x v="3"/>
    <x v="7"/>
  </r>
  <r>
    <x v="1810"/>
    <n v="-11.45"/>
    <x v="3791"/>
    <n v="4691.67"/>
    <s v="Complete Access"/>
    <x v="27"/>
    <x v="1"/>
    <x v="5"/>
    <d v="1900-01-28T00:00:00"/>
    <n v="48"/>
    <x v="3"/>
    <x v="7"/>
  </r>
  <r>
    <x v="1810"/>
    <n v="-20.100000000000001"/>
    <x v="3792"/>
    <n v="4647.72"/>
    <s v="Complete Access"/>
    <x v="260"/>
    <x v="1"/>
    <x v="5"/>
    <d v="1900-01-28T00:00:00"/>
    <n v="48"/>
    <x v="3"/>
    <x v="7"/>
  </r>
  <r>
    <x v="1811"/>
    <n v="1052.1099999999999"/>
    <x v="3188"/>
    <n v="4703.12"/>
    <s v="Complete Access"/>
    <x v="14"/>
    <x v="6"/>
    <x v="9"/>
    <d v="1900-01-27T00:00:00"/>
    <n v="48"/>
    <x v="3"/>
    <x v="7"/>
  </r>
  <r>
    <x v="1811"/>
    <n v="-36.97"/>
    <x v="3793"/>
    <n v="3651.01"/>
    <s v="Complete Access"/>
    <x v="1"/>
    <x v="1"/>
    <x v="1"/>
    <d v="1900-01-27T00:00:00"/>
    <n v="48"/>
    <x v="3"/>
    <x v="7"/>
  </r>
  <r>
    <x v="1812"/>
    <n v="-13.1"/>
    <x v="3794"/>
    <n v="3774.07"/>
    <s v="Complete Access"/>
    <x v="839"/>
    <x v="1"/>
    <x v="85"/>
    <d v="1900-01-26T00:00:00"/>
    <n v="48"/>
    <x v="3"/>
    <x v="7"/>
  </r>
  <r>
    <x v="1812"/>
    <n v="-7.14"/>
    <x v="3795"/>
    <n v="3749.13"/>
    <s v="Complete Access"/>
    <x v="61"/>
    <x v="1"/>
    <x v="1"/>
    <d v="1900-01-26T00:00:00"/>
    <n v="48"/>
    <x v="3"/>
    <x v="7"/>
  </r>
  <r>
    <x v="1812"/>
    <n v="-16"/>
    <x v="3796"/>
    <n v="3733.13"/>
    <s v="Complete Access"/>
    <x v="854"/>
    <x v="1"/>
    <x v="5"/>
    <d v="1900-01-26T00:00:00"/>
    <n v="48"/>
    <x v="3"/>
    <x v="7"/>
  </r>
  <r>
    <x v="1812"/>
    <n v="-17.8"/>
    <x v="3797"/>
    <n v="3756.27"/>
    <s v="Complete Access"/>
    <x v="855"/>
    <x v="1"/>
    <x v="5"/>
    <d v="1900-01-26T00:00:00"/>
    <n v="48"/>
    <x v="3"/>
    <x v="7"/>
  </r>
  <r>
    <x v="1812"/>
    <n v="-45.15"/>
    <x v="3798"/>
    <n v="3687.98"/>
    <s v="Complete Access"/>
    <x v="1"/>
    <x v="1"/>
    <x v="1"/>
    <d v="1900-01-26T00:00:00"/>
    <n v="48"/>
    <x v="3"/>
    <x v="7"/>
  </r>
  <r>
    <x v="1813"/>
    <n v="-515"/>
    <x v="3404"/>
    <n v="3787.17"/>
    <s v="Complete Access"/>
    <x v="783"/>
    <x v="19"/>
    <x v="61"/>
    <d v="1900-01-23T00:00:00"/>
    <n v="47"/>
    <x v="3"/>
    <x v="7"/>
  </r>
  <r>
    <x v="1813"/>
    <n v="-100"/>
    <x v="2274"/>
    <n v="4302.17"/>
    <s v="Complete Access"/>
    <x v="552"/>
    <x v="0"/>
    <x v="74"/>
    <d v="1900-01-23T00:00:00"/>
    <n v="47"/>
    <x v="3"/>
    <x v="7"/>
  </r>
  <r>
    <x v="1814"/>
    <n v="-12.5"/>
    <x v="3799"/>
    <n v="4452.17"/>
    <s v="Complete Access"/>
    <x v="61"/>
    <x v="1"/>
    <x v="1"/>
    <d v="1900-01-22T00:00:00"/>
    <n v="47"/>
    <x v="3"/>
    <x v="7"/>
  </r>
  <r>
    <x v="1814"/>
    <n v="-50"/>
    <x v="3764"/>
    <n v="4402.17"/>
    <s v="Complete Access"/>
    <x v="601"/>
    <x v="0"/>
    <x v="0"/>
    <d v="1900-01-22T00:00:00"/>
    <n v="47"/>
    <x v="3"/>
    <x v="7"/>
  </r>
  <r>
    <x v="1814"/>
    <n v="-5.95"/>
    <x v="3800"/>
    <n v="4464.67"/>
    <s v="Complete Access"/>
    <x v="806"/>
    <x v="20"/>
    <x v="63"/>
    <d v="1900-01-22T00:00:00"/>
    <n v="47"/>
    <x v="3"/>
    <x v="7"/>
  </r>
  <r>
    <x v="1814"/>
    <n v="-4.4000000000000004"/>
    <x v="3801"/>
    <n v="4498.04"/>
    <s v="Complete Access"/>
    <x v="819"/>
    <x v="5"/>
    <x v="83"/>
    <d v="1900-01-22T00:00:00"/>
    <n v="47"/>
    <x v="3"/>
    <x v="7"/>
  </r>
  <r>
    <x v="1814"/>
    <n v="-4.4000000000000004"/>
    <x v="3801"/>
    <n v="4502.4399999999996"/>
    <s v="Complete Access"/>
    <x v="819"/>
    <x v="5"/>
    <x v="83"/>
    <d v="1900-01-22T00:00:00"/>
    <n v="47"/>
    <x v="3"/>
    <x v="7"/>
  </r>
  <r>
    <x v="1814"/>
    <n v="-13.92"/>
    <x v="3802"/>
    <n v="4470.62"/>
    <s v="Complete Access"/>
    <x v="609"/>
    <x v="1"/>
    <x v="1"/>
    <d v="1900-01-22T00:00:00"/>
    <n v="47"/>
    <x v="3"/>
    <x v="7"/>
  </r>
  <r>
    <x v="1814"/>
    <n v="-13.5"/>
    <x v="3803"/>
    <n v="4484.54"/>
    <s v="Complete Access"/>
    <x v="687"/>
    <x v="1"/>
    <x v="5"/>
    <d v="1900-01-22T00:00:00"/>
    <n v="47"/>
    <x v="3"/>
    <x v="7"/>
  </r>
  <r>
    <x v="1815"/>
    <n v="-13"/>
    <x v="3804"/>
    <n v="4645.25"/>
    <s v="Complete Access"/>
    <x v="839"/>
    <x v="1"/>
    <x v="85"/>
    <d v="1900-01-21T00:00:00"/>
    <n v="47"/>
    <x v="3"/>
    <x v="7"/>
  </r>
  <r>
    <x v="1815"/>
    <n v="-8.41"/>
    <x v="3805"/>
    <n v="4636.84"/>
    <s v="Complete Access"/>
    <x v="61"/>
    <x v="1"/>
    <x v="1"/>
    <d v="1900-01-21T00:00:00"/>
    <n v="47"/>
    <x v="3"/>
    <x v="7"/>
  </r>
  <r>
    <x v="1815"/>
    <n v="-130"/>
    <x v="3806"/>
    <n v="4506.84"/>
    <s v="Complete Access"/>
    <x v="741"/>
    <x v="16"/>
    <x v="81"/>
    <d v="1900-01-21T00:00:00"/>
    <n v="47"/>
    <x v="3"/>
    <x v="7"/>
  </r>
  <r>
    <x v="1815"/>
    <n v="-13.5"/>
    <x v="3807"/>
    <n v="4658.25"/>
    <s v="Complete Access"/>
    <x v="687"/>
    <x v="1"/>
    <x v="5"/>
    <d v="1900-01-21T00:00:00"/>
    <n v="47"/>
    <x v="3"/>
    <x v="7"/>
  </r>
  <r>
    <x v="1816"/>
    <n v="-20"/>
    <x v="3808"/>
    <n v="3662.5"/>
    <s v="Complete Access"/>
    <x v="856"/>
    <x v="4"/>
    <x v="6"/>
    <d v="1900-01-20T00:00:00"/>
    <n v="47"/>
    <x v="3"/>
    <x v="7"/>
  </r>
  <r>
    <x v="1816"/>
    <n v="-10"/>
    <x v="3809"/>
    <n v="3682.5"/>
    <s v="Complete Access"/>
    <x v="856"/>
    <x v="4"/>
    <x v="6"/>
    <d v="1900-01-20T00:00:00"/>
    <n v="47"/>
    <x v="3"/>
    <x v="7"/>
  </r>
  <r>
    <x v="1816"/>
    <n v="-30"/>
    <x v="3810"/>
    <n v="3692.5"/>
    <s v="Complete Access"/>
    <x v="8"/>
    <x v="1"/>
    <x v="5"/>
    <d v="1900-01-20T00:00:00"/>
    <n v="47"/>
    <x v="3"/>
    <x v="7"/>
  </r>
  <r>
    <x v="1816"/>
    <n v="-50"/>
    <x v="3811"/>
    <n v="3722.5"/>
    <s v="Complete Access"/>
    <x v="776"/>
    <x v="5"/>
    <x v="83"/>
    <d v="1900-01-20T00:00:00"/>
    <n v="47"/>
    <x v="3"/>
    <x v="7"/>
  </r>
  <r>
    <x v="1816"/>
    <n v="1080.25"/>
    <x v="3188"/>
    <n v="4671.75"/>
    <s v="Complete Access"/>
    <x v="14"/>
    <x v="6"/>
    <x v="9"/>
    <d v="1900-01-20T00:00:00"/>
    <n v="47"/>
    <x v="3"/>
    <x v="7"/>
  </r>
  <r>
    <x v="1816"/>
    <n v="-60"/>
    <x v="2929"/>
    <n v="3591.5"/>
    <s v="Complete Access"/>
    <x v="645"/>
    <x v="0"/>
    <x v="69"/>
    <d v="1900-01-20T00:00:00"/>
    <n v="47"/>
    <x v="3"/>
    <x v="7"/>
  </r>
  <r>
    <x v="1816"/>
    <n v="-11"/>
    <x v="3812"/>
    <n v="3651.5"/>
    <s v="Complete Access"/>
    <x v="1"/>
    <x v="1"/>
    <x v="1"/>
    <d v="1900-01-20T00:00:00"/>
    <n v="47"/>
    <x v="3"/>
    <x v="7"/>
  </r>
  <r>
    <x v="1817"/>
    <n v="-78.5"/>
    <x v="3813"/>
    <n v="3805.5"/>
    <s v="Complete Access"/>
    <x v="8"/>
    <x v="1"/>
    <x v="5"/>
    <d v="1900-01-19T00:00:00"/>
    <n v="47"/>
    <x v="3"/>
    <x v="7"/>
  </r>
  <r>
    <x v="1817"/>
    <n v="-22.5"/>
    <x v="3814"/>
    <n v="3772.5"/>
    <s v="Complete Access"/>
    <x v="826"/>
    <x v="8"/>
    <x v="29"/>
    <d v="1900-01-19T00:00:00"/>
    <n v="47"/>
    <x v="3"/>
    <x v="7"/>
  </r>
  <r>
    <x v="1817"/>
    <n v="-13.5"/>
    <x v="3815"/>
    <n v="3884"/>
    <s v="Complete Access"/>
    <x v="687"/>
    <x v="1"/>
    <x v="5"/>
    <d v="1900-01-19T00:00:00"/>
    <n v="47"/>
    <x v="3"/>
    <x v="7"/>
  </r>
  <r>
    <x v="1817"/>
    <n v="-10.5"/>
    <x v="3816"/>
    <n v="3795"/>
    <s v="Complete Access"/>
    <x v="277"/>
    <x v="8"/>
    <x v="29"/>
    <d v="1900-01-19T00:00:00"/>
    <n v="47"/>
    <x v="3"/>
    <x v="7"/>
  </r>
  <r>
    <x v="1818"/>
    <n v="-18.5"/>
    <x v="3817"/>
    <n v="3897.5"/>
    <s v="Complete Access"/>
    <x v="857"/>
    <x v="4"/>
    <x v="6"/>
    <d v="1900-01-16T00:00:00"/>
    <n v="46"/>
    <x v="3"/>
    <x v="7"/>
  </r>
  <r>
    <x v="1818"/>
    <n v="-10"/>
    <x v="3818"/>
    <n v="3916"/>
    <s v="Complete Access"/>
    <x v="856"/>
    <x v="4"/>
    <x v="6"/>
    <d v="1900-01-16T00:00:00"/>
    <n v="46"/>
    <x v="3"/>
    <x v="7"/>
  </r>
  <r>
    <x v="1818"/>
    <n v="-16.239999999999998"/>
    <x v="3819"/>
    <n v="3926"/>
    <s v="Complete Access"/>
    <x v="858"/>
    <x v="8"/>
    <x v="29"/>
    <d v="1900-01-16T00:00:00"/>
    <n v="46"/>
    <x v="3"/>
    <x v="7"/>
  </r>
  <r>
    <x v="1818"/>
    <n v="-8.1199999999999992"/>
    <x v="3819"/>
    <n v="3942.24"/>
    <s v="Complete Access"/>
    <x v="858"/>
    <x v="8"/>
    <x v="29"/>
    <d v="1900-01-16T00:00:00"/>
    <n v="46"/>
    <x v="3"/>
    <x v="7"/>
  </r>
  <r>
    <x v="1818"/>
    <n v="-515"/>
    <x v="3404"/>
    <n v="3950.36"/>
    <s v="Complete Access"/>
    <x v="783"/>
    <x v="19"/>
    <x v="61"/>
    <d v="1900-01-16T00:00:00"/>
    <n v="46"/>
    <x v="3"/>
    <x v="7"/>
  </r>
  <r>
    <x v="1818"/>
    <n v="-100"/>
    <x v="2274"/>
    <n v="4465.3599999999997"/>
    <s v="Complete Access"/>
    <x v="552"/>
    <x v="0"/>
    <x v="74"/>
    <d v="1900-01-16T00:00:00"/>
    <n v="46"/>
    <x v="3"/>
    <x v="7"/>
  </r>
  <r>
    <x v="1819"/>
    <n v="30"/>
    <x v="3112"/>
    <n v="4540.3599999999997"/>
    <s v="Complete Access"/>
    <x v="76"/>
    <x v="2"/>
    <x v="2"/>
    <d v="1900-01-15T00:00:00"/>
    <n v="46"/>
    <x v="3"/>
    <x v="7"/>
  </r>
  <r>
    <x v="1819"/>
    <n v="25"/>
    <x v="3820"/>
    <n v="4565.3599999999997"/>
    <s v="Complete Access"/>
    <x v="67"/>
    <x v="0"/>
    <x v="0"/>
    <d v="1900-01-15T00:00:00"/>
    <n v="46"/>
    <x v="3"/>
    <x v="7"/>
  </r>
  <r>
    <x v="1819"/>
    <n v="-13.5"/>
    <x v="3821"/>
    <n v="4510.3599999999997"/>
    <s v="Complete Access"/>
    <x v="687"/>
    <x v="1"/>
    <x v="5"/>
    <d v="1900-01-15T00:00:00"/>
    <n v="46"/>
    <x v="3"/>
    <x v="7"/>
  </r>
  <r>
    <x v="1820"/>
    <n v="-37.64"/>
    <x v="3822"/>
    <n v="4513.3599999999997"/>
    <s v="Complete Access"/>
    <x v="841"/>
    <x v="2"/>
    <x v="86"/>
    <d v="1900-01-14T00:00:00"/>
    <n v="46"/>
    <x v="3"/>
    <x v="7"/>
  </r>
  <r>
    <x v="1820"/>
    <n v="-12.5"/>
    <x v="3823"/>
    <n v="4500.8599999999997"/>
    <s v="Complete Access"/>
    <x v="843"/>
    <x v="1"/>
    <x v="5"/>
    <d v="1900-01-14T00:00:00"/>
    <n v="46"/>
    <x v="3"/>
    <x v="7"/>
  </r>
  <r>
    <x v="1820"/>
    <n v="23"/>
    <x v="3136"/>
    <n v="4523.8599999999997"/>
    <s v="Complete Access"/>
    <x v="27"/>
    <x v="1"/>
    <x v="5"/>
    <d v="1900-01-14T00:00:00"/>
    <n v="46"/>
    <x v="3"/>
    <x v="7"/>
  </r>
  <r>
    <x v="1821"/>
    <n v="-37"/>
    <x v="3824"/>
    <n v="3509.45"/>
    <s v="Complete Access"/>
    <x v="8"/>
    <x v="1"/>
    <x v="5"/>
    <d v="1900-01-13T00:00:00"/>
    <n v="46"/>
    <x v="3"/>
    <x v="7"/>
  </r>
  <r>
    <x v="1821"/>
    <n v="-30"/>
    <x v="3825"/>
    <n v="3479.45"/>
    <s v="Complete Access"/>
    <x v="8"/>
    <x v="1"/>
    <x v="5"/>
    <d v="1900-01-13T00:00:00"/>
    <n v="46"/>
    <x v="3"/>
    <x v="7"/>
  </r>
  <r>
    <x v="1821"/>
    <n v="1080.25"/>
    <x v="3188"/>
    <n v="4551"/>
    <s v="Complete Access"/>
    <x v="14"/>
    <x v="6"/>
    <x v="9"/>
    <d v="1900-01-13T00:00:00"/>
    <n v="46"/>
    <x v="3"/>
    <x v="7"/>
  </r>
  <r>
    <x v="1821"/>
    <n v="-8.6999999999999993"/>
    <x v="3826"/>
    <n v="3470.75"/>
    <s v="Complete Access"/>
    <x v="1"/>
    <x v="1"/>
    <x v="1"/>
    <d v="1900-01-13T00:00:00"/>
    <n v="46"/>
    <x v="3"/>
    <x v="7"/>
  </r>
  <r>
    <x v="1822"/>
    <n v="-10.65"/>
    <x v="3827"/>
    <n v="3709.18"/>
    <s v="Complete Access"/>
    <x v="839"/>
    <x v="1"/>
    <x v="85"/>
    <d v="1900-01-12T00:00:00"/>
    <n v="46"/>
    <x v="3"/>
    <x v="7"/>
  </r>
  <r>
    <x v="1822"/>
    <n v="-7"/>
    <x v="3828"/>
    <n v="3702.18"/>
    <s v="Complete Access"/>
    <x v="61"/>
    <x v="1"/>
    <x v="1"/>
    <d v="1900-01-12T00:00:00"/>
    <n v="46"/>
    <x v="3"/>
    <x v="7"/>
  </r>
  <r>
    <x v="1822"/>
    <n v="-50"/>
    <x v="3829"/>
    <n v="3719.83"/>
    <s v="Complete Access"/>
    <x v="819"/>
    <x v="5"/>
    <x v="83"/>
    <d v="1900-01-12T00:00:00"/>
    <n v="46"/>
    <x v="3"/>
    <x v="7"/>
  </r>
  <r>
    <x v="1822"/>
    <n v="-35.36"/>
    <x v="3830"/>
    <n v="3769.83"/>
    <s v="Complete Access"/>
    <x v="609"/>
    <x v="1"/>
    <x v="1"/>
    <d v="1900-01-12T00:00:00"/>
    <n v="46"/>
    <x v="3"/>
    <x v="7"/>
  </r>
  <r>
    <x v="1822"/>
    <n v="-35.53"/>
    <x v="3831"/>
    <n v="3619.45"/>
    <s v="Complete Access"/>
    <x v="859"/>
    <x v="1"/>
    <x v="5"/>
    <d v="1900-01-12T00:00:00"/>
    <n v="46"/>
    <x v="3"/>
    <x v="7"/>
  </r>
  <r>
    <x v="1822"/>
    <n v="-9.14"/>
    <x v="3831"/>
    <n v="3654.98"/>
    <s v="Complete Access"/>
    <x v="859"/>
    <x v="1"/>
    <x v="5"/>
    <d v="1900-01-12T00:00:00"/>
    <n v="46"/>
    <x v="3"/>
    <x v="7"/>
  </r>
  <r>
    <x v="1822"/>
    <n v="-18.27"/>
    <x v="3831"/>
    <n v="3664.12"/>
    <s v="Complete Access"/>
    <x v="859"/>
    <x v="1"/>
    <x v="5"/>
    <d v="1900-01-12T00:00:00"/>
    <n v="46"/>
    <x v="3"/>
    <x v="7"/>
  </r>
  <r>
    <x v="1822"/>
    <n v="-19.79"/>
    <x v="3831"/>
    <n v="3682.39"/>
    <s v="Complete Access"/>
    <x v="859"/>
    <x v="1"/>
    <x v="5"/>
    <d v="1900-01-12T00:00:00"/>
    <n v="46"/>
    <x v="3"/>
    <x v="7"/>
  </r>
  <r>
    <x v="1822"/>
    <n v="-73"/>
    <x v="2543"/>
    <n v="3546.45"/>
    <s v="Complete Access"/>
    <x v="17"/>
    <x v="7"/>
    <x v="11"/>
    <d v="1900-01-12T00:00:00"/>
    <n v="46"/>
    <x v="3"/>
    <x v="7"/>
  </r>
  <r>
    <x v="1823"/>
    <n v="-6"/>
    <x v="3832"/>
    <n v="4420.1899999999996"/>
    <s v="Complete Access"/>
    <x v="61"/>
    <x v="1"/>
    <x v="1"/>
    <d v="1900-01-09T00:00:00"/>
    <n v="45"/>
    <x v="3"/>
    <x v="7"/>
  </r>
  <r>
    <x v="1823"/>
    <n v="-515"/>
    <x v="3404"/>
    <n v="3805.19"/>
    <s v="Complete Access"/>
    <x v="783"/>
    <x v="19"/>
    <x v="61"/>
    <d v="1900-01-09T00:00:00"/>
    <n v="45"/>
    <x v="3"/>
    <x v="7"/>
  </r>
  <r>
    <x v="1823"/>
    <n v="-100"/>
    <x v="2274"/>
    <n v="4320.1899999999996"/>
    <s v="Complete Access"/>
    <x v="552"/>
    <x v="0"/>
    <x v="74"/>
    <d v="1900-01-09T00:00:00"/>
    <n v="45"/>
    <x v="3"/>
    <x v="7"/>
  </r>
  <r>
    <x v="1824"/>
    <n v="-6"/>
    <x v="3833"/>
    <n v="4518.18"/>
    <s v="Complete Access"/>
    <x v="61"/>
    <x v="1"/>
    <x v="1"/>
    <d v="1900-01-08T00:00:00"/>
    <n v="45"/>
    <x v="3"/>
    <x v="7"/>
  </r>
  <r>
    <x v="1824"/>
    <n v="-50"/>
    <x v="3764"/>
    <n v="4456.1899999999996"/>
    <s v="Complete Access"/>
    <x v="601"/>
    <x v="0"/>
    <x v="0"/>
    <d v="1900-01-08T00:00:00"/>
    <n v="45"/>
    <x v="3"/>
    <x v="7"/>
  </r>
  <r>
    <x v="1824"/>
    <n v="-11.99"/>
    <x v="3834"/>
    <n v="4506.1899999999996"/>
    <s v="Complete Access"/>
    <x v="860"/>
    <x v="8"/>
    <x v="22"/>
    <d v="1900-01-08T00:00:00"/>
    <n v="45"/>
    <x v="3"/>
    <x v="7"/>
  </r>
  <r>
    <x v="1824"/>
    <n v="-30"/>
    <x v="3835"/>
    <n v="4426.1899999999996"/>
    <s v="Complete Access"/>
    <x v="861"/>
    <x v="3"/>
    <x v="26"/>
    <d v="1900-01-08T00:00:00"/>
    <n v="45"/>
    <x v="3"/>
    <x v="7"/>
  </r>
  <r>
    <x v="1825"/>
    <n v="-17"/>
    <x v="3836"/>
    <n v="4654.18"/>
    <s v="Complete Access"/>
    <x v="842"/>
    <x v="8"/>
    <x v="29"/>
    <d v="1900-01-07T00:00:00"/>
    <n v="45"/>
    <x v="3"/>
    <x v="7"/>
  </r>
  <r>
    <x v="1825"/>
    <n v="-12.5"/>
    <x v="3837"/>
    <n v="4742.1099999999997"/>
    <s v="Complete Access"/>
    <x v="843"/>
    <x v="1"/>
    <x v="5"/>
    <d v="1900-01-07T00:00:00"/>
    <n v="45"/>
    <x v="3"/>
    <x v="7"/>
  </r>
  <r>
    <x v="1825"/>
    <n v="-130"/>
    <x v="3838"/>
    <n v="4524.18"/>
    <s v="Complete Access"/>
    <x v="741"/>
    <x v="16"/>
    <x v="81"/>
    <d v="1900-01-07T00:00:00"/>
    <n v="45"/>
    <x v="3"/>
    <x v="7"/>
  </r>
  <r>
    <x v="1825"/>
    <n v="-70.930000000000007"/>
    <x v="3839"/>
    <n v="4671.18"/>
    <s v="Complete Access"/>
    <x v="1"/>
    <x v="1"/>
    <x v="1"/>
    <d v="1900-01-07T00:00:00"/>
    <n v="45"/>
    <x v="3"/>
    <x v="7"/>
  </r>
  <r>
    <x v="1826"/>
    <n v="-46.5"/>
    <x v="3840"/>
    <n v="3674.36"/>
    <s v="Complete Access"/>
    <x v="8"/>
    <x v="1"/>
    <x v="5"/>
    <d v="1900-01-06T00:00:00"/>
    <n v="45"/>
    <x v="3"/>
    <x v="7"/>
  </r>
  <r>
    <x v="1826"/>
    <n v="1080.25"/>
    <x v="3188"/>
    <n v="4754.6099999999997"/>
    <s v="Complete Access"/>
    <x v="14"/>
    <x v="6"/>
    <x v="9"/>
    <d v="1900-01-06T00:00:00"/>
    <n v="45"/>
    <x v="3"/>
    <x v="7"/>
  </r>
  <r>
    <x v="1826"/>
    <n v="-57"/>
    <x v="3841"/>
    <n v="3720.86"/>
    <s v="Complete Access"/>
    <x v="343"/>
    <x v="1"/>
    <x v="5"/>
    <d v="1900-01-06T00:00:00"/>
    <n v="45"/>
    <x v="3"/>
    <x v="7"/>
  </r>
  <r>
    <x v="1827"/>
    <n v="20"/>
    <x v="3842"/>
    <n v="3777.86"/>
    <s v="Complete Access"/>
    <x v="67"/>
    <x v="0"/>
    <x v="0"/>
    <d v="1900-01-04T00:00:00"/>
    <n v="45"/>
    <x v="3"/>
    <x v="7"/>
  </r>
  <r>
    <x v="1828"/>
    <n v="-15.54"/>
    <x v="3317"/>
    <n v="3757.86"/>
    <s v="Complete Access"/>
    <x v="761"/>
    <x v="15"/>
    <x v="34"/>
    <d v="1900-01-03T00:00:00"/>
    <n v="45"/>
    <x v="3"/>
    <x v="7"/>
  </r>
  <r>
    <x v="1829"/>
    <n v="-50"/>
    <x v="3843"/>
    <n v="3798.9"/>
    <s v="Complete Access"/>
    <x v="601"/>
    <x v="0"/>
    <x v="0"/>
    <d v="1900-01-02T00:00:00"/>
    <n v="44"/>
    <x v="3"/>
    <x v="7"/>
  </r>
  <r>
    <x v="1829"/>
    <n v="-20"/>
    <x v="3843"/>
    <n v="3851.4"/>
    <s v="Complete Access"/>
    <x v="601"/>
    <x v="0"/>
    <x v="0"/>
    <d v="1900-01-02T00:00:00"/>
    <n v="44"/>
    <x v="3"/>
    <x v="7"/>
  </r>
  <r>
    <x v="1829"/>
    <n v="-17"/>
    <x v="3844"/>
    <n v="3940.4"/>
    <s v="Complete Access"/>
    <x v="842"/>
    <x v="8"/>
    <x v="29"/>
    <d v="1900-01-02T00:00:00"/>
    <n v="44"/>
    <x v="3"/>
    <x v="7"/>
  </r>
  <r>
    <x v="1829"/>
    <n v="-515"/>
    <x v="3404"/>
    <n v="3957.4"/>
    <s v="Complete Access"/>
    <x v="783"/>
    <x v="19"/>
    <x v="61"/>
    <d v="1900-01-02T00:00:00"/>
    <n v="44"/>
    <x v="3"/>
    <x v="7"/>
  </r>
  <r>
    <x v="1829"/>
    <n v="-2.5"/>
    <x v="72"/>
    <n v="3796.4"/>
    <s v="Complete Access"/>
    <x v="37"/>
    <x v="0"/>
    <x v="0"/>
    <d v="1900-01-02T00:00:00"/>
    <n v="44"/>
    <x v="3"/>
    <x v="7"/>
  </r>
  <r>
    <x v="1829"/>
    <n v="-2.5"/>
    <x v="72"/>
    <n v="3848.9"/>
    <s v="Complete Access"/>
    <x v="37"/>
    <x v="0"/>
    <x v="0"/>
    <d v="1900-01-02T00:00:00"/>
    <n v="44"/>
    <x v="3"/>
    <x v="7"/>
  </r>
  <r>
    <x v="1829"/>
    <n v="-100"/>
    <x v="2274"/>
    <n v="4472.3999999999996"/>
    <s v="Complete Access"/>
    <x v="552"/>
    <x v="0"/>
    <x v="74"/>
    <d v="1900-01-02T00:00:00"/>
    <n v="44"/>
    <x v="3"/>
    <x v="7"/>
  </r>
  <r>
    <x v="1829"/>
    <n v="-12"/>
    <x v="3061"/>
    <n v="3773.4"/>
    <s v="Complete Access"/>
    <x v="27"/>
    <x v="1"/>
    <x v="5"/>
    <d v="1900-01-02T00:00:00"/>
    <n v="44"/>
    <x v="3"/>
    <x v="7"/>
  </r>
  <r>
    <x v="1829"/>
    <n v="-11"/>
    <x v="3845"/>
    <n v="3785.4"/>
    <s v="Complete Access"/>
    <x v="862"/>
    <x v="8"/>
    <x v="29"/>
    <d v="1900-01-02T00:00:00"/>
    <n v="44"/>
    <x v="3"/>
    <x v="7"/>
  </r>
  <r>
    <x v="1829"/>
    <n v="-9"/>
    <x v="3845"/>
    <n v="3871.4"/>
    <s v="Complete Access"/>
    <x v="862"/>
    <x v="8"/>
    <x v="29"/>
    <d v="1900-01-02T00:00:00"/>
    <n v="44"/>
    <x v="3"/>
    <x v="7"/>
  </r>
  <r>
    <x v="1829"/>
    <n v="-60"/>
    <x v="3846"/>
    <n v="3880.4"/>
    <s v="Complete Access"/>
    <x v="219"/>
    <x v="7"/>
    <x v="53"/>
    <d v="1900-01-02T00:00:00"/>
    <n v="44"/>
    <x v="3"/>
    <x v="7"/>
  </r>
  <r>
    <x v="1830"/>
    <n v="-11.35"/>
    <x v="3203"/>
    <n v="4598.8999999999996"/>
    <s v="Complete Access"/>
    <x v="188"/>
    <x v="1"/>
    <x v="1"/>
    <d v="1900-01-01T00:00:00"/>
    <n v="44"/>
    <x v="3"/>
    <x v="7"/>
  </r>
  <r>
    <x v="1830"/>
    <n v="-50"/>
    <x v="3847"/>
    <n v="4610.25"/>
    <s v="Complete Access"/>
    <x v="819"/>
    <x v="5"/>
    <x v="83"/>
    <d v="1900-01-01T00:00:00"/>
    <n v="44"/>
    <x v="3"/>
    <x v="7"/>
  </r>
  <r>
    <x v="1830"/>
    <n v="-26.5"/>
    <x v="3848"/>
    <n v="4572.3999999999996"/>
    <s v="Complete Access"/>
    <x v="826"/>
    <x v="8"/>
    <x v="29"/>
    <d v="1900-01-01T00:00:00"/>
    <n v="44"/>
    <x v="3"/>
    <x v="7"/>
  </r>
  <r>
    <x v="1830"/>
    <n v="-13.5"/>
    <x v="3849"/>
    <n v="4660.25"/>
    <s v="Complete Access"/>
    <x v="687"/>
    <x v="1"/>
    <x v="5"/>
    <d v="1900-01-01T00:00:00"/>
    <n v="44"/>
    <x v="3"/>
    <x v="7"/>
  </r>
  <r>
    <x v="1831"/>
    <n v="-12.6"/>
    <x v="3850"/>
    <n v="4982.72"/>
    <s v="Complete Access"/>
    <x v="839"/>
    <x v="1"/>
    <x v="85"/>
    <d v="1899-12-31T00:00:00"/>
    <n v="44"/>
    <x v="3"/>
    <x v="7"/>
  </r>
  <r>
    <x v="1831"/>
    <n v="-34.85"/>
    <x v="3851"/>
    <n v="4940.62"/>
    <s v="Complete Access"/>
    <x v="8"/>
    <x v="1"/>
    <x v="5"/>
    <d v="1899-12-31T00:00:00"/>
    <n v="44"/>
    <x v="3"/>
    <x v="7"/>
  </r>
  <r>
    <x v="1831"/>
    <n v="-7.25"/>
    <x v="3852"/>
    <n v="4975.47"/>
    <s v="Complete Access"/>
    <x v="609"/>
    <x v="1"/>
    <x v="1"/>
    <d v="1899-12-31T00:00:00"/>
    <n v="44"/>
    <x v="3"/>
    <x v="7"/>
  </r>
  <r>
    <x v="1831"/>
    <n v="-12.5"/>
    <x v="3853"/>
    <n v="4995.32"/>
    <s v="Complete Access"/>
    <x v="843"/>
    <x v="1"/>
    <x v="5"/>
    <d v="1899-12-31T00:00:00"/>
    <n v="44"/>
    <x v="3"/>
    <x v="7"/>
  </r>
  <r>
    <x v="1831"/>
    <n v="-70"/>
    <x v="3854"/>
    <n v="4870.62"/>
    <s v="Complete Access"/>
    <x v="393"/>
    <x v="11"/>
    <x v="49"/>
    <d v="1899-12-31T00:00:00"/>
    <n v="44"/>
    <x v="3"/>
    <x v="7"/>
  </r>
  <r>
    <x v="1831"/>
    <n v="-166.4"/>
    <x v="3855"/>
    <n v="4673.75"/>
    <s v="Complete Access"/>
    <x v="76"/>
    <x v="2"/>
    <x v="2"/>
    <d v="1899-12-31T00:00:00"/>
    <n v="44"/>
    <x v="3"/>
    <x v="7"/>
  </r>
  <r>
    <x v="1831"/>
    <n v="-30.47"/>
    <x v="3856"/>
    <n v="4840.1499999999996"/>
    <s v="Complete Access"/>
    <x v="1"/>
    <x v="1"/>
    <x v="1"/>
    <d v="1899-12-31T00:00:00"/>
    <n v="44"/>
    <x v="3"/>
    <x v="7"/>
  </r>
  <r>
    <x v="1832"/>
    <n v="-4.38"/>
    <x v="3203"/>
    <n v="3946.07"/>
    <s v="Complete Access"/>
    <x v="188"/>
    <x v="1"/>
    <x v="1"/>
    <d v="1900-01-30T00:00:00"/>
    <n v="44"/>
    <x v="4"/>
    <x v="7"/>
  </r>
  <r>
    <x v="1832"/>
    <n v="-17.5"/>
    <x v="3857"/>
    <n v="3960.44"/>
    <s v="Complete Access"/>
    <x v="863"/>
    <x v="8"/>
    <x v="29"/>
    <d v="1900-01-30T00:00:00"/>
    <n v="44"/>
    <x v="4"/>
    <x v="7"/>
  </r>
  <r>
    <x v="1832"/>
    <n v="1080.25"/>
    <x v="3188"/>
    <n v="5007.82"/>
    <s v="Complete Access"/>
    <x v="14"/>
    <x v="6"/>
    <x v="9"/>
    <d v="1900-01-30T00:00:00"/>
    <n v="44"/>
    <x v="4"/>
    <x v="7"/>
  </r>
  <r>
    <x v="1832"/>
    <n v="-12.5"/>
    <x v="3858"/>
    <n v="3933.57"/>
    <s v="Complete Access"/>
    <x v="843"/>
    <x v="1"/>
    <x v="5"/>
    <d v="1900-01-30T00:00:00"/>
    <n v="44"/>
    <x v="4"/>
    <x v="7"/>
  </r>
  <r>
    <x v="1832"/>
    <n v="-9.99"/>
    <x v="3859"/>
    <n v="3950.45"/>
    <s v="Complete Access"/>
    <x v="373"/>
    <x v="8"/>
    <x v="7"/>
    <d v="1900-01-30T00:00:00"/>
    <n v="44"/>
    <x v="4"/>
    <x v="7"/>
  </r>
  <r>
    <x v="1832"/>
    <n v="-6"/>
    <x v="3860"/>
    <n v="3927.57"/>
    <s v="Complete Access"/>
    <x v="587"/>
    <x v="8"/>
    <x v="22"/>
    <d v="1900-01-30T00:00:00"/>
    <n v="44"/>
    <x v="4"/>
    <x v="7"/>
  </r>
  <r>
    <x v="1833"/>
    <n v="-6.7"/>
    <x v="3861"/>
    <n v="3942.94"/>
    <s v="Complete Access"/>
    <x v="447"/>
    <x v="3"/>
    <x v="26"/>
    <d v="1900-01-29T00:00:00"/>
    <n v="44"/>
    <x v="4"/>
    <x v="7"/>
  </r>
  <r>
    <x v="1833"/>
    <n v="87.99"/>
    <x v="3862"/>
    <n v="4007.74"/>
    <s v="Complete Access"/>
    <x v="864"/>
    <x v="3"/>
    <x v="15"/>
    <d v="1900-01-29T00:00:00"/>
    <n v="44"/>
    <x v="4"/>
    <x v="7"/>
  </r>
  <r>
    <x v="1833"/>
    <n v="-12.5"/>
    <x v="3863"/>
    <n v="3995.24"/>
    <s v="Complete Access"/>
    <x v="843"/>
    <x v="1"/>
    <x v="5"/>
    <d v="1900-01-29T00:00:00"/>
    <n v="44"/>
    <x v="4"/>
    <x v="7"/>
  </r>
  <r>
    <x v="1833"/>
    <n v="35"/>
    <x v="3024"/>
    <n v="3977.94"/>
    <s v="Complete Access"/>
    <x v="27"/>
    <x v="1"/>
    <x v="5"/>
    <d v="1900-01-29T00:00:00"/>
    <n v="44"/>
    <x v="4"/>
    <x v="7"/>
  </r>
  <r>
    <x v="1833"/>
    <n v="-45.6"/>
    <x v="3864"/>
    <n v="3949.64"/>
    <s v="Complete Access"/>
    <x v="1"/>
    <x v="1"/>
    <x v="1"/>
    <d v="1900-01-29T00:00:00"/>
    <n v="44"/>
    <x v="4"/>
    <x v="7"/>
  </r>
  <r>
    <x v="1834"/>
    <n v="-29.82"/>
    <x v="3729"/>
    <n v="3919.75"/>
    <s v="Complete Access"/>
    <x v="668"/>
    <x v="15"/>
    <x v="34"/>
    <d v="1900-01-27T00:00:00"/>
    <n v="44"/>
    <x v="4"/>
    <x v="7"/>
  </r>
  <r>
    <x v="1834"/>
    <n v="-8.5"/>
    <x v="3865"/>
    <n v="3969.57"/>
    <s v="Complete Access"/>
    <x v="863"/>
    <x v="8"/>
    <x v="29"/>
    <d v="1900-01-27T00:00:00"/>
    <n v="44"/>
    <x v="4"/>
    <x v="7"/>
  </r>
  <r>
    <x v="1834"/>
    <n v="-8.5"/>
    <x v="3865"/>
    <n v="3978.07"/>
    <s v="Complete Access"/>
    <x v="863"/>
    <x v="8"/>
    <x v="29"/>
    <d v="1900-01-27T00:00:00"/>
    <n v="44"/>
    <x v="4"/>
    <x v="7"/>
  </r>
  <r>
    <x v="1834"/>
    <n v="-19"/>
    <x v="3865"/>
    <n v="3986.57"/>
    <s v="Complete Access"/>
    <x v="863"/>
    <x v="8"/>
    <x v="29"/>
    <d v="1900-01-27T00:00:00"/>
    <n v="44"/>
    <x v="4"/>
    <x v="7"/>
  </r>
  <r>
    <x v="1834"/>
    <n v="-8.5"/>
    <x v="3865"/>
    <n v="4005.57"/>
    <s v="Complete Access"/>
    <x v="863"/>
    <x v="8"/>
    <x v="29"/>
    <d v="1900-01-27T00:00:00"/>
    <n v="44"/>
    <x v="4"/>
    <x v="7"/>
  </r>
  <r>
    <x v="1834"/>
    <n v="-20"/>
    <x v="3866"/>
    <n v="3949.57"/>
    <s v="Complete Access"/>
    <x v="865"/>
    <x v="1"/>
    <x v="5"/>
    <d v="1900-01-27T00:00:00"/>
    <n v="44"/>
    <x v="4"/>
    <x v="7"/>
  </r>
  <r>
    <x v="1835"/>
    <n v="-515"/>
    <x v="3404"/>
    <n v="4089.37"/>
    <s v="Complete Access"/>
    <x v="783"/>
    <x v="19"/>
    <x v="61"/>
    <d v="1900-01-26T00:00:00"/>
    <n v="43"/>
    <x v="4"/>
    <x v="7"/>
  </r>
  <r>
    <x v="1835"/>
    <n v="-32"/>
    <x v="3867"/>
    <n v="4044.87"/>
    <s v="Complete Access"/>
    <x v="609"/>
    <x v="1"/>
    <x v="1"/>
    <d v="1900-01-26T00:00:00"/>
    <n v="43"/>
    <x v="4"/>
    <x v="7"/>
  </r>
  <r>
    <x v="1835"/>
    <n v="-12.5"/>
    <x v="3868"/>
    <n v="4076.87"/>
    <s v="Complete Access"/>
    <x v="843"/>
    <x v="1"/>
    <x v="5"/>
    <d v="1900-01-26T00:00:00"/>
    <n v="43"/>
    <x v="4"/>
    <x v="7"/>
  </r>
  <r>
    <x v="1835"/>
    <n v="-10.3"/>
    <x v="3869"/>
    <n v="4034.57"/>
    <s v="Complete Access"/>
    <x v="47"/>
    <x v="1"/>
    <x v="5"/>
    <d v="1900-01-26T00:00:00"/>
    <n v="43"/>
    <x v="4"/>
    <x v="7"/>
  </r>
  <r>
    <x v="1835"/>
    <n v="-100"/>
    <x v="2274"/>
    <n v="4604.37"/>
    <s v="Complete Access"/>
    <x v="552"/>
    <x v="0"/>
    <x v="74"/>
    <d v="1900-01-26T00:00:00"/>
    <n v="43"/>
    <x v="4"/>
    <x v="7"/>
  </r>
  <r>
    <x v="1835"/>
    <n v="-20.5"/>
    <x v="3870"/>
    <n v="4014.07"/>
    <s v="Complete Access"/>
    <x v="260"/>
    <x v="1"/>
    <x v="5"/>
    <d v="1900-01-26T00:00:00"/>
    <n v="43"/>
    <x v="4"/>
    <x v="7"/>
  </r>
  <r>
    <x v="1836"/>
    <n v="-4.21"/>
    <x v="3871"/>
    <n v="4704.37"/>
    <s v="Complete Access"/>
    <x v="61"/>
    <x v="1"/>
    <x v="1"/>
    <d v="1900-01-25T00:00:00"/>
    <n v="43"/>
    <x v="4"/>
    <x v="7"/>
  </r>
  <r>
    <x v="1836"/>
    <n v="-4.3"/>
    <x v="3872"/>
    <n v="4708.58"/>
    <s v="Complete Access"/>
    <x v="199"/>
    <x v="14"/>
    <x v="46"/>
    <d v="1900-01-25T00:00:00"/>
    <n v="43"/>
    <x v="4"/>
    <x v="7"/>
  </r>
  <r>
    <x v="1837"/>
    <n v="-7.12"/>
    <x v="3873"/>
    <n v="4859.88"/>
    <s v="Complete Access"/>
    <x v="61"/>
    <x v="1"/>
    <x v="1"/>
    <d v="1900-01-24T00:00:00"/>
    <n v="43"/>
    <x v="4"/>
    <x v="7"/>
  </r>
  <r>
    <x v="1837"/>
    <n v="-17"/>
    <x v="3874"/>
    <n v="4842.88"/>
    <s v="Complete Access"/>
    <x v="842"/>
    <x v="8"/>
    <x v="29"/>
    <d v="1900-01-24T00:00:00"/>
    <n v="43"/>
    <x v="4"/>
    <x v="7"/>
  </r>
  <r>
    <x v="1837"/>
    <n v="-130"/>
    <x v="3875"/>
    <n v="4712.88"/>
    <s v="Complete Access"/>
    <x v="741"/>
    <x v="16"/>
    <x v="81"/>
    <d v="1900-01-24T00:00:00"/>
    <n v="43"/>
    <x v="4"/>
    <x v="7"/>
  </r>
  <r>
    <x v="1837"/>
    <n v="-41"/>
    <x v="3876"/>
    <n v="4867"/>
    <s v="Complete Access"/>
    <x v="1"/>
    <x v="1"/>
    <x v="1"/>
    <d v="1900-01-24T00:00:00"/>
    <n v="43"/>
    <x v="4"/>
    <x v="7"/>
  </r>
  <r>
    <x v="1837"/>
    <n v="-13.5"/>
    <x v="3877"/>
    <n v="4908"/>
    <s v="Complete Access"/>
    <x v="687"/>
    <x v="1"/>
    <x v="5"/>
    <d v="1900-01-24T00:00:00"/>
    <n v="43"/>
    <x v="4"/>
    <x v="7"/>
  </r>
  <r>
    <x v="1838"/>
    <n v="1080.25"/>
    <x v="3188"/>
    <n v="4921.5"/>
    <s v="Complete Access"/>
    <x v="14"/>
    <x v="6"/>
    <x v="9"/>
    <d v="1900-01-23T00:00:00"/>
    <n v="43"/>
    <x v="4"/>
    <x v="7"/>
  </r>
  <r>
    <x v="1838"/>
    <n v="-31.4"/>
    <x v="3878"/>
    <n v="3811.25"/>
    <s v="Complete Access"/>
    <x v="343"/>
    <x v="1"/>
    <x v="5"/>
    <d v="1900-01-23T00:00:00"/>
    <n v="43"/>
    <x v="4"/>
    <x v="7"/>
  </r>
  <r>
    <x v="1838"/>
    <n v="30"/>
    <x v="3879"/>
    <n v="3841.25"/>
    <s v="Complete Access"/>
    <x v="645"/>
    <x v="0"/>
    <x v="69"/>
    <d v="1900-01-23T00:00:00"/>
    <n v="43"/>
    <x v="4"/>
    <x v="7"/>
  </r>
  <r>
    <x v="1839"/>
    <n v="-50"/>
    <x v="3403"/>
    <n v="3842.65"/>
    <s v="Complete Access"/>
    <x v="601"/>
    <x v="0"/>
    <x v="0"/>
    <d v="1900-01-22T00:00:00"/>
    <n v="43"/>
    <x v="4"/>
    <x v="7"/>
  </r>
  <r>
    <x v="1839"/>
    <n v="-13.5"/>
    <x v="3880"/>
    <n v="3892.65"/>
    <s v="Complete Access"/>
    <x v="687"/>
    <x v="1"/>
    <x v="5"/>
    <d v="1900-01-22T00:00:00"/>
    <n v="43"/>
    <x v="4"/>
    <x v="7"/>
  </r>
  <r>
    <x v="1840"/>
    <n v="-6.64"/>
    <x v="3203"/>
    <n v="3906.15"/>
    <s v="Complete Access"/>
    <x v="188"/>
    <x v="1"/>
    <x v="1"/>
    <d v="1900-01-21T00:00:00"/>
    <n v="43"/>
    <x v="4"/>
    <x v="7"/>
  </r>
  <r>
    <x v="1841"/>
    <n v="-515"/>
    <x v="3404"/>
    <n v="3912.79"/>
    <s v="Complete Access"/>
    <x v="783"/>
    <x v="19"/>
    <x v="61"/>
    <d v="1900-01-19T00:00:00"/>
    <n v="42"/>
    <x v="4"/>
    <x v="7"/>
  </r>
  <r>
    <x v="1841"/>
    <n v="-4.59"/>
    <x v="3881"/>
    <n v="4527.79"/>
    <s v="Complete Access"/>
    <x v="10"/>
    <x v="0"/>
    <x v="0"/>
    <d v="1900-01-19T00:00:00"/>
    <n v="42"/>
    <x v="4"/>
    <x v="7"/>
  </r>
  <r>
    <x v="1841"/>
    <n v="-100"/>
    <x v="2274"/>
    <n v="4427.79"/>
    <s v="Complete Access"/>
    <x v="552"/>
    <x v="0"/>
    <x v="74"/>
    <d v="1900-01-19T00:00:00"/>
    <n v="42"/>
    <x v="4"/>
    <x v="7"/>
  </r>
  <r>
    <x v="1841"/>
    <n v="-153.12"/>
    <x v="3882"/>
    <n v="4532.38"/>
    <s v="Complete Access"/>
    <x v="866"/>
    <x v="4"/>
    <x v="47"/>
    <d v="1900-01-19T00:00:00"/>
    <n v="42"/>
    <x v="4"/>
    <x v="7"/>
  </r>
  <r>
    <x v="1842"/>
    <n v="-50"/>
    <x v="2970"/>
    <n v="4727.33"/>
    <s v="Complete Access"/>
    <x v="601"/>
    <x v="0"/>
    <x v="0"/>
    <d v="1900-01-18T00:00:00"/>
    <n v="42"/>
    <x v="4"/>
    <x v="7"/>
  </r>
  <r>
    <x v="1842"/>
    <n v="-7.48"/>
    <x v="3883"/>
    <n v="4685.5"/>
    <s v="Complete Access"/>
    <x v="177"/>
    <x v="1"/>
    <x v="1"/>
    <d v="1900-01-18T00:00:00"/>
    <n v="42"/>
    <x v="4"/>
    <x v="7"/>
  </r>
  <r>
    <x v="1842"/>
    <n v="-34.35"/>
    <x v="3700"/>
    <n v="4692.9799999999996"/>
    <s v="Complete Access"/>
    <x v="1"/>
    <x v="1"/>
    <x v="1"/>
    <d v="1900-01-18T00:00:00"/>
    <n v="42"/>
    <x v="4"/>
    <x v="7"/>
  </r>
  <r>
    <x v="1843"/>
    <n v="-157.94"/>
    <x v="3884"/>
    <n v="4777.33"/>
    <s v="Complete Access"/>
    <x v="867"/>
    <x v="3"/>
    <x v="15"/>
    <d v="1900-01-17T00:00:00"/>
    <n v="42"/>
    <x v="4"/>
    <x v="7"/>
  </r>
  <r>
    <x v="1843"/>
    <n v="-14"/>
    <x v="3885"/>
    <n v="5010.09"/>
    <s v="Complete Access"/>
    <x v="254"/>
    <x v="16"/>
    <x v="35"/>
    <d v="1900-01-17T00:00:00"/>
    <n v="42"/>
    <x v="4"/>
    <x v="7"/>
  </r>
  <r>
    <x v="1843"/>
    <n v="-74.819999999999993"/>
    <x v="3886"/>
    <n v="4935.2700000000004"/>
    <s v="Complete Access"/>
    <x v="1"/>
    <x v="1"/>
    <x v="1"/>
    <d v="1900-01-17T00:00:00"/>
    <n v="42"/>
    <x v="4"/>
    <x v="7"/>
  </r>
  <r>
    <x v="1843"/>
    <n v="-114.44"/>
    <x v="3887"/>
    <n v="5024.09"/>
    <s v="Complete Access"/>
    <x v="540"/>
    <x v="12"/>
    <x v="21"/>
    <d v="1900-01-17T00:00:00"/>
    <n v="42"/>
    <x v="4"/>
    <x v="7"/>
  </r>
  <r>
    <x v="1844"/>
    <n v="-23"/>
    <x v="3888"/>
    <n v="4146.28"/>
    <s v="Complete Access"/>
    <x v="842"/>
    <x v="8"/>
    <x v="29"/>
    <d v="1900-01-16T00:00:00"/>
    <n v="42"/>
    <x v="4"/>
    <x v="7"/>
  </r>
  <r>
    <x v="1844"/>
    <n v="1080.25"/>
    <x v="3188"/>
    <n v="5226.53"/>
    <s v="Complete Access"/>
    <x v="14"/>
    <x v="6"/>
    <x v="9"/>
    <d v="1900-01-16T00:00:00"/>
    <n v="42"/>
    <x v="4"/>
    <x v="7"/>
  </r>
  <r>
    <x v="1844"/>
    <n v="-88"/>
    <x v="3889"/>
    <n v="5138.53"/>
    <s v="Complete Access"/>
    <x v="868"/>
    <x v="1"/>
    <x v="5"/>
    <d v="1900-01-16T00:00:00"/>
    <n v="42"/>
    <x v="4"/>
    <x v="7"/>
  </r>
  <r>
    <x v="1845"/>
    <n v="-37.64"/>
    <x v="3890"/>
    <n v="4212.28"/>
    <s v="Complete Access"/>
    <x v="841"/>
    <x v="2"/>
    <x v="86"/>
    <d v="1900-01-15T00:00:00"/>
    <n v="42"/>
    <x v="4"/>
    <x v="7"/>
  </r>
  <r>
    <x v="1845"/>
    <n v="-50"/>
    <x v="3891"/>
    <n v="4242.28"/>
    <s v="Complete Access"/>
    <x v="819"/>
    <x v="5"/>
    <x v="83"/>
    <d v="1900-01-15T00:00:00"/>
    <n v="42"/>
    <x v="4"/>
    <x v="7"/>
  </r>
  <r>
    <x v="1845"/>
    <n v="-73"/>
    <x v="2543"/>
    <n v="4169.28"/>
    <s v="Complete Access"/>
    <x v="17"/>
    <x v="7"/>
    <x v="11"/>
    <d v="1900-01-15T00:00:00"/>
    <n v="42"/>
    <x v="4"/>
    <x v="7"/>
  </r>
  <r>
    <x v="1845"/>
    <n v="80"/>
    <x v="3378"/>
    <n v="4292.28"/>
    <s v="Complete Access"/>
    <x v="722"/>
    <x v="0"/>
    <x v="0"/>
    <d v="1900-01-15T00:00:00"/>
    <n v="42"/>
    <x v="4"/>
    <x v="7"/>
  </r>
  <r>
    <x v="1846"/>
    <n v="-140"/>
    <x v="3892"/>
    <n v="4252.42"/>
    <s v="Complete Access"/>
    <x v="601"/>
    <x v="0"/>
    <x v="0"/>
    <d v="1900-01-13T00:00:00"/>
    <n v="42"/>
    <x v="4"/>
    <x v="7"/>
  </r>
  <r>
    <x v="1846"/>
    <n v="-2.5"/>
    <x v="72"/>
    <n v="4249.92"/>
    <s v="Complete Access"/>
    <x v="37"/>
    <x v="0"/>
    <x v="0"/>
    <d v="1900-01-13T00:00:00"/>
    <n v="42"/>
    <x v="4"/>
    <x v="7"/>
  </r>
  <r>
    <x v="1847"/>
    <n v="-515"/>
    <x v="3404"/>
    <n v="4559.91"/>
    <s v="Complete Access"/>
    <x v="783"/>
    <x v="19"/>
    <x v="61"/>
    <d v="1900-01-12T00:00:00"/>
    <n v="41"/>
    <x v="4"/>
    <x v="7"/>
  </r>
  <r>
    <x v="1847"/>
    <n v="-64.989999999999995"/>
    <x v="3893"/>
    <n v="4494.92"/>
    <s v="Complete Access"/>
    <x v="832"/>
    <x v="1"/>
    <x v="23"/>
    <d v="1900-01-12T00:00:00"/>
    <n v="41"/>
    <x v="4"/>
    <x v="7"/>
  </r>
  <r>
    <x v="1847"/>
    <n v="-8.5"/>
    <x v="3894"/>
    <n v="4486.42"/>
    <s v="Complete Access"/>
    <x v="869"/>
    <x v="8"/>
    <x v="29"/>
    <d v="1900-01-12T00:00:00"/>
    <n v="41"/>
    <x v="4"/>
    <x v="7"/>
  </r>
  <r>
    <x v="1847"/>
    <n v="-100"/>
    <x v="2274"/>
    <n v="5074.91"/>
    <s v="Complete Access"/>
    <x v="552"/>
    <x v="0"/>
    <x v="74"/>
    <d v="1900-01-12T00:00:00"/>
    <n v="41"/>
    <x v="4"/>
    <x v="7"/>
  </r>
  <r>
    <x v="1847"/>
    <n v="-27.7"/>
    <x v="3895"/>
    <n v="4408.22"/>
    <s v="Complete Access"/>
    <x v="870"/>
    <x v="8"/>
    <x v="29"/>
    <d v="1900-01-12T00:00:00"/>
    <n v="41"/>
    <x v="4"/>
    <x v="7"/>
  </r>
  <r>
    <x v="1847"/>
    <n v="-24.7"/>
    <x v="3895"/>
    <n v="4435.92"/>
    <s v="Complete Access"/>
    <x v="870"/>
    <x v="8"/>
    <x v="29"/>
    <d v="1900-01-12T00:00:00"/>
    <n v="41"/>
    <x v="4"/>
    <x v="7"/>
  </r>
  <r>
    <x v="1847"/>
    <n v="-25.8"/>
    <x v="3895"/>
    <n v="4460.62"/>
    <s v="Complete Access"/>
    <x v="870"/>
    <x v="8"/>
    <x v="29"/>
    <d v="1900-01-12T00:00:00"/>
    <n v="41"/>
    <x v="4"/>
    <x v="7"/>
  </r>
  <r>
    <x v="1847"/>
    <n v="-15.8"/>
    <x v="3896"/>
    <n v="4392.42"/>
    <s v="Complete Access"/>
    <x v="871"/>
    <x v="8"/>
    <x v="29"/>
    <d v="1900-01-12T00:00:00"/>
    <n v="41"/>
    <x v="4"/>
    <x v="7"/>
  </r>
  <r>
    <x v="1848"/>
    <n v="-12.5"/>
    <x v="3858"/>
    <n v="5190.8500000000004"/>
    <s v="Complete Access"/>
    <x v="843"/>
    <x v="1"/>
    <x v="5"/>
    <d v="1900-01-11T00:00:00"/>
    <n v="41"/>
    <x v="4"/>
    <x v="7"/>
  </r>
  <r>
    <x v="1848"/>
    <n v="-15.94"/>
    <x v="3897"/>
    <n v="5174.91"/>
    <s v="Complete Access"/>
    <x v="27"/>
    <x v="1"/>
    <x v="5"/>
    <d v="1900-01-11T00:00:00"/>
    <n v="41"/>
    <x v="4"/>
    <x v="7"/>
  </r>
  <r>
    <x v="1849"/>
    <n v="-130"/>
    <x v="3898"/>
    <n v="5203.3500000000004"/>
    <s v="Complete Access"/>
    <x v="741"/>
    <x v="16"/>
    <x v="81"/>
    <d v="1900-01-10T00:00:00"/>
    <n v="41"/>
    <x v="4"/>
    <x v="7"/>
  </r>
  <r>
    <x v="1850"/>
    <n v="-11.99"/>
    <x v="3899"/>
    <n v="4443.1499999999996"/>
    <s v="Complete Access"/>
    <x v="860"/>
    <x v="8"/>
    <x v="22"/>
    <d v="1900-01-09T00:00:00"/>
    <n v="41"/>
    <x v="4"/>
    <x v="7"/>
  </r>
  <r>
    <x v="1850"/>
    <n v="890.2"/>
    <x v="3188"/>
    <n v="5333.35"/>
    <s v="Complete Access"/>
    <x v="14"/>
    <x v="6"/>
    <x v="9"/>
    <d v="1900-01-09T00:00:00"/>
    <n v="41"/>
    <x v="4"/>
    <x v="7"/>
  </r>
  <r>
    <x v="1850"/>
    <n v="-34.5"/>
    <x v="3900"/>
    <n v="4455.1400000000003"/>
    <s v="Complete Access"/>
    <x v="343"/>
    <x v="1"/>
    <x v="5"/>
    <d v="1900-01-09T00:00:00"/>
    <n v="41"/>
    <x v="4"/>
    <x v="7"/>
  </r>
  <r>
    <x v="1851"/>
    <n v="-2.5"/>
    <x v="3203"/>
    <n v="4582.6400000000003"/>
    <s v="Complete Access"/>
    <x v="188"/>
    <x v="1"/>
    <x v="1"/>
    <d v="1900-01-08T00:00:00"/>
    <n v="41"/>
    <x v="4"/>
    <x v="7"/>
  </r>
  <r>
    <x v="1851"/>
    <n v="-14.5"/>
    <x v="3901"/>
    <n v="4585.1400000000003"/>
    <s v="Complete Access"/>
    <x v="843"/>
    <x v="1"/>
    <x v="5"/>
    <d v="1900-01-08T00:00:00"/>
    <n v="41"/>
    <x v="4"/>
    <x v="7"/>
  </r>
  <r>
    <x v="1851"/>
    <n v="-93"/>
    <x v="3902"/>
    <n v="4489.6400000000003"/>
    <s v="Complete Access"/>
    <x v="700"/>
    <x v="8"/>
    <x v="69"/>
    <d v="1900-01-08T00:00:00"/>
    <n v="41"/>
    <x v="4"/>
    <x v="7"/>
  </r>
  <r>
    <x v="1852"/>
    <n v="-17"/>
    <x v="3874"/>
    <n v="4657.59"/>
    <s v="Complete Access"/>
    <x v="842"/>
    <x v="8"/>
    <x v="29"/>
    <d v="1900-01-07T00:00:00"/>
    <n v="41"/>
    <x v="4"/>
    <x v="7"/>
  </r>
  <r>
    <x v="1852"/>
    <n v="-57.95"/>
    <x v="3700"/>
    <n v="4599.6400000000003"/>
    <s v="Complete Access"/>
    <x v="1"/>
    <x v="1"/>
    <x v="1"/>
    <d v="1900-01-07T00:00:00"/>
    <n v="41"/>
    <x v="4"/>
    <x v="7"/>
  </r>
  <r>
    <x v="1853"/>
    <n v="-10.5"/>
    <x v="3317"/>
    <n v="4684.99"/>
    <s v="Complete Access"/>
    <x v="761"/>
    <x v="15"/>
    <x v="34"/>
    <d v="1900-01-06T00:00:00"/>
    <n v="41"/>
    <x v="4"/>
    <x v="7"/>
  </r>
  <r>
    <x v="1853"/>
    <n v="-10.4"/>
    <x v="3897"/>
    <n v="4674.59"/>
    <s v="Complete Access"/>
    <x v="27"/>
    <x v="1"/>
    <x v="5"/>
    <d v="1900-01-06T00:00:00"/>
    <n v="41"/>
    <x v="4"/>
    <x v="7"/>
  </r>
  <r>
    <x v="1854"/>
    <n v="-50"/>
    <x v="3403"/>
    <n v="4695.49"/>
    <s v="Complete Access"/>
    <x v="601"/>
    <x v="0"/>
    <x v="0"/>
    <d v="1900-01-05T00:00:00"/>
    <n v="40"/>
    <x v="4"/>
    <x v="7"/>
  </r>
  <r>
    <x v="1854"/>
    <n v="-515"/>
    <x v="3404"/>
    <n v="4765.99"/>
    <s v="Complete Access"/>
    <x v="783"/>
    <x v="19"/>
    <x v="61"/>
    <d v="1900-01-05T00:00:00"/>
    <n v="40"/>
    <x v="4"/>
    <x v="7"/>
  </r>
  <r>
    <x v="1854"/>
    <n v="-20.5"/>
    <x v="3653"/>
    <n v="4745.49"/>
    <s v="Complete Access"/>
    <x v="796"/>
    <x v="20"/>
    <x v="63"/>
    <d v="1900-01-05T00:00:00"/>
    <n v="40"/>
    <x v="4"/>
    <x v="7"/>
  </r>
  <r>
    <x v="1854"/>
    <n v="-100"/>
    <x v="2274"/>
    <n v="5280.99"/>
    <s v="Complete Access"/>
    <x v="552"/>
    <x v="0"/>
    <x v="74"/>
    <d v="1900-01-05T00:00:00"/>
    <n v="40"/>
    <x v="4"/>
    <x v="7"/>
  </r>
  <r>
    <x v="1855"/>
    <n v="-50"/>
    <x v="3903"/>
    <n v="5380.99"/>
    <s v="Complete Access"/>
    <x v="776"/>
    <x v="5"/>
    <x v="83"/>
    <d v="1900-01-04T00:00:00"/>
    <n v="40"/>
    <x v="4"/>
    <x v="7"/>
  </r>
  <r>
    <x v="1856"/>
    <n v="-50"/>
    <x v="3764"/>
    <n v="5430.99"/>
    <s v="Complete Access"/>
    <x v="601"/>
    <x v="0"/>
    <x v="0"/>
    <d v="1900-01-03T00:00:00"/>
    <n v="40"/>
    <x v="4"/>
    <x v="7"/>
  </r>
  <r>
    <x v="1856"/>
    <n v="-9.99"/>
    <x v="3904"/>
    <n v="5480.99"/>
    <s v="Complete Access"/>
    <x v="373"/>
    <x v="8"/>
    <x v="7"/>
    <d v="1900-01-03T00:00:00"/>
    <n v="40"/>
    <x v="4"/>
    <x v="7"/>
  </r>
  <r>
    <x v="1857"/>
    <n v="1080.25"/>
    <x v="3188"/>
    <n v="5490.98"/>
    <s v="Complete Access"/>
    <x v="14"/>
    <x v="6"/>
    <x v="9"/>
    <d v="1900-01-02T00:00:00"/>
    <n v="40"/>
    <x v="4"/>
    <x v="7"/>
  </r>
  <r>
    <x v="1857"/>
    <n v="-75"/>
    <x v="3905"/>
    <n v="4470.7299999999996"/>
    <s v="Complete Access"/>
    <x v="343"/>
    <x v="1"/>
    <x v="5"/>
    <d v="1900-01-02T00:00:00"/>
    <n v="40"/>
    <x v="4"/>
    <x v="7"/>
  </r>
  <r>
    <x v="1857"/>
    <n v="-60"/>
    <x v="3906"/>
    <n v="4410.7299999999996"/>
    <s v="Complete Access"/>
    <x v="219"/>
    <x v="7"/>
    <x v="53"/>
    <d v="1900-01-02T00:00:00"/>
    <n v="40"/>
    <x v="4"/>
    <x v="7"/>
  </r>
  <r>
    <x v="1858"/>
    <n v="-35"/>
    <x v="3907"/>
    <n v="4762.6499999999996"/>
    <s v="Complete Access"/>
    <x v="872"/>
    <x v="18"/>
    <x v="59"/>
    <d v="1900-01-01T00:00:00"/>
    <n v="40"/>
    <x v="4"/>
    <x v="7"/>
  </r>
  <r>
    <x v="1858"/>
    <n v="-166.4"/>
    <x v="3908"/>
    <n v="4545.7299999999996"/>
    <s v="Complete Access"/>
    <x v="76"/>
    <x v="2"/>
    <x v="2"/>
    <d v="1900-01-01T00:00:00"/>
    <n v="40"/>
    <x v="4"/>
    <x v="7"/>
  </r>
  <r>
    <x v="1858"/>
    <n v="-37.020000000000003"/>
    <x v="3700"/>
    <n v="4712.13"/>
    <s v="Complete Access"/>
    <x v="1"/>
    <x v="1"/>
    <x v="1"/>
    <d v="1900-01-01T00:00:00"/>
    <n v="40"/>
    <x v="4"/>
    <x v="7"/>
  </r>
  <r>
    <x v="1858"/>
    <n v="-13.5"/>
    <x v="3909"/>
    <n v="4749.1499999999996"/>
    <s v="Complete Access"/>
    <x v="687"/>
    <x v="1"/>
    <x v="5"/>
    <d v="1900-01-01T00:00:00"/>
    <n v="40"/>
    <x v="4"/>
    <x v="7"/>
  </r>
  <r>
    <x v="1859"/>
    <n v="400"/>
    <x v="3910"/>
    <n v="4797.6499999999996"/>
    <s v="Complete Access"/>
    <x v="67"/>
    <x v="0"/>
    <x v="0"/>
    <d v="1899-12-31T00:00:00"/>
    <n v="40"/>
    <x v="4"/>
    <x v="7"/>
  </r>
  <r>
    <x v="1860"/>
    <n v="-515"/>
    <x v="3404"/>
    <n v="4397.6499999999996"/>
    <s v="Complete Access"/>
    <x v="783"/>
    <x v="19"/>
    <x v="61"/>
    <d v="1900-01-28T00:00:00"/>
    <n v="39"/>
    <x v="5"/>
    <x v="7"/>
  </r>
  <r>
    <x v="1860"/>
    <n v="-100"/>
    <x v="2274"/>
    <n v="4912.6499999999996"/>
    <s v="Complete Access"/>
    <x v="552"/>
    <x v="0"/>
    <x v="74"/>
    <d v="1900-01-28T00:00:00"/>
    <n v="39"/>
    <x v="5"/>
    <x v="7"/>
  </r>
  <r>
    <x v="1861"/>
    <n v="-70"/>
    <x v="3764"/>
    <n v="5012.6499999999996"/>
    <s v="Complete Access"/>
    <x v="601"/>
    <x v="0"/>
    <x v="0"/>
    <d v="1900-01-27T00:00:00"/>
    <n v="39"/>
    <x v="5"/>
    <x v="7"/>
  </r>
  <r>
    <x v="1861"/>
    <n v="-29.9"/>
    <x v="3911"/>
    <n v="5082.6499999999996"/>
    <s v="Complete Access"/>
    <x v="343"/>
    <x v="1"/>
    <x v="5"/>
    <d v="1900-01-27T00:00:00"/>
    <n v="39"/>
    <x v="5"/>
    <x v="7"/>
  </r>
  <r>
    <x v="1862"/>
    <n v="-13.5"/>
    <x v="3858"/>
    <n v="5242.55"/>
    <s v="Complete Access"/>
    <x v="843"/>
    <x v="1"/>
    <x v="5"/>
    <d v="1900-01-26T00:00:00"/>
    <n v="39"/>
    <x v="5"/>
    <x v="7"/>
  </r>
  <r>
    <x v="1862"/>
    <n v="-130"/>
    <x v="3912"/>
    <n v="5112.55"/>
    <s v="Complete Access"/>
    <x v="741"/>
    <x v="16"/>
    <x v="81"/>
    <d v="1900-01-26T00:00:00"/>
    <n v="39"/>
    <x v="5"/>
    <x v="7"/>
  </r>
  <r>
    <x v="1863"/>
    <n v="1080.25"/>
    <x v="3188"/>
    <n v="5256.05"/>
    <s v="Complete Access"/>
    <x v="14"/>
    <x v="6"/>
    <x v="9"/>
    <d v="1900-01-25T00:00:00"/>
    <n v="39"/>
    <x v="5"/>
    <x v="7"/>
  </r>
  <r>
    <x v="1863"/>
    <n v="-32.31"/>
    <x v="3913"/>
    <n v="4175.8"/>
    <s v="Complete Access"/>
    <x v="343"/>
    <x v="1"/>
    <x v="5"/>
    <d v="1900-01-25T00:00:00"/>
    <n v="39"/>
    <x v="5"/>
    <x v="7"/>
  </r>
  <r>
    <x v="1864"/>
    <n v="-50"/>
    <x v="3891"/>
    <n v="4208.1099999999997"/>
    <s v="Complete Access"/>
    <x v="819"/>
    <x v="5"/>
    <x v="83"/>
    <d v="1900-01-24T00:00:00"/>
    <n v="39"/>
    <x v="5"/>
    <x v="7"/>
  </r>
  <r>
    <x v="1865"/>
    <n v="-85.36"/>
    <x v="3700"/>
    <n v="4258.1099999999997"/>
    <s v="Complete Access"/>
    <x v="1"/>
    <x v="1"/>
    <x v="1"/>
    <d v="1900-01-23T00:00:00"/>
    <n v="39"/>
    <x v="5"/>
    <x v="7"/>
  </r>
  <r>
    <x v="1865"/>
    <n v="-13.5"/>
    <x v="3909"/>
    <n v="4343.47"/>
    <s v="Complete Access"/>
    <x v="687"/>
    <x v="1"/>
    <x v="5"/>
    <d v="1900-01-23T00:00:00"/>
    <n v="39"/>
    <x v="5"/>
    <x v="7"/>
  </r>
  <r>
    <x v="1866"/>
    <n v="-50"/>
    <x v="3403"/>
    <n v="4356.97"/>
    <s v="Complete Access"/>
    <x v="601"/>
    <x v="0"/>
    <x v="0"/>
    <d v="1900-01-21T00:00:00"/>
    <n v="38"/>
    <x v="5"/>
    <x v="7"/>
  </r>
  <r>
    <x v="1866"/>
    <n v="-515"/>
    <x v="3404"/>
    <n v="4427.47"/>
    <s v="Complete Access"/>
    <x v="783"/>
    <x v="19"/>
    <x v="61"/>
    <d v="1900-01-21T00:00:00"/>
    <n v="38"/>
    <x v="5"/>
    <x v="7"/>
  </r>
  <r>
    <x v="1866"/>
    <n v="-20.5"/>
    <x v="3653"/>
    <n v="4406.97"/>
    <s v="Complete Access"/>
    <x v="796"/>
    <x v="20"/>
    <x v="63"/>
    <d v="1900-01-21T00:00:00"/>
    <n v="38"/>
    <x v="5"/>
    <x v="7"/>
  </r>
  <r>
    <x v="1866"/>
    <n v="-100"/>
    <x v="2274"/>
    <n v="4942.47"/>
    <s v="Complete Access"/>
    <x v="552"/>
    <x v="0"/>
    <x v="74"/>
    <d v="1900-01-21T00:00:00"/>
    <n v="38"/>
    <x v="5"/>
    <x v="7"/>
  </r>
  <r>
    <x v="1867"/>
    <n v="-7.2"/>
    <x v="3874"/>
    <n v="5095.25"/>
    <s v="Complete Access"/>
    <x v="842"/>
    <x v="8"/>
    <x v="29"/>
    <d v="1900-01-20T00:00:00"/>
    <n v="38"/>
    <x v="5"/>
    <x v="7"/>
  </r>
  <r>
    <x v="1867"/>
    <n v="-13.9"/>
    <x v="3914"/>
    <n v="5102.45"/>
    <s v="Complete Access"/>
    <x v="687"/>
    <x v="1"/>
    <x v="5"/>
    <d v="1900-01-20T00:00:00"/>
    <n v="38"/>
    <x v="5"/>
    <x v="7"/>
  </r>
  <r>
    <x v="1867"/>
    <n v="-52.78"/>
    <x v="3915"/>
    <n v="5042.47"/>
    <s v="Complete Access"/>
    <x v="873"/>
    <x v="1"/>
    <x v="5"/>
    <d v="1900-01-20T00:00:00"/>
    <n v="38"/>
    <x v="5"/>
    <x v="7"/>
  </r>
  <r>
    <x v="1868"/>
    <n v="-5.5"/>
    <x v="3203"/>
    <n v="5116.3500000000004"/>
    <s v="Complete Access"/>
    <x v="188"/>
    <x v="1"/>
    <x v="1"/>
    <d v="1900-01-19T00:00:00"/>
    <n v="38"/>
    <x v="5"/>
    <x v="7"/>
  </r>
  <r>
    <x v="1868"/>
    <n v="-15.5"/>
    <x v="3858"/>
    <n v="5121.8500000000004"/>
    <s v="Complete Access"/>
    <x v="843"/>
    <x v="1"/>
    <x v="5"/>
    <d v="1900-01-19T00:00:00"/>
    <n v="38"/>
    <x v="5"/>
    <x v="7"/>
  </r>
  <r>
    <x v="1868"/>
    <n v="-19.399999999999999"/>
    <x v="3916"/>
    <n v="5137.3500000000004"/>
    <s v="Complete Access"/>
    <x v="1"/>
    <x v="1"/>
    <x v="1"/>
    <d v="1900-01-19T00:00:00"/>
    <n v="38"/>
    <x v="5"/>
    <x v="7"/>
  </r>
  <r>
    <x v="1869"/>
    <n v="1080.25"/>
    <x v="3188"/>
    <n v="5207.74"/>
    <s v="Complete Access"/>
    <x v="14"/>
    <x v="6"/>
    <x v="9"/>
    <d v="1900-01-18T00:00:00"/>
    <n v="38"/>
    <x v="5"/>
    <x v="7"/>
  </r>
  <r>
    <x v="1869"/>
    <n v="-50.99"/>
    <x v="3917"/>
    <n v="5156.75"/>
    <s v="Complete Access"/>
    <x v="785"/>
    <x v="9"/>
    <x v="12"/>
    <d v="1900-01-18T00:00:00"/>
    <n v="38"/>
    <x v="5"/>
    <x v="7"/>
  </r>
  <r>
    <x v="1870"/>
    <n v="-13.2"/>
    <x v="3203"/>
    <n v="4127.49"/>
    <s v="Complete Access"/>
    <x v="188"/>
    <x v="1"/>
    <x v="1"/>
    <d v="1900-01-17T00:00:00"/>
    <n v="38"/>
    <x v="5"/>
    <x v="7"/>
  </r>
  <r>
    <x v="1871"/>
    <n v="-34"/>
    <x v="3874"/>
    <n v="4090.69"/>
    <s v="Complete Access"/>
    <x v="842"/>
    <x v="8"/>
    <x v="29"/>
    <d v="1900-01-16T00:00:00"/>
    <n v="38"/>
    <x v="5"/>
    <x v="7"/>
  </r>
  <r>
    <x v="1871"/>
    <n v="1.22"/>
    <x v="3918"/>
    <n v="4124.6899999999996"/>
    <s v="Complete Access"/>
    <x v="67"/>
    <x v="0"/>
    <x v="0"/>
    <d v="1900-01-16T00:00:00"/>
    <n v="38"/>
    <x v="5"/>
    <x v="7"/>
  </r>
  <r>
    <x v="1871"/>
    <n v="50"/>
    <x v="3919"/>
    <n v="4140.6899999999996"/>
    <s v="Complete Access"/>
    <x v="67"/>
    <x v="0"/>
    <x v="0"/>
    <d v="1900-01-16T00:00:00"/>
    <n v="38"/>
    <x v="5"/>
    <x v="7"/>
  </r>
  <r>
    <x v="1872"/>
    <n v="-26.5"/>
    <x v="3920"/>
    <n v="4155.92"/>
    <s v="Complete Access"/>
    <x v="874"/>
    <x v="20"/>
    <x v="63"/>
    <d v="1900-01-15T00:00:00"/>
    <n v="38"/>
    <x v="5"/>
    <x v="7"/>
  </r>
  <r>
    <x v="1872"/>
    <n v="-32.450000000000003"/>
    <x v="3921"/>
    <n v="4123.47"/>
    <s v="Complete Access"/>
    <x v="237"/>
    <x v="15"/>
    <x v="34"/>
    <d v="1900-01-15T00:00:00"/>
    <n v="38"/>
    <x v="5"/>
    <x v="7"/>
  </r>
  <r>
    <x v="1872"/>
    <n v="-20"/>
    <x v="3922"/>
    <n v="4182.42"/>
    <s v="Complete Access"/>
    <x v="875"/>
    <x v="8"/>
    <x v="29"/>
    <d v="1900-01-15T00:00:00"/>
    <n v="38"/>
    <x v="5"/>
    <x v="7"/>
  </r>
  <r>
    <x v="1872"/>
    <n v="-20"/>
    <x v="3922"/>
    <n v="4202.42"/>
    <s v="Complete Access"/>
    <x v="875"/>
    <x v="8"/>
    <x v="29"/>
    <d v="1900-01-15T00:00:00"/>
    <n v="38"/>
    <x v="5"/>
    <x v="7"/>
  </r>
  <r>
    <x v="1872"/>
    <n v="-20"/>
    <x v="3922"/>
    <n v="4222.42"/>
    <s v="Complete Access"/>
    <x v="875"/>
    <x v="8"/>
    <x v="29"/>
    <d v="1900-01-15T00:00:00"/>
    <n v="38"/>
    <x v="5"/>
    <x v="7"/>
  </r>
  <r>
    <x v="1873"/>
    <n v="-37.64"/>
    <x v="3923"/>
    <n v="4403.22"/>
    <s v="Complete Access"/>
    <x v="841"/>
    <x v="2"/>
    <x v="86"/>
    <d v="1900-01-14T00:00:00"/>
    <n v="37"/>
    <x v="5"/>
    <x v="7"/>
  </r>
  <r>
    <x v="1873"/>
    <n v="-515"/>
    <x v="3404"/>
    <n v="4440.8599999999997"/>
    <s v="Complete Access"/>
    <x v="783"/>
    <x v="19"/>
    <x v="61"/>
    <d v="1900-01-14T00:00:00"/>
    <n v="37"/>
    <x v="5"/>
    <x v="7"/>
  </r>
  <r>
    <x v="1873"/>
    <n v="-13.5"/>
    <x v="3924"/>
    <n v="4320.42"/>
    <s v="Complete Access"/>
    <x v="876"/>
    <x v="1"/>
    <x v="5"/>
    <d v="1900-01-14T00:00:00"/>
    <n v="37"/>
    <x v="5"/>
    <x v="7"/>
  </r>
  <r>
    <x v="1873"/>
    <n v="-100"/>
    <x v="2274"/>
    <n v="4955.8599999999997"/>
    <s v="Complete Access"/>
    <x v="552"/>
    <x v="0"/>
    <x v="74"/>
    <d v="1900-01-14T00:00:00"/>
    <n v="37"/>
    <x v="5"/>
    <x v="7"/>
  </r>
  <r>
    <x v="1873"/>
    <n v="-40"/>
    <x v="3925"/>
    <n v="4333.92"/>
    <s v="Complete Access"/>
    <x v="877"/>
    <x v="8"/>
    <x v="29"/>
    <d v="1900-01-14T00:00:00"/>
    <n v="37"/>
    <x v="5"/>
    <x v="7"/>
  </r>
  <r>
    <x v="1873"/>
    <n v="-49.5"/>
    <x v="3926"/>
    <n v="4242.42"/>
    <s v="Complete Access"/>
    <x v="875"/>
    <x v="8"/>
    <x v="29"/>
    <d v="1900-01-14T00:00:00"/>
    <n v="37"/>
    <x v="5"/>
    <x v="7"/>
  </r>
  <r>
    <x v="1873"/>
    <n v="-19"/>
    <x v="3922"/>
    <n v="4291.92"/>
    <s v="Complete Access"/>
    <x v="875"/>
    <x v="8"/>
    <x v="29"/>
    <d v="1900-01-14T00:00:00"/>
    <n v="37"/>
    <x v="5"/>
    <x v="7"/>
  </r>
  <r>
    <x v="1873"/>
    <n v="-9.5"/>
    <x v="3922"/>
    <n v="4310.92"/>
    <s v="Complete Access"/>
    <x v="875"/>
    <x v="8"/>
    <x v="29"/>
    <d v="1900-01-14T00:00:00"/>
    <n v="37"/>
    <x v="5"/>
    <x v="7"/>
  </r>
  <r>
    <x v="1873"/>
    <n v="-17.8"/>
    <x v="3927"/>
    <n v="4373.92"/>
    <s v="Complete Access"/>
    <x v="294"/>
    <x v="8"/>
    <x v="29"/>
    <d v="1900-01-14T00:00:00"/>
    <n v="37"/>
    <x v="5"/>
    <x v="7"/>
  </r>
  <r>
    <x v="1873"/>
    <n v="-11.5"/>
    <x v="3927"/>
    <n v="4391.72"/>
    <s v="Complete Access"/>
    <x v="294"/>
    <x v="8"/>
    <x v="29"/>
    <d v="1900-01-14T00:00:00"/>
    <n v="37"/>
    <x v="5"/>
    <x v="7"/>
  </r>
  <r>
    <x v="1874"/>
    <n v="-9.1"/>
    <x v="3928"/>
    <n v="5071.3599999999997"/>
    <s v="Complete Access"/>
    <x v="839"/>
    <x v="1"/>
    <x v="85"/>
    <d v="1900-01-13T00:00:00"/>
    <n v="37"/>
    <x v="5"/>
    <x v="7"/>
  </r>
  <r>
    <x v="1874"/>
    <n v="-2"/>
    <x v="3203"/>
    <n v="5055.8599999999997"/>
    <s v="Complete Access"/>
    <x v="188"/>
    <x v="1"/>
    <x v="1"/>
    <d v="1900-01-13T00:00:00"/>
    <n v="37"/>
    <x v="5"/>
    <x v="7"/>
  </r>
  <r>
    <x v="1874"/>
    <n v="-13.5"/>
    <x v="3929"/>
    <n v="5057.8599999999997"/>
    <s v="Complete Access"/>
    <x v="682"/>
    <x v="1"/>
    <x v="5"/>
    <d v="1900-01-13T00:00:00"/>
    <n v="37"/>
    <x v="5"/>
    <x v="7"/>
  </r>
  <r>
    <x v="1875"/>
    <n v="-50"/>
    <x v="3891"/>
    <n v="5295.46"/>
    <s v="Complete Access"/>
    <x v="819"/>
    <x v="5"/>
    <x v="83"/>
    <d v="1900-01-12T00:00:00"/>
    <n v="37"/>
    <x v="5"/>
    <x v="7"/>
  </r>
  <r>
    <x v="1875"/>
    <n v="-12"/>
    <x v="3930"/>
    <n v="5283.46"/>
    <s v="Complete Access"/>
    <x v="242"/>
    <x v="1"/>
    <x v="5"/>
    <d v="1900-01-12T00:00:00"/>
    <n v="37"/>
    <x v="5"/>
    <x v="7"/>
  </r>
  <r>
    <x v="1875"/>
    <n v="-23.7"/>
    <x v="3931"/>
    <n v="5506.11"/>
    <s v="Complete Access"/>
    <x v="47"/>
    <x v="1"/>
    <x v="5"/>
    <d v="1900-01-12T00:00:00"/>
    <n v="37"/>
    <x v="5"/>
    <x v="7"/>
  </r>
  <r>
    <x v="1875"/>
    <n v="-16"/>
    <x v="3932"/>
    <n v="5345.46"/>
    <s v="Complete Access"/>
    <x v="826"/>
    <x v="8"/>
    <x v="29"/>
    <d v="1900-01-12T00:00:00"/>
    <n v="37"/>
    <x v="5"/>
    <x v="7"/>
  </r>
  <r>
    <x v="1875"/>
    <n v="-41.11"/>
    <x v="3933"/>
    <n v="5361.46"/>
    <s v="Complete Access"/>
    <x v="878"/>
    <x v="8"/>
    <x v="29"/>
    <d v="1900-01-12T00:00:00"/>
    <n v="37"/>
    <x v="5"/>
    <x v="7"/>
  </r>
  <r>
    <x v="1875"/>
    <n v="-30.45"/>
    <x v="3933"/>
    <n v="5402.57"/>
    <s v="Complete Access"/>
    <x v="878"/>
    <x v="8"/>
    <x v="29"/>
    <d v="1900-01-12T00:00:00"/>
    <n v="37"/>
    <x v="5"/>
    <x v="7"/>
  </r>
  <r>
    <x v="1875"/>
    <n v="-21.32"/>
    <x v="3933"/>
    <n v="5433.02"/>
    <s v="Complete Access"/>
    <x v="878"/>
    <x v="8"/>
    <x v="29"/>
    <d v="1900-01-12T00:00:00"/>
    <n v="37"/>
    <x v="5"/>
    <x v="7"/>
  </r>
  <r>
    <x v="1875"/>
    <n v="-41.11"/>
    <x v="3933"/>
    <n v="5454.34"/>
    <s v="Complete Access"/>
    <x v="878"/>
    <x v="8"/>
    <x v="29"/>
    <d v="1900-01-12T00:00:00"/>
    <n v="37"/>
    <x v="5"/>
    <x v="7"/>
  </r>
  <r>
    <x v="1875"/>
    <n v="-10.66"/>
    <x v="3933"/>
    <n v="5495.45"/>
    <s v="Complete Access"/>
    <x v="878"/>
    <x v="8"/>
    <x v="29"/>
    <d v="1900-01-12T00:00:00"/>
    <n v="37"/>
    <x v="5"/>
    <x v="7"/>
  </r>
  <r>
    <x v="1875"/>
    <n v="-73"/>
    <x v="2543"/>
    <n v="5210.46"/>
    <s v="Complete Access"/>
    <x v="17"/>
    <x v="7"/>
    <x v="11"/>
    <d v="1900-01-12T00:00:00"/>
    <n v="37"/>
    <x v="5"/>
    <x v="7"/>
  </r>
  <r>
    <x v="1875"/>
    <n v="-130"/>
    <x v="3934"/>
    <n v="5080.46"/>
    <s v="Complete Access"/>
    <x v="741"/>
    <x v="16"/>
    <x v="81"/>
    <d v="1900-01-12T00:00:00"/>
    <n v="37"/>
    <x v="5"/>
    <x v="7"/>
  </r>
  <r>
    <x v="1876"/>
    <n v="1071.02"/>
    <x v="3188"/>
    <n v="5529.81"/>
    <s v="Complete Access"/>
    <x v="14"/>
    <x v="6"/>
    <x v="9"/>
    <d v="1900-01-11T00:00:00"/>
    <n v="37"/>
    <x v="5"/>
    <x v="7"/>
  </r>
  <r>
    <x v="1876"/>
    <n v="-44.63"/>
    <x v="3935"/>
    <n v="4482.17"/>
    <s v="Complete Access"/>
    <x v="835"/>
    <x v="15"/>
    <x v="34"/>
    <d v="1900-01-11T00:00:00"/>
    <n v="37"/>
    <x v="5"/>
    <x v="7"/>
  </r>
  <r>
    <x v="1876"/>
    <n v="-30.9"/>
    <x v="3936"/>
    <n v="4526.8"/>
    <s v="Complete Access"/>
    <x v="343"/>
    <x v="1"/>
    <x v="5"/>
    <d v="1900-01-11T00:00:00"/>
    <n v="37"/>
    <x v="5"/>
    <x v="7"/>
  </r>
  <r>
    <x v="1876"/>
    <n v="-8.48"/>
    <x v="3897"/>
    <n v="4458.79"/>
    <s v="Complete Access"/>
    <x v="27"/>
    <x v="1"/>
    <x v="5"/>
    <d v="1900-01-11T00:00:00"/>
    <n v="37"/>
    <x v="5"/>
    <x v="7"/>
  </r>
  <r>
    <x v="1876"/>
    <n v="-14.9"/>
    <x v="3909"/>
    <n v="4467.2700000000004"/>
    <s v="Complete Access"/>
    <x v="687"/>
    <x v="1"/>
    <x v="5"/>
    <d v="1900-01-11T00:00:00"/>
    <n v="37"/>
    <x v="5"/>
    <x v="7"/>
  </r>
  <r>
    <x v="1876"/>
    <n v="-9.5"/>
    <x v="3937"/>
    <n v="4557.7"/>
    <s v="Complete Access"/>
    <x v="879"/>
    <x v="1"/>
    <x v="5"/>
    <d v="1900-01-11T00:00:00"/>
    <n v="37"/>
    <x v="5"/>
    <x v="7"/>
  </r>
  <r>
    <x v="1876"/>
    <n v="-19"/>
    <x v="3937"/>
    <n v="4567.2"/>
    <s v="Complete Access"/>
    <x v="879"/>
    <x v="1"/>
    <x v="5"/>
    <d v="1900-01-11T00:00:00"/>
    <n v="37"/>
    <x v="5"/>
    <x v="7"/>
  </r>
  <r>
    <x v="1876"/>
    <n v="-9.5"/>
    <x v="3937"/>
    <n v="4586.2"/>
    <s v="Complete Access"/>
    <x v="879"/>
    <x v="1"/>
    <x v="5"/>
    <d v="1900-01-11T00:00:00"/>
    <n v="37"/>
    <x v="5"/>
    <x v="7"/>
  </r>
  <r>
    <x v="1877"/>
    <n v="-9.1999999999999993"/>
    <x v="3938"/>
    <n v="4649.49"/>
    <s v="Complete Access"/>
    <x v="609"/>
    <x v="1"/>
    <x v="1"/>
    <d v="1900-01-10T00:00:00"/>
    <n v="37"/>
    <x v="5"/>
    <x v="7"/>
  </r>
  <r>
    <x v="1877"/>
    <n v="-43.79"/>
    <x v="3939"/>
    <n v="4595.7"/>
    <s v="Complete Access"/>
    <x v="609"/>
    <x v="1"/>
    <x v="1"/>
    <d v="1900-01-10T00:00:00"/>
    <n v="37"/>
    <x v="5"/>
    <x v="7"/>
  </r>
  <r>
    <x v="1877"/>
    <n v="-27"/>
    <x v="3940"/>
    <n v="4658.6899999999996"/>
    <s v="Complete Access"/>
    <x v="343"/>
    <x v="1"/>
    <x v="5"/>
    <d v="1900-01-10T00:00:00"/>
    <n v="37"/>
    <x v="5"/>
    <x v="7"/>
  </r>
  <r>
    <x v="1877"/>
    <n v="-10"/>
    <x v="3941"/>
    <n v="4639.49"/>
    <s v="Complete Access"/>
    <x v="213"/>
    <x v="1"/>
    <x v="23"/>
    <d v="1900-01-10T00:00:00"/>
    <n v="37"/>
    <x v="5"/>
    <x v="7"/>
  </r>
  <r>
    <x v="1878"/>
    <n v="-70"/>
    <x v="3942"/>
    <n v="4685.6899999999996"/>
    <s v="Complete Access"/>
    <x v="601"/>
    <x v="0"/>
    <x v="0"/>
    <d v="1900-01-09T00:00:00"/>
    <n v="37"/>
    <x v="5"/>
    <x v="7"/>
  </r>
  <r>
    <x v="1878"/>
    <n v="-20.100000000000001"/>
    <x v="3943"/>
    <n v="4755.6899999999996"/>
    <s v="Complete Access"/>
    <x v="880"/>
    <x v="8"/>
    <x v="29"/>
    <d v="1900-01-09T00:00:00"/>
    <n v="37"/>
    <x v="5"/>
    <x v="7"/>
  </r>
  <r>
    <x v="1879"/>
    <n v="-515"/>
    <x v="3404"/>
    <n v="4775.79"/>
    <s v="Complete Access"/>
    <x v="783"/>
    <x v="19"/>
    <x v="61"/>
    <d v="1900-01-07T00:00:00"/>
    <n v="36"/>
    <x v="5"/>
    <x v="7"/>
  </r>
  <r>
    <x v="1879"/>
    <n v="-100"/>
    <x v="2274"/>
    <n v="5290.79"/>
    <s v="Complete Access"/>
    <x v="552"/>
    <x v="0"/>
    <x v="74"/>
    <d v="1900-01-07T00:00:00"/>
    <n v="36"/>
    <x v="5"/>
    <x v="7"/>
  </r>
  <r>
    <x v="1880"/>
    <n v="-50"/>
    <x v="3764"/>
    <n v="5414.79"/>
    <s v="Complete Access"/>
    <x v="601"/>
    <x v="0"/>
    <x v="0"/>
    <d v="1900-01-06T00:00:00"/>
    <n v="36"/>
    <x v="5"/>
    <x v="7"/>
  </r>
  <r>
    <x v="1880"/>
    <n v="-7"/>
    <x v="3944"/>
    <n v="5464.79"/>
    <s v="Complete Access"/>
    <x v="1"/>
    <x v="1"/>
    <x v="1"/>
    <d v="1900-01-06T00:00:00"/>
    <n v="36"/>
    <x v="5"/>
    <x v="7"/>
  </r>
  <r>
    <x v="1880"/>
    <n v="-24"/>
    <x v="3835"/>
    <n v="5390.79"/>
    <s v="Complete Access"/>
    <x v="861"/>
    <x v="3"/>
    <x v="26"/>
    <d v="1900-01-06T00:00:00"/>
    <n v="36"/>
    <x v="5"/>
    <x v="7"/>
  </r>
  <r>
    <x v="1881"/>
    <n v="-9.35"/>
    <x v="3945"/>
    <n v="5487.69"/>
    <s v="Complete Access"/>
    <x v="27"/>
    <x v="1"/>
    <x v="5"/>
    <d v="1900-01-05T00:00:00"/>
    <n v="36"/>
    <x v="5"/>
    <x v="7"/>
  </r>
  <r>
    <x v="1881"/>
    <n v="-50"/>
    <x v="3946"/>
    <n v="5497.04"/>
    <s v="Complete Access"/>
    <x v="819"/>
    <x v="5"/>
    <x v="83"/>
    <d v="1900-01-05T00:00:00"/>
    <n v="36"/>
    <x v="5"/>
    <x v="7"/>
  </r>
  <r>
    <x v="1881"/>
    <n v="-15.9"/>
    <x v="3947"/>
    <n v="5471.79"/>
    <s v="Complete Access"/>
    <x v="609"/>
    <x v="1"/>
    <x v="1"/>
    <d v="1900-01-05T00:00:00"/>
    <n v="36"/>
    <x v="5"/>
    <x v="7"/>
  </r>
  <r>
    <x v="1882"/>
    <n v="1080.25"/>
    <x v="3188"/>
    <n v="5547.04"/>
    <s v="Complete Access"/>
    <x v="14"/>
    <x v="6"/>
    <x v="9"/>
    <d v="1900-01-04T00:00:00"/>
    <n v="36"/>
    <x v="5"/>
    <x v="7"/>
  </r>
  <r>
    <x v="1882"/>
    <n v="-17.8"/>
    <x v="3948"/>
    <n v="4496.8500000000004"/>
    <s v="Complete Access"/>
    <x v="881"/>
    <x v="1"/>
    <x v="5"/>
    <d v="1900-01-04T00:00:00"/>
    <n v="36"/>
    <x v="5"/>
    <x v="7"/>
  </r>
  <r>
    <x v="1882"/>
    <n v="-30.06"/>
    <x v="3949"/>
    <n v="4466.79"/>
    <s v="Complete Access"/>
    <x v="1"/>
    <x v="1"/>
    <x v="1"/>
    <d v="1900-01-04T00:00:00"/>
    <n v="36"/>
    <x v="5"/>
    <x v="7"/>
  </r>
  <r>
    <x v="1882"/>
    <n v="-12.95"/>
    <x v="3950"/>
    <n v="4574.6499999999996"/>
    <s v="Complete Access"/>
    <x v="1"/>
    <x v="1"/>
    <x v="1"/>
    <d v="1900-01-04T00:00:00"/>
    <n v="36"/>
    <x v="5"/>
    <x v="7"/>
  </r>
  <r>
    <x v="1882"/>
    <n v="-13.9"/>
    <x v="3951"/>
    <n v="4587.6000000000004"/>
    <s v="Complete Access"/>
    <x v="687"/>
    <x v="1"/>
    <x v="5"/>
    <d v="1900-01-04T00:00:00"/>
    <n v="36"/>
    <x v="5"/>
    <x v="7"/>
  </r>
  <r>
    <x v="1882"/>
    <n v="-60"/>
    <x v="3952"/>
    <n v="4514.6499999999996"/>
    <s v="Complete Access"/>
    <x v="219"/>
    <x v="7"/>
    <x v="53"/>
    <d v="1900-01-04T00:00:00"/>
    <n v="36"/>
    <x v="5"/>
    <x v="7"/>
  </r>
  <r>
    <x v="1883"/>
    <n v="-7.2"/>
    <x v="3953"/>
    <n v="4636.1000000000004"/>
    <s v="Complete Access"/>
    <x v="447"/>
    <x v="3"/>
    <x v="26"/>
    <d v="1900-01-03T00:00:00"/>
    <n v="36"/>
    <x v="5"/>
    <x v="7"/>
  </r>
  <r>
    <x v="1883"/>
    <n v="-17"/>
    <x v="3954"/>
    <n v="4601.5"/>
    <s v="Complete Access"/>
    <x v="842"/>
    <x v="8"/>
    <x v="29"/>
    <d v="1900-01-03T00:00:00"/>
    <n v="36"/>
    <x v="5"/>
    <x v="7"/>
  </r>
  <r>
    <x v="1883"/>
    <n v="-17.600000000000001"/>
    <x v="3955"/>
    <n v="4618.5"/>
    <s v="Complete Access"/>
    <x v="1"/>
    <x v="1"/>
    <x v="1"/>
    <d v="1900-01-03T00:00:00"/>
    <n v="36"/>
    <x v="5"/>
    <x v="7"/>
  </r>
  <r>
    <x v="1884"/>
    <n v="-12.5"/>
    <x v="3956"/>
    <n v="5004.7"/>
    <s v="Complete Access"/>
    <x v="843"/>
    <x v="1"/>
    <x v="5"/>
    <d v="1900-01-02T00:00:00"/>
    <n v="36"/>
    <x v="5"/>
    <x v="7"/>
  </r>
  <r>
    <x v="1884"/>
    <n v="-166.4"/>
    <x v="3957"/>
    <n v="4838.3"/>
    <s v="Complete Access"/>
    <x v="76"/>
    <x v="2"/>
    <x v="2"/>
    <d v="1900-01-02T00:00:00"/>
    <n v="36"/>
    <x v="5"/>
    <x v="7"/>
  </r>
  <r>
    <x v="1884"/>
    <n v="-65"/>
    <x v="3958"/>
    <n v="4773.3"/>
    <s v="Complete Access"/>
    <x v="741"/>
    <x v="16"/>
    <x v="81"/>
    <d v="1900-01-02T00:00:00"/>
    <n v="36"/>
    <x v="5"/>
    <x v="7"/>
  </r>
  <r>
    <x v="1884"/>
    <n v="-130"/>
    <x v="3959"/>
    <n v="4643.3"/>
    <s v="Complete Access"/>
    <x v="741"/>
    <x v="16"/>
    <x v="81"/>
    <d v="1900-01-02T00:00:00"/>
    <n v="36"/>
    <x v="5"/>
    <x v="7"/>
  </r>
  <r>
    <x v="1885"/>
    <n v="-515"/>
    <x v="3404"/>
    <n v="5040.68"/>
    <s v="Complete Access"/>
    <x v="783"/>
    <x v="19"/>
    <x v="61"/>
    <d v="1899-12-31T00:00:00"/>
    <n v="35"/>
    <x v="5"/>
    <x v="7"/>
  </r>
  <r>
    <x v="1885"/>
    <n v="-13.49"/>
    <x v="3960"/>
    <n v="5017.2"/>
    <s v="Complete Access"/>
    <x v="609"/>
    <x v="1"/>
    <x v="1"/>
    <d v="1899-12-31T00:00:00"/>
    <n v="35"/>
    <x v="5"/>
    <x v="7"/>
  </r>
  <r>
    <x v="1885"/>
    <n v="-9.99"/>
    <x v="3961"/>
    <n v="5030.6899999999996"/>
    <s v="Complete Access"/>
    <x v="373"/>
    <x v="8"/>
    <x v="7"/>
    <d v="1899-12-31T00:00:00"/>
    <n v="35"/>
    <x v="5"/>
    <x v="7"/>
  </r>
  <r>
    <x v="1885"/>
    <n v="-100"/>
    <x v="2274"/>
    <n v="5555.68"/>
    <s v="Complete Access"/>
    <x v="552"/>
    <x v="0"/>
    <x v="74"/>
    <d v="1899-12-31T00:00:00"/>
    <n v="35"/>
    <x v="5"/>
    <x v="7"/>
  </r>
  <r>
    <x v="1886"/>
    <n v="-13.35"/>
    <x v="3962"/>
    <n v="5727.88"/>
    <s v="Complete Access"/>
    <x v="27"/>
    <x v="1"/>
    <x v="5"/>
    <d v="1900-01-30T00:00:00"/>
    <n v="35"/>
    <x v="6"/>
    <x v="7"/>
  </r>
  <r>
    <x v="1886"/>
    <n v="-41.6"/>
    <x v="3963"/>
    <n v="5655.68"/>
    <s v="Complete Access"/>
    <x v="801"/>
    <x v="8"/>
    <x v="29"/>
    <d v="1900-01-30T00:00:00"/>
    <n v="35"/>
    <x v="6"/>
    <x v="7"/>
  </r>
  <r>
    <x v="1886"/>
    <n v="-30.6"/>
    <x v="3964"/>
    <n v="5697.28"/>
    <s v="Complete Access"/>
    <x v="1"/>
    <x v="1"/>
    <x v="1"/>
    <d v="1900-01-30T00:00:00"/>
    <n v="35"/>
    <x v="6"/>
    <x v="7"/>
  </r>
  <r>
    <x v="1887"/>
    <n v="-11.8"/>
    <x v="3965"/>
    <n v="5789.57"/>
    <s v="Complete Access"/>
    <x v="27"/>
    <x v="1"/>
    <x v="5"/>
    <d v="1900-01-29T00:00:00"/>
    <n v="35"/>
    <x v="6"/>
    <x v="7"/>
  </r>
  <r>
    <x v="1887"/>
    <n v="-19.09"/>
    <x v="3966"/>
    <n v="5770.48"/>
    <s v="Complete Access"/>
    <x v="609"/>
    <x v="1"/>
    <x v="1"/>
    <d v="1900-01-29T00:00:00"/>
    <n v="35"/>
    <x v="6"/>
    <x v="7"/>
  </r>
  <r>
    <x v="1887"/>
    <n v="-13.15"/>
    <x v="3967"/>
    <n v="5757.33"/>
    <s v="Complete Access"/>
    <x v="47"/>
    <x v="1"/>
    <x v="5"/>
    <d v="1900-01-29T00:00:00"/>
    <n v="35"/>
    <x v="6"/>
    <x v="7"/>
  </r>
  <r>
    <x v="1887"/>
    <n v="-16.100000000000001"/>
    <x v="3968"/>
    <n v="5741.23"/>
    <s v="Complete Access"/>
    <x v="1"/>
    <x v="1"/>
    <x v="1"/>
    <d v="1900-01-29T00:00:00"/>
    <n v="35"/>
    <x v="6"/>
    <x v="7"/>
  </r>
  <r>
    <x v="1888"/>
    <n v="-6"/>
    <x v="3969"/>
    <n v="4598.3500000000004"/>
    <s v="Complete Access"/>
    <x v="61"/>
    <x v="1"/>
    <x v="1"/>
    <d v="1900-01-28T00:00:00"/>
    <n v="35"/>
    <x v="6"/>
    <x v="7"/>
  </r>
  <r>
    <x v="1888"/>
    <n v="-20.16"/>
    <x v="3970"/>
    <n v="4604.3500000000004"/>
    <s v="Complete Access"/>
    <x v="882"/>
    <x v="9"/>
    <x v="32"/>
    <d v="1900-01-28T00:00:00"/>
    <n v="35"/>
    <x v="6"/>
    <x v="7"/>
  </r>
  <r>
    <x v="1888"/>
    <n v="1203.02"/>
    <x v="3188"/>
    <n v="5801.37"/>
    <s v="Complete Access"/>
    <x v="14"/>
    <x v="6"/>
    <x v="9"/>
    <d v="1900-01-28T00:00:00"/>
    <n v="35"/>
    <x v="6"/>
    <x v="7"/>
  </r>
  <r>
    <x v="1889"/>
    <n v="-17"/>
    <x v="3971"/>
    <n v="4624.51"/>
    <s v="Complete Access"/>
    <x v="842"/>
    <x v="8"/>
    <x v="29"/>
    <d v="1900-01-27T00:00:00"/>
    <n v="35"/>
    <x v="6"/>
    <x v="7"/>
  </r>
  <r>
    <x v="1889"/>
    <n v="-13.05"/>
    <x v="3972"/>
    <n v="4641.51"/>
    <s v="Complete Access"/>
    <x v="47"/>
    <x v="1"/>
    <x v="5"/>
    <d v="1900-01-27T00:00:00"/>
    <n v="35"/>
    <x v="6"/>
    <x v="7"/>
  </r>
  <r>
    <x v="1889"/>
    <n v="-6.05"/>
    <x v="3973"/>
    <n v="4681.67"/>
    <s v="Complete Access"/>
    <x v="27"/>
    <x v="1"/>
    <x v="5"/>
    <d v="1900-01-27T00:00:00"/>
    <n v="35"/>
    <x v="6"/>
    <x v="7"/>
  </r>
  <r>
    <x v="1889"/>
    <n v="-27.11"/>
    <x v="3974"/>
    <n v="4654.5600000000004"/>
    <s v="Complete Access"/>
    <x v="1"/>
    <x v="1"/>
    <x v="1"/>
    <d v="1900-01-27T00:00:00"/>
    <n v="35"/>
    <x v="6"/>
    <x v="7"/>
  </r>
  <r>
    <x v="1890"/>
    <n v="-13.5"/>
    <x v="3975"/>
    <n v="4687.72"/>
    <s v="Complete Access"/>
    <x v="687"/>
    <x v="1"/>
    <x v="5"/>
    <d v="1900-01-26T00:00:00"/>
    <n v="35"/>
    <x v="6"/>
    <x v="7"/>
  </r>
  <r>
    <x v="1891"/>
    <n v="-50"/>
    <x v="3403"/>
    <n v="4701.22"/>
    <s v="Complete Access"/>
    <x v="601"/>
    <x v="0"/>
    <x v="0"/>
    <d v="1900-01-24T00:00:00"/>
    <n v="34"/>
    <x v="6"/>
    <x v="7"/>
  </r>
  <r>
    <x v="1891"/>
    <n v="-50"/>
    <x v="3976"/>
    <n v="5714.54"/>
    <s v="Complete Access"/>
    <x v="819"/>
    <x v="5"/>
    <x v="83"/>
    <d v="1900-01-24T00:00:00"/>
    <n v="34"/>
    <x v="6"/>
    <x v="7"/>
  </r>
  <r>
    <x v="1891"/>
    <n v="-17"/>
    <x v="3977"/>
    <n v="5687.04"/>
    <s v="Complete Access"/>
    <x v="842"/>
    <x v="8"/>
    <x v="29"/>
    <d v="1900-01-24T00:00:00"/>
    <n v="34"/>
    <x v="6"/>
    <x v="7"/>
  </r>
  <r>
    <x v="1891"/>
    <n v="-515"/>
    <x v="3404"/>
    <n v="4751.22"/>
    <s v="Complete Access"/>
    <x v="783"/>
    <x v="19"/>
    <x v="61"/>
    <d v="1900-01-24T00:00:00"/>
    <n v="34"/>
    <x v="6"/>
    <x v="7"/>
  </r>
  <r>
    <x v="1891"/>
    <n v="-8.18"/>
    <x v="3978"/>
    <n v="5406.23"/>
    <s v="Complete Access"/>
    <x v="10"/>
    <x v="0"/>
    <x v="0"/>
    <d v="1900-01-24T00:00:00"/>
    <n v="34"/>
    <x v="6"/>
    <x v="7"/>
  </r>
  <r>
    <x v="1891"/>
    <n v="-100"/>
    <x v="2274"/>
    <n v="5266.22"/>
    <s v="Complete Access"/>
    <x v="552"/>
    <x v="0"/>
    <x v="74"/>
    <d v="1900-01-24T00:00:00"/>
    <n v="34"/>
    <x v="6"/>
    <x v="7"/>
  </r>
  <r>
    <x v="1891"/>
    <n v="-272.63"/>
    <x v="3979"/>
    <n v="5414.41"/>
    <s v="Complete Access"/>
    <x v="883"/>
    <x v="4"/>
    <x v="47"/>
    <d v="1900-01-24T00:00:00"/>
    <n v="34"/>
    <x v="6"/>
    <x v="7"/>
  </r>
  <r>
    <x v="1891"/>
    <n v="-7"/>
    <x v="3980"/>
    <n v="5704.04"/>
    <s v="Complete Access"/>
    <x v="884"/>
    <x v="1"/>
    <x v="5"/>
    <d v="1900-01-24T00:00:00"/>
    <n v="34"/>
    <x v="6"/>
    <x v="7"/>
  </r>
  <r>
    <x v="1891"/>
    <n v="-3.5"/>
    <x v="3980"/>
    <n v="5711.04"/>
    <s v="Complete Access"/>
    <x v="884"/>
    <x v="1"/>
    <x v="5"/>
    <d v="1900-01-24T00:00:00"/>
    <n v="34"/>
    <x v="6"/>
    <x v="7"/>
  </r>
  <r>
    <x v="1891"/>
    <n v="-40.01"/>
    <x v="3981"/>
    <n v="5366.22"/>
    <s v="Complete Access"/>
    <x v="34"/>
    <x v="9"/>
    <x v="12"/>
    <d v="1900-01-24T00:00:00"/>
    <n v="34"/>
    <x v="6"/>
    <x v="7"/>
  </r>
  <r>
    <x v="1892"/>
    <n v="-46.5"/>
    <x v="3982"/>
    <n v="5779.54"/>
    <s v="Complete Access"/>
    <x v="885"/>
    <x v="1"/>
    <x v="5"/>
    <d v="1900-01-23T00:00:00"/>
    <n v="34"/>
    <x v="6"/>
    <x v="7"/>
  </r>
  <r>
    <x v="1892"/>
    <n v="-15"/>
    <x v="3983"/>
    <n v="5764.54"/>
    <s v="Complete Access"/>
    <x v="884"/>
    <x v="1"/>
    <x v="5"/>
    <d v="1900-01-23T00:00:00"/>
    <n v="34"/>
    <x v="6"/>
    <x v="7"/>
  </r>
  <r>
    <x v="1893"/>
    <n v="-12.1"/>
    <x v="3984"/>
    <n v="6042.54"/>
    <s v="Complete Access"/>
    <x v="27"/>
    <x v="1"/>
    <x v="5"/>
    <d v="1900-01-22T00:00:00"/>
    <n v="34"/>
    <x v="6"/>
    <x v="7"/>
  </r>
  <r>
    <x v="1893"/>
    <n v="-20.45"/>
    <x v="3985"/>
    <n v="6022.09"/>
    <s v="Complete Access"/>
    <x v="609"/>
    <x v="1"/>
    <x v="1"/>
    <d v="1900-01-22T00:00:00"/>
    <n v="34"/>
    <x v="6"/>
    <x v="7"/>
  </r>
  <r>
    <x v="1893"/>
    <n v="-13.6"/>
    <x v="3986"/>
    <n v="5954.79"/>
    <s v="Complete Access"/>
    <x v="47"/>
    <x v="1"/>
    <x v="5"/>
    <d v="1900-01-22T00:00:00"/>
    <n v="34"/>
    <x v="6"/>
    <x v="7"/>
  </r>
  <r>
    <x v="1893"/>
    <n v="-95.55"/>
    <x v="3987"/>
    <n v="5844.04"/>
    <s v="Complete Access"/>
    <x v="237"/>
    <x v="15"/>
    <x v="34"/>
    <d v="1900-01-22T00:00:00"/>
    <n v="34"/>
    <x v="6"/>
    <x v="7"/>
  </r>
  <r>
    <x v="1893"/>
    <n v="-53.7"/>
    <x v="3988"/>
    <n v="5968.39"/>
    <s v="Complete Access"/>
    <x v="260"/>
    <x v="1"/>
    <x v="5"/>
    <d v="1900-01-22T00:00:00"/>
    <n v="34"/>
    <x v="6"/>
    <x v="7"/>
  </r>
  <r>
    <x v="1893"/>
    <n v="-6"/>
    <x v="3989"/>
    <n v="5826.04"/>
    <s v="Complete Access"/>
    <x v="886"/>
    <x v="8"/>
    <x v="29"/>
    <d v="1900-01-22T00:00:00"/>
    <n v="34"/>
    <x v="6"/>
    <x v="7"/>
  </r>
  <r>
    <x v="1893"/>
    <n v="-6"/>
    <x v="3989"/>
    <n v="5832.04"/>
    <s v="Complete Access"/>
    <x v="886"/>
    <x v="8"/>
    <x v="29"/>
    <d v="1900-01-22T00:00:00"/>
    <n v="34"/>
    <x v="6"/>
    <x v="7"/>
  </r>
  <r>
    <x v="1893"/>
    <n v="-6"/>
    <x v="3989"/>
    <n v="5838.04"/>
    <s v="Complete Access"/>
    <x v="886"/>
    <x v="8"/>
    <x v="29"/>
    <d v="1900-01-22T00:00:00"/>
    <n v="34"/>
    <x v="6"/>
    <x v="7"/>
  </r>
  <r>
    <x v="1893"/>
    <n v="-15.2"/>
    <x v="3990"/>
    <n v="5939.59"/>
    <s v="Complete Access"/>
    <x v="886"/>
    <x v="8"/>
    <x v="29"/>
    <d v="1900-01-22T00:00:00"/>
    <n v="34"/>
    <x v="6"/>
    <x v="7"/>
  </r>
  <r>
    <x v="1894"/>
    <n v="-78.86"/>
    <x v="3991"/>
    <n v="4969.75"/>
    <s v="Complete Access"/>
    <x v="668"/>
    <x v="15"/>
    <x v="34"/>
    <d v="1900-01-21T00:00:00"/>
    <n v="34"/>
    <x v="6"/>
    <x v="7"/>
  </r>
  <r>
    <x v="1894"/>
    <n v="-16.59"/>
    <x v="3992"/>
    <n v="5129.8100000000004"/>
    <s v="Complete Access"/>
    <x v="559"/>
    <x v="20"/>
    <x v="63"/>
    <d v="1900-01-21T00:00:00"/>
    <n v="34"/>
    <x v="6"/>
    <x v="7"/>
  </r>
  <r>
    <x v="1894"/>
    <n v="1080.25"/>
    <x v="3188"/>
    <n v="6040.64"/>
    <s v="Complete Access"/>
    <x v="14"/>
    <x v="6"/>
    <x v="9"/>
    <d v="1900-01-21T00:00:00"/>
    <n v="34"/>
    <x v="6"/>
    <x v="7"/>
  </r>
  <r>
    <x v="1894"/>
    <n v="-63"/>
    <x v="3993"/>
    <n v="5048.6099999999997"/>
    <s v="Complete Access"/>
    <x v="887"/>
    <x v="8"/>
    <x v="29"/>
    <d v="1900-01-21T00:00:00"/>
    <n v="34"/>
    <x v="6"/>
    <x v="7"/>
  </r>
  <r>
    <x v="1894"/>
    <n v="-18.2"/>
    <x v="3993"/>
    <n v="5111.6099999999997"/>
    <s v="Complete Access"/>
    <x v="887"/>
    <x v="8"/>
    <x v="29"/>
    <d v="1900-01-21T00:00:00"/>
    <n v="34"/>
    <x v="6"/>
    <x v="7"/>
  </r>
  <r>
    <x v="1894"/>
    <n v="14"/>
    <x v="2702"/>
    <n v="6054.64"/>
    <s v="Complete Access"/>
    <x v="6"/>
    <x v="4"/>
    <x v="4"/>
    <d v="1900-01-21T00:00:00"/>
    <n v="34"/>
    <x v="6"/>
    <x v="7"/>
  </r>
  <r>
    <x v="1894"/>
    <n v="13.44"/>
    <x v="3994"/>
    <n v="4960.3900000000003"/>
    <s v="Complete Access"/>
    <x v="67"/>
    <x v="0"/>
    <x v="0"/>
    <d v="1900-01-21T00:00:00"/>
    <n v="34"/>
    <x v="6"/>
    <x v="7"/>
  </r>
  <r>
    <x v="1894"/>
    <n v="-14.9"/>
    <x v="3990"/>
    <n v="4946.95"/>
    <s v="Complete Access"/>
    <x v="886"/>
    <x v="8"/>
    <x v="29"/>
    <d v="1900-01-21T00:00:00"/>
    <n v="34"/>
    <x v="6"/>
    <x v="7"/>
  </r>
  <r>
    <x v="1894"/>
    <n v="-7.9"/>
    <x v="3990"/>
    <n v="4961.8500000000004"/>
    <s v="Complete Access"/>
    <x v="886"/>
    <x v="8"/>
    <x v="29"/>
    <d v="1900-01-21T00:00:00"/>
    <n v="34"/>
    <x v="6"/>
    <x v="7"/>
  </r>
  <r>
    <x v="1895"/>
    <n v="-9.8000000000000007"/>
    <x v="3995"/>
    <n v="5327.29"/>
    <s v="Complete Access"/>
    <x v="61"/>
    <x v="1"/>
    <x v="1"/>
    <d v="1900-01-20T00:00:00"/>
    <n v="34"/>
    <x v="6"/>
    <x v="7"/>
  </r>
  <r>
    <x v="1895"/>
    <n v="-75"/>
    <x v="3996"/>
    <n v="5252.29"/>
    <s v="Complete Access"/>
    <x v="61"/>
    <x v="1"/>
    <x v="1"/>
    <d v="1900-01-20T00:00:00"/>
    <n v="34"/>
    <x v="6"/>
    <x v="7"/>
  </r>
  <r>
    <x v="1895"/>
    <n v="-10"/>
    <x v="3997"/>
    <n v="5161.3900000000003"/>
    <s v="Complete Access"/>
    <x v="42"/>
    <x v="8"/>
    <x v="22"/>
    <d v="1900-01-20T00:00:00"/>
    <n v="34"/>
    <x v="6"/>
    <x v="7"/>
  </r>
  <r>
    <x v="1895"/>
    <n v="-10"/>
    <x v="3998"/>
    <n v="5242.29"/>
    <s v="Complete Access"/>
    <x v="612"/>
    <x v="18"/>
    <x v="59"/>
    <d v="1900-01-20T00:00:00"/>
    <n v="34"/>
    <x v="6"/>
    <x v="7"/>
  </r>
  <r>
    <x v="1895"/>
    <n v="-30"/>
    <x v="3999"/>
    <n v="5174.8900000000003"/>
    <s v="Complete Access"/>
    <x v="888"/>
    <x v="3"/>
    <x v="60"/>
    <d v="1900-01-20T00:00:00"/>
    <n v="34"/>
    <x v="6"/>
    <x v="7"/>
  </r>
  <r>
    <x v="1895"/>
    <n v="-3.5"/>
    <x v="4000"/>
    <n v="5171.3900000000003"/>
    <s v="Complete Access"/>
    <x v="889"/>
    <x v="1"/>
    <x v="5"/>
    <d v="1900-01-20T00:00:00"/>
    <n v="34"/>
    <x v="6"/>
    <x v="7"/>
  </r>
  <r>
    <x v="1895"/>
    <n v="-25"/>
    <x v="4001"/>
    <n v="5204.8900000000003"/>
    <s v="Complete Access"/>
    <x v="796"/>
    <x v="20"/>
    <x v="63"/>
    <d v="1900-01-20T00:00:00"/>
    <n v="34"/>
    <x v="6"/>
    <x v="7"/>
  </r>
  <r>
    <x v="1895"/>
    <n v="-12.4"/>
    <x v="4002"/>
    <n v="5229.8900000000003"/>
    <s v="Complete Access"/>
    <x v="890"/>
    <x v="8"/>
    <x v="29"/>
    <d v="1900-01-20T00:00:00"/>
    <n v="34"/>
    <x v="6"/>
    <x v="7"/>
  </r>
  <r>
    <x v="1895"/>
    <n v="-14.99"/>
    <x v="4003"/>
    <n v="5146.3999999999996"/>
    <s v="Complete Access"/>
    <x v="213"/>
    <x v="1"/>
    <x v="23"/>
    <d v="1900-01-20T00:00:00"/>
    <n v="34"/>
    <x v="6"/>
    <x v="7"/>
  </r>
  <r>
    <x v="1896"/>
    <n v="-515"/>
    <x v="3404"/>
    <n v="5386.58"/>
    <s v="Complete Access"/>
    <x v="783"/>
    <x v="19"/>
    <x v="61"/>
    <d v="1900-01-17T00:00:00"/>
    <n v="33"/>
    <x v="6"/>
    <x v="7"/>
  </r>
  <r>
    <x v="1896"/>
    <n v="-100"/>
    <x v="2274"/>
    <n v="5901.58"/>
    <s v="Complete Access"/>
    <x v="552"/>
    <x v="0"/>
    <x v="74"/>
    <d v="1900-01-17T00:00:00"/>
    <n v="33"/>
    <x v="6"/>
    <x v="7"/>
  </r>
  <r>
    <x v="1896"/>
    <n v="-35.99"/>
    <x v="4004"/>
    <n v="5337.09"/>
    <s v="Complete Access"/>
    <x v="891"/>
    <x v="1"/>
    <x v="23"/>
    <d v="1900-01-17T00:00:00"/>
    <n v="33"/>
    <x v="6"/>
    <x v="7"/>
  </r>
  <r>
    <x v="1896"/>
    <n v="-13.5"/>
    <x v="4005"/>
    <n v="5373.08"/>
    <s v="Complete Access"/>
    <x v="687"/>
    <x v="1"/>
    <x v="5"/>
    <d v="1900-01-17T00:00:00"/>
    <n v="33"/>
    <x v="6"/>
    <x v="7"/>
  </r>
  <r>
    <x v="1897"/>
    <n v="-19.45"/>
    <x v="4006"/>
    <n v="6001.58"/>
    <s v="Complete Access"/>
    <x v="609"/>
    <x v="1"/>
    <x v="1"/>
    <d v="1900-01-16T00:00:00"/>
    <n v="33"/>
    <x v="6"/>
    <x v="7"/>
  </r>
  <r>
    <x v="1897"/>
    <n v="-14.9"/>
    <x v="4007"/>
    <n v="6021.03"/>
    <s v="Complete Access"/>
    <x v="687"/>
    <x v="1"/>
    <x v="5"/>
    <d v="1900-01-16T00:00:00"/>
    <n v="33"/>
    <x v="6"/>
    <x v="7"/>
  </r>
  <r>
    <x v="1898"/>
    <n v="-11.5"/>
    <x v="4008"/>
    <n v="6081.63"/>
    <s v="Complete Access"/>
    <x v="749"/>
    <x v="1"/>
    <x v="5"/>
    <d v="1900-01-15T00:00:00"/>
    <n v="33"/>
    <x v="6"/>
    <x v="7"/>
  </r>
  <r>
    <x v="1898"/>
    <n v="-19.7"/>
    <x v="4009"/>
    <n v="6061.93"/>
    <s v="Complete Access"/>
    <x v="27"/>
    <x v="1"/>
    <x v="5"/>
    <d v="1900-01-15T00:00:00"/>
    <n v="33"/>
    <x v="6"/>
    <x v="7"/>
  </r>
  <r>
    <x v="1898"/>
    <n v="-5.2"/>
    <x v="4010"/>
    <n v="6035.93"/>
    <s v="Complete Access"/>
    <x v="447"/>
    <x v="3"/>
    <x v="26"/>
    <d v="1900-01-15T00:00:00"/>
    <n v="33"/>
    <x v="6"/>
    <x v="7"/>
  </r>
  <r>
    <x v="1898"/>
    <n v="-20.8"/>
    <x v="4011"/>
    <n v="6041.13"/>
    <s v="Complete Access"/>
    <x v="47"/>
    <x v="1"/>
    <x v="5"/>
    <d v="1900-01-15T00:00:00"/>
    <n v="33"/>
    <x v="6"/>
    <x v="7"/>
  </r>
  <r>
    <x v="1899"/>
    <n v="-37.64"/>
    <x v="4012"/>
    <n v="5104.2700000000004"/>
    <s v="Complete Access"/>
    <x v="841"/>
    <x v="2"/>
    <x v="86"/>
    <d v="1900-01-14T00:00:00"/>
    <n v="33"/>
    <x v="6"/>
    <x v="7"/>
  </r>
  <r>
    <x v="1899"/>
    <n v="-7.2"/>
    <x v="4013"/>
    <n v="5084.57"/>
    <s v="Complete Access"/>
    <x v="61"/>
    <x v="1"/>
    <x v="1"/>
    <d v="1900-01-14T00:00:00"/>
    <n v="33"/>
    <x v="6"/>
    <x v="7"/>
  </r>
  <r>
    <x v="1899"/>
    <n v="-20.16"/>
    <x v="4014"/>
    <n v="5035.6099999999997"/>
    <s v="Complete Access"/>
    <x v="882"/>
    <x v="9"/>
    <x v="32"/>
    <d v="1900-01-14T00:00:00"/>
    <n v="33"/>
    <x v="6"/>
    <x v="7"/>
  </r>
  <r>
    <x v="1899"/>
    <n v="1081.47"/>
    <x v="3188"/>
    <n v="6093.13"/>
    <s v="Complete Access"/>
    <x v="14"/>
    <x v="6"/>
    <x v="9"/>
    <d v="1900-01-14T00:00:00"/>
    <n v="33"/>
    <x v="6"/>
    <x v="7"/>
  </r>
  <r>
    <x v="1899"/>
    <n v="-12.5"/>
    <x v="4015"/>
    <n v="5091.7700000000004"/>
    <s v="Complete Access"/>
    <x v="843"/>
    <x v="1"/>
    <x v="5"/>
    <d v="1900-01-14T00:00:00"/>
    <n v="33"/>
    <x v="6"/>
    <x v="7"/>
  </r>
  <r>
    <x v="1899"/>
    <n v="-28.8"/>
    <x v="4016"/>
    <n v="5055.7700000000004"/>
    <s v="Complete Access"/>
    <x v="343"/>
    <x v="1"/>
    <x v="5"/>
    <d v="1900-01-14T00:00:00"/>
    <n v="33"/>
    <x v="6"/>
    <x v="7"/>
  </r>
  <r>
    <x v="1899"/>
    <n v="-23.95"/>
    <x v="4017"/>
    <n v="5011.66"/>
    <s v="Complete Access"/>
    <x v="1"/>
    <x v="1"/>
    <x v="1"/>
    <d v="1900-01-14T00:00:00"/>
    <n v="33"/>
    <x v="6"/>
    <x v="7"/>
  </r>
  <r>
    <x v="1900"/>
    <n v="-3.9"/>
    <x v="4018"/>
    <n v="5237.91"/>
    <s v="Complete Access"/>
    <x v="447"/>
    <x v="3"/>
    <x v="26"/>
    <d v="1900-01-13T00:00:00"/>
    <n v="33"/>
    <x v="6"/>
    <x v="7"/>
  </r>
  <r>
    <x v="1900"/>
    <n v="-17"/>
    <x v="4019"/>
    <n v="5220.91"/>
    <s v="Complete Access"/>
    <x v="842"/>
    <x v="8"/>
    <x v="29"/>
    <d v="1900-01-13T00:00:00"/>
    <n v="33"/>
    <x v="6"/>
    <x v="7"/>
  </r>
  <r>
    <x v="1900"/>
    <n v="79"/>
    <x v="4020"/>
    <n v="5263.95"/>
    <s v="Complete Access"/>
    <x v="347"/>
    <x v="3"/>
    <x v="62"/>
    <d v="1900-01-13T00:00:00"/>
    <n v="33"/>
    <x v="6"/>
    <x v="7"/>
  </r>
  <r>
    <x v="1900"/>
    <n v="-7.5"/>
    <x v="4021"/>
    <n v="5241.8100000000004"/>
    <s v="Complete Access"/>
    <x v="827"/>
    <x v="1"/>
    <x v="1"/>
    <d v="1900-01-13T00:00:00"/>
    <n v="33"/>
    <x v="6"/>
    <x v="7"/>
  </r>
  <r>
    <x v="1900"/>
    <n v="-79"/>
    <x v="4022"/>
    <n v="5141.91"/>
    <s v="Complete Access"/>
    <x v="347"/>
    <x v="3"/>
    <x v="62"/>
    <d v="1900-01-13T00:00:00"/>
    <n v="33"/>
    <x v="6"/>
    <x v="7"/>
  </r>
  <r>
    <x v="1900"/>
    <n v="-0.12"/>
    <x v="4023"/>
    <n v="5259.71"/>
    <s v="Complete Access"/>
    <x v="10"/>
    <x v="0"/>
    <x v="0"/>
    <d v="1900-01-13T00:00:00"/>
    <n v="33"/>
    <x v="6"/>
    <x v="7"/>
  </r>
  <r>
    <x v="1900"/>
    <n v="-10.4"/>
    <x v="4024"/>
    <n v="5249.31"/>
    <s v="Complete Access"/>
    <x v="1"/>
    <x v="1"/>
    <x v="1"/>
    <d v="1900-01-13T00:00:00"/>
    <n v="33"/>
    <x v="6"/>
    <x v="7"/>
  </r>
  <r>
    <x v="1900"/>
    <n v="-13.5"/>
    <x v="4025"/>
    <n v="5184.95"/>
    <s v="Complete Access"/>
    <x v="687"/>
    <x v="1"/>
    <x v="5"/>
    <d v="1900-01-13T00:00:00"/>
    <n v="33"/>
    <x v="6"/>
    <x v="7"/>
  </r>
  <r>
    <x v="1900"/>
    <n v="-4.12"/>
    <x v="4026"/>
    <n v="5259.83"/>
    <s v="Complete Access"/>
    <x v="327"/>
    <x v="4"/>
    <x v="27"/>
    <d v="1900-01-13T00:00:00"/>
    <n v="33"/>
    <x v="6"/>
    <x v="7"/>
  </r>
  <r>
    <x v="1901"/>
    <n v="-515"/>
    <x v="3404"/>
    <n v="5344.45"/>
    <s v="Complete Access"/>
    <x v="783"/>
    <x v="19"/>
    <x v="61"/>
    <d v="1900-01-10T00:00:00"/>
    <n v="32"/>
    <x v="6"/>
    <x v="7"/>
  </r>
  <r>
    <x v="1901"/>
    <n v="-41"/>
    <x v="4027"/>
    <n v="5303.45"/>
    <s v="Complete Access"/>
    <x v="343"/>
    <x v="1"/>
    <x v="5"/>
    <d v="1900-01-10T00:00:00"/>
    <n v="32"/>
    <x v="6"/>
    <x v="7"/>
  </r>
  <r>
    <x v="1901"/>
    <n v="-9"/>
    <x v="4028"/>
    <n v="5215.45"/>
    <s v="Complete Access"/>
    <x v="269"/>
    <x v="1"/>
    <x v="1"/>
    <d v="1900-01-10T00:00:00"/>
    <n v="32"/>
    <x v="6"/>
    <x v="7"/>
  </r>
  <r>
    <x v="1901"/>
    <n v="-100"/>
    <x v="2274"/>
    <n v="5859.45"/>
    <s v="Complete Access"/>
    <x v="552"/>
    <x v="0"/>
    <x v="74"/>
    <d v="1900-01-10T00:00:00"/>
    <n v="32"/>
    <x v="6"/>
    <x v="7"/>
  </r>
  <r>
    <x v="1901"/>
    <n v="-17"/>
    <x v="3061"/>
    <n v="5198.45"/>
    <s v="Complete Access"/>
    <x v="27"/>
    <x v="1"/>
    <x v="5"/>
    <d v="1900-01-10T00:00:00"/>
    <n v="32"/>
    <x v="6"/>
    <x v="7"/>
  </r>
  <r>
    <x v="1901"/>
    <n v="-79"/>
    <x v="4029"/>
    <n v="5224.45"/>
    <s v="Complete Access"/>
    <x v="892"/>
    <x v="3"/>
    <x v="62"/>
    <d v="1900-01-10T00:00:00"/>
    <n v="32"/>
    <x v="6"/>
    <x v="7"/>
  </r>
  <r>
    <x v="1902"/>
    <n v="-50"/>
    <x v="4030"/>
    <n v="6076.45"/>
    <s v="Complete Access"/>
    <x v="819"/>
    <x v="5"/>
    <x v="83"/>
    <d v="1900-01-09T00:00:00"/>
    <n v="32"/>
    <x v="6"/>
    <x v="7"/>
  </r>
  <r>
    <x v="1902"/>
    <n v="-12.5"/>
    <x v="4031"/>
    <n v="6126.45"/>
    <s v="Complete Access"/>
    <x v="843"/>
    <x v="1"/>
    <x v="5"/>
    <d v="1900-01-09T00:00:00"/>
    <n v="32"/>
    <x v="6"/>
    <x v="7"/>
  </r>
  <r>
    <x v="1902"/>
    <n v="-14"/>
    <x v="4032"/>
    <n v="6062.45"/>
    <s v="Complete Access"/>
    <x v="254"/>
    <x v="16"/>
    <x v="35"/>
    <d v="1900-01-09T00:00:00"/>
    <n v="32"/>
    <x v="6"/>
    <x v="7"/>
  </r>
  <r>
    <x v="1902"/>
    <n v="-103"/>
    <x v="2543"/>
    <n v="5959.45"/>
    <s v="Complete Access"/>
    <x v="17"/>
    <x v="7"/>
    <x v="11"/>
    <d v="1900-01-09T00:00:00"/>
    <n v="32"/>
    <x v="6"/>
    <x v="7"/>
  </r>
  <r>
    <x v="1903"/>
    <n v="-17"/>
    <x v="4033"/>
    <n v="6138.95"/>
    <s v="Complete Access"/>
    <x v="842"/>
    <x v="8"/>
    <x v="29"/>
    <d v="1900-01-08T00:00:00"/>
    <n v="32"/>
    <x v="6"/>
    <x v="7"/>
  </r>
  <r>
    <x v="1903"/>
    <n v="-12.5"/>
    <x v="4034"/>
    <n v="6233.81"/>
    <s v="Complete Access"/>
    <x v="843"/>
    <x v="1"/>
    <x v="5"/>
    <d v="1900-01-08T00:00:00"/>
    <n v="32"/>
    <x v="6"/>
    <x v="7"/>
  </r>
  <r>
    <x v="1903"/>
    <n v="-77.86"/>
    <x v="4035"/>
    <n v="6155.95"/>
    <s v="Complete Access"/>
    <x v="1"/>
    <x v="1"/>
    <x v="1"/>
    <d v="1900-01-08T00:00:00"/>
    <n v="32"/>
    <x v="6"/>
    <x v="7"/>
  </r>
  <r>
    <x v="1904"/>
    <n v="1080.25"/>
    <x v="3188"/>
    <n v="6226.31"/>
    <s v="Complete Access"/>
    <x v="14"/>
    <x v="6"/>
    <x v="9"/>
    <d v="1900-01-07T00:00:00"/>
    <n v="32"/>
    <x v="6"/>
    <x v="7"/>
  </r>
  <r>
    <x v="1904"/>
    <n v="-25.5"/>
    <x v="4036"/>
    <n v="5146.0600000000004"/>
    <s v="Complete Access"/>
    <x v="849"/>
    <x v="8"/>
    <x v="29"/>
    <d v="1900-01-07T00:00:00"/>
    <n v="32"/>
    <x v="6"/>
    <x v="7"/>
  </r>
  <r>
    <x v="1904"/>
    <n v="-14"/>
    <x v="4037"/>
    <n v="5171.5600000000004"/>
    <s v="Complete Access"/>
    <x v="715"/>
    <x v="8"/>
    <x v="29"/>
    <d v="1900-01-07T00:00:00"/>
    <n v="32"/>
    <x v="6"/>
    <x v="7"/>
  </r>
  <r>
    <x v="1904"/>
    <n v="20"/>
    <x v="3024"/>
    <n v="6246.31"/>
    <s v="Complete Access"/>
    <x v="27"/>
    <x v="1"/>
    <x v="5"/>
    <d v="1900-01-07T00:00:00"/>
    <n v="32"/>
    <x v="6"/>
    <x v="7"/>
  </r>
  <r>
    <x v="1905"/>
    <n v="-50"/>
    <x v="3764"/>
    <n v="5185.5600000000004"/>
    <s v="Complete Access"/>
    <x v="601"/>
    <x v="0"/>
    <x v="0"/>
    <d v="1900-01-06T00:00:00"/>
    <n v="32"/>
    <x v="6"/>
    <x v="7"/>
  </r>
  <r>
    <x v="1905"/>
    <n v="-68.09"/>
    <x v="4038"/>
    <n v="5246.56"/>
    <s v="Complete Access"/>
    <x v="90"/>
    <x v="8"/>
    <x v="29"/>
    <d v="1900-01-06T00:00:00"/>
    <n v="32"/>
    <x v="6"/>
    <x v="7"/>
  </r>
  <r>
    <x v="1905"/>
    <n v="-13.65"/>
    <x v="4039"/>
    <n v="5360.71"/>
    <s v="Complete Access"/>
    <x v="893"/>
    <x v="9"/>
    <x v="31"/>
    <d v="1900-01-06T00:00:00"/>
    <n v="32"/>
    <x v="6"/>
    <x v="7"/>
  </r>
  <r>
    <x v="1905"/>
    <n v="-1.9"/>
    <x v="4040"/>
    <n v="5314.65"/>
    <s v="Complete Access"/>
    <x v="1"/>
    <x v="1"/>
    <x v="1"/>
    <d v="1900-01-06T00:00:00"/>
    <n v="32"/>
    <x v="6"/>
    <x v="7"/>
  </r>
  <r>
    <x v="1905"/>
    <n v="-4.8600000000000003"/>
    <x v="4040"/>
    <n v="5316.55"/>
    <s v="Complete Access"/>
    <x v="1"/>
    <x v="1"/>
    <x v="1"/>
    <d v="1900-01-06T00:00:00"/>
    <n v="32"/>
    <x v="6"/>
    <x v="7"/>
  </r>
  <r>
    <x v="1905"/>
    <n v="-25.8"/>
    <x v="4040"/>
    <n v="5321.41"/>
    <s v="Complete Access"/>
    <x v="1"/>
    <x v="1"/>
    <x v="1"/>
    <d v="1900-01-06T00:00:00"/>
    <n v="32"/>
    <x v="6"/>
    <x v="7"/>
  </r>
  <r>
    <x v="1905"/>
    <n v="-11"/>
    <x v="4041"/>
    <n v="5235.5600000000004"/>
    <s v="Complete Access"/>
    <x v="213"/>
    <x v="1"/>
    <x v="23"/>
    <d v="1900-01-06T00:00:00"/>
    <n v="32"/>
    <x v="6"/>
    <x v="7"/>
  </r>
  <r>
    <x v="1905"/>
    <n v="-13.5"/>
    <x v="4042"/>
    <n v="5347.21"/>
    <s v="Complete Access"/>
    <x v="687"/>
    <x v="1"/>
    <x v="5"/>
    <d v="1900-01-06T00:00:00"/>
    <n v="32"/>
    <x v="6"/>
    <x v="7"/>
  </r>
  <r>
    <x v="1906"/>
    <n v="400"/>
    <x v="3910"/>
    <n v="5374.36"/>
    <s v="Complete Access"/>
    <x v="67"/>
    <x v="0"/>
    <x v="0"/>
    <d v="1900-01-05T00:00:00"/>
    <n v="32"/>
    <x v="6"/>
    <x v="7"/>
  </r>
  <r>
    <x v="1907"/>
    <n v="18"/>
    <x v="3024"/>
    <n v="4974.3599999999997"/>
    <s v="Complete Access"/>
    <x v="27"/>
    <x v="1"/>
    <x v="5"/>
    <d v="1900-01-04T00:00:00"/>
    <n v="32"/>
    <x v="6"/>
    <x v="7"/>
  </r>
  <r>
    <x v="1908"/>
    <n v="-5.2"/>
    <x v="4043"/>
    <n v="5608.06"/>
    <s v="Complete Access"/>
    <x v="447"/>
    <x v="3"/>
    <x v="26"/>
    <d v="1900-01-03T00:00:00"/>
    <n v="31"/>
    <x v="6"/>
    <x v="7"/>
  </r>
  <r>
    <x v="1908"/>
    <n v="-515"/>
    <x v="3404"/>
    <n v="4956.3599999999997"/>
    <s v="Complete Access"/>
    <x v="783"/>
    <x v="19"/>
    <x v="61"/>
    <d v="1900-01-03T00:00:00"/>
    <n v="31"/>
    <x v="6"/>
    <x v="7"/>
  </r>
  <r>
    <x v="1908"/>
    <n v="-36.700000000000003"/>
    <x v="4044"/>
    <n v="5571.36"/>
    <s v="Complete Access"/>
    <x v="343"/>
    <x v="1"/>
    <x v="5"/>
    <d v="1900-01-03T00:00:00"/>
    <n v="31"/>
    <x v="6"/>
    <x v="7"/>
  </r>
  <r>
    <x v="1908"/>
    <n v="-14.96"/>
    <x v="4045"/>
    <n v="5613.26"/>
    <s v="Complete Access"/>
    <x v="893"/>
    <x v="9"/>
    <x v="31"/>
    <d v="1900-01-03T00:00:00"/>
    <n v="31"/>
    <x v="6"/>
    <x v="7"/>
  </r>
  <r>
    <x v="1908"/>
    <n v="-100"/>
    <x v="2274"/>
    <n v="5471.36"/>
    <s v="Complete Access"/>
    <x v="552"/>
    <x v="0"/>
    <x v="74"/>
    <d v="1900-01-03T00:00:00"/>
    <n v="31"/>
    <x v="6"/>
    <x v="7"/>
  </r>
  <r>
    <x v="1909"/>
    <n v="-17"/>
    <x v="4046"/>
    <n v="5688.22"/>
    <s v="Complete Access"/>
    <x v="842"/>
    <x v="8"/>
    <x v="29"/>
    <d v="1900-01-02T00:00:00"/>
    <n v="31"/>
    <x v="6"/>
    <x v="7"/>
  </r>
  <r>
    <x v="1909"/>
    <n v="-10.7"/>
    <x v="4047"/>
    <n v="5705.22"/>
    <s v="Complete Access"/>
    <x v="609"/>
    <x v="1"/>
    <x v="1"/>
    <d v="1900-01-02T00:00:00"/>
    <n v="31"/>
    <x v="6"/>
    <x v="7"/>
  </r>
  <r>
    <x v="1909"/>
    <n v="-13.5"/>
    <x v="4048"/>
    <n v="5715.92"/>
    <s v="Complete Access"/>
    <x v="687"/>
    <x v="1"/>
    <x v="5"/>
    <d v="1900-01-02T00:00:00"/>
    <n v="31"/>
    <x v="6"/>
    <x v="7"/>
  </r>
  <r>
    <x v="1909"/>
    <n v="-60"/>
    <x v="4049"/>
    <n v="5628.22"/>
    <s v="Complete Access"/>
    <x v="219"/>
    <x v="7"/>
    <x v="53"/>
    <d v="1900-01-02T00:00:00"/>
    <n v="31"/>
    <x v="6"/>
    <x v="7"/>
  </r>
  <r>
    <x v="1910"/>
    <n v="-10.199999999999999"/>
    <x v="4050"/>
    <n v="5730.42"/>
    <s v="Complete Access"/>
    <x v="27"/>
    <x v="1"/>
    <x v="5"/>
    <d v="1900-01-01T00:00:00"/>
    <n v="31"/>
    <x v="6"/>
    <x v="7"/>
  </r>
  <r>
    <x v="1910"/>
    <n v="-11.1"/>
    <x v="4051"/>
    <n v="5750.61"/>
    <s v="Complete Access"/>
    <x v="61"/>
    <x v="1"/>
    <x v="1"/>
    <d v="1900-01-01T00:00:00"/>
    <n v="31"/>
    <x v="6"/>
    <x v="7"/>
  </r>
  <r>
    <x v="1910"/>
    <n v="-9.99"/>
    <x v="4052"/>
    <n v="5740.62"/>
    <s v="Complete Access"/>
    <x v="373"/>
    <x v="8"/>
    <x v="7"/>
    <d v="1900-01-01T00:00:00"/>
    <n v="31"/>
    <x v="6"/>
    <x v="7"/>
  </r>
  <r>
    <x v="1910"/>
    <n v="-1"/>
    <x v="4053"/>
    <n v="5729.42"/>
    <s v="Complete Access"/>
    <x v="98"/>
    <x v="9"/>
    <x v="32"/>
    <d v="1900-01-01T00:00:00"/>
    <n v="31"/>
    <x v="6"/>
    <x v="7"/>
  </r>
  <r>
    <x v="1911"/>
    <n v="-12.3"/>
    <x v="4054"/>
    <n v="4888.3599999999997"/>
    <s v="Complete Access"/>
    <x v="61"/>
    <x v="1"/>
    <x v="1"/>
    <d v="1899-12-31T00:00:00"/>
    <n v="31"/>
    <x v="6"/>
    <x v="7"/>
  </r>
  <r>
    <x v="1911"/>
    <n v="-20.16"/>
    <x v="4055"/>
    <n v="4868.2"/>
    <s v="Complete Access"/>
    <x v="882"/>
    <x v="9"/>
    <x v="32"/>
    <d v="1899-12-31T00:00:00"/>
    <n v="31"/>
    <x v="6"/>
    <x v="7"/>
  </r>
  <r>
    <x v="1911"/>
    <n v="-144"/>
    <x v="4056"/>
    <m/>
    <s v="Complete Access"/>
    <x v="739"/>
    <x v="4"/>
    <x v="20"/>
    <d v="1899-12-31T00:00:00"/>
    <n v="31"/>
    <x v="6"/>
    <x v="7"/>
  </r>
  <r>
    <x v="1911"/>
    <n v="1080.25"/>
    <x v="3188"/>
    <n v="5761.71"/>
    <s v="Complete Access"/>
    <x v="14"/>
    <x v="6"/>
    <x v="9"/>
    <d v="1899-12-31T00:00:00"/>
    <n v="31"/>
    <x v="6"/>
    <x v="7"/>
  </r>
  <r>
    <x v="1911"/>
    <n v="-166.4"/>
    <x v="4057"/>
    <n v="4681.46"/>
    <s v="Complete Access"/>
    <x v="76"/>
    <x v="2"/>
    <x v="2"/>
    <d v="1899-12-31T00:00:00"/>
    <n v="31"/>
    <x v="6"/>
    <x v="7"/>
  </r>
  <r>
    <x v="1911"/>
    <n v="-16.34"/>
    <x v="4058"/>
    <n v="4847.8599999999997"/>
    <s v="Complete Access"/>
    <x v="1"/>
    <x v="1"/>
    <x v="1"/>
    <d v="1899-12-31T00:00:00"/>
    <n v="31"/>
    <x v="6"/>
    <x v="7"/>
  </r>
  <r>
    <x v="1911"/>
    <n v="-4"/>
    <x v="4059"/>
    <n v="4864.2"/>
    <s v="Complete Access"/>
    <x v="91"/>
    <x v="9"/>
    <x v="12"/>
    <d v="1899-12-31T00:00:00"/>
    <n v="31"/>
    <x v="6"/>
    <x v="7"/>
  </r>
  <r>
    <x v="1912"/>
    <n v="-14.2"/>
    <x v="4060"/>
    <n v="4937.6499999999996"/>
    <s v="Complete Access"/>
    <x v="61"/>
    <x v="1"/>
    <x v="1"/>
    <d v="1900-01-30T00:00:00"/>
    <n v="31"/>
    <x v="7"/>
    <x v="7"/>
  </r>
  <r>
    <x v="1912"/>
    <n v="-8.5500000000000007"/>
    <x v="4060"/>
    <n v="4951.8500000000004"/>
    <s v="Complete Access"/>
    <x v="61"/>
    <x v="1"/>
    <x v="1"/>
    <d v="1900-01-30T00:00:00"/>
    <n v="31"/>
    <x v="7"/>
    <x v="7"/>
  </r>
  <r>
    <x v="1912"/>
    <n v="-17"/>
    <x v="4061"/>
    <n v="4900.66"/>
    <s v="Complete Access"/>
    <x v="842"/>
    <x v="8"/>
    <x v="29"/>
    <d v="1900-01-30T00:00:00"/>
    <n v="31"/>
    <x v="7"/>
    <x v="7"/>
  </r>
  <r>
    <x v="1912"/>
    <n v="-15"/>
    <x v="4062"/>
    <n v="4917.66"/>
    <s v="Complete Access"/>
    <x v="213"/>
    <x v="1"/>
    <x v="23"/>
    <d v="1900-01-30T00:00:00"/>
    <n v="31"/>
    <x v="7"/>
    <x v="7"/>
  </r>
  <r>
    <x v="1912"/>
    <n v="-4.99"/>
    <x v="4063"/>
    <n v="4932.66"/>
    <s v="Complete Access"/>
    <x v="587"/>
    <x v="8"/>
    <x v="22"/>
    <d v="1900-01-30T00:00:00"/>
    <n v="31"/>
    <x v="7"/>
    <x v="7"/>
  </r>
  <r>
    <x v="1913"/>
    <n v="-515"/>
    <x v="3404"/>
    <n v="4960.3999999999996"/>
    <s v="Complete Access"/>
    <x v="783"/>
    <x v="19"/>
    <x v="61"/>
    <d v="1900-01-27T00:00:00"/>
    <n v="30"/>
    <x v="7"/>
    <x v="7"/>
  </r>
  <r>
    <x v="1913"/>
    <n v="-100"/>
    <x v="2274"/>
    <n v="5475.4"/>
    <s v="Complete Access"/>
    <x v="552"/>
    <x v="0"/>
    <x v="74"/>
    <d v="1900-01-27T00:00:00"/>
    <n v="30"/>
    <x v="7"/>
    <x v="7"/>
  </r>
  <r>
    <x v="1914"/>
    <n v="-12.5"/>
    <x v="4064"/>
    <n v="5575.4"/>
    <s v="Complete Access"/>
    <x v="780"/>
    <x v="9"/>
    <x v="31"/>
    <d v="1900-01-26T00:00:00"/>
    <n v="30"/>
    <x v="7"/>
    <x v="7"/>
  </r>
  <r>
    <x v="1914"/>
    <n v="-12.47"/>
    <x v="4065"/>
    <n v="5587.9"/>
    <s v="Complete Access"/>
    <x v="609"/>
    <x v="1"/>
    <x v="1"/>
    <d v="1900-01-26T00:00:00"/>
    <n v="30"/>
    <x v="7"/>
    <x v="7"/>
  </r>
  <r>
    <x v="1914"/>
    <n v="-13.5"/>
    <x v="4066"/>
    <n v="5600.37"/>
    <s v="Complete Access"/>
    <x v="687"/>
    <x v="1"/>
    <x v="5"/>
    <d v="1900-01-26T00:00:00"/>
    <n v="30"/>
    <x v="7"/>
    <x v="7"/>
  </r>
  <r>
    <x v="1915"/>
    <n v="-13"/>
    <x v="4067"/>
    <n v="5822.57"/>
    <s v="Complete Access"/>
    <x v="27"/>
    <x v="1"/>
    <x v="5"/>
    <d v="1900-01-25T00:00:00"/>
    <n v="30"/>
    <x v="7"/>
    <x v="7"/>
  </r>
  <r>
    <x v="1915"/>
    <n v="-14.8"/>
    <x v="4068"/>
    <n v="5835.57"/>
    <s v="Complete Access"/>
    <x v="61"/>
    <x v="1"/>
    <x v="1"/>
    <d v="1900-01-25T00:00:00"/>
    <n v="30"/>
    <x v="7"/>
    <x v="7"/>
  </r>
  <r>
    <x v="1915"/>
    <n v="-50"/>
    <x v="3591"/>
    <n v="5613.87"/>
    <s v="Complete Access"/>
    <x v="776"/>
    <x v="5"/>
    <x v="83"/>
    <d v="1900-01-25T00:00:00"/>
    <n v="30"/>
    <x v="7"/>
    <x v="7"/>
  </r>
  <r>
    <x v="1915"/>
    <n v="-14.7"/>
    <x v="4069"/>
    <n v="5663.87"/>
    <s v="Complete Access"/>
    <x v="47"/>
    <x v="1"/>
    <x v="5"/>
    <d v="1900-01-25T00:00:00"/>
    <n v="30"/>
    <x v="7"/>
    <x v="7"/>
  </r>
  <r>
    <x v="1915"/>
    <n v="-144"/>
    <x v="4070"/>
    <n v="5678.57"/>
    <s v="Complete Access"/>
    <x v="50"/>
    <x v="4"/>
    <x v="25"/>
    <d v="1900-01-25T00:00:00"/>
    <n v="30"/>
    <x v="7"/>
    <x v="7"/>
  </r>
  <r>
    <x v="1916"/>
    <n v="-20.16"/>
    <x v="4071"/>
    <n v="4727.6400000000003"/>
    <s v="Complete Access"/>
    <x v="882"/>
    <x v="9"/>
    <x v="32"/>
    <d v="1900-01-24T00:00:00"/>
    <n v="30"/>
    <x v="7"/>
    <x v="7"/>
  </r>
  <r>
    <x v="1916"/>
    <n v="-15.75"/>
    <x v="4072"/>
    <n v="4827.2299999999996"/>
    <s v="Complete Access"/>
    <x v="556"/>
    <x v="15"/>
    <x v="34"/>
    <d v="1900-01-24T00:00:00"/>
    <n v="30"/>
    <x v="7"/>
    <x v="7"/>
  </r>
  <r>
    <x v="1916"/>
    <n v="-17"/>
    <x v="4073"/>
    <n v="4854.53"/>
    <s v="Complete Access"/>
    <x v="842"/>
    <x v="8"/>
    <x v="29"/>
    <d v="1900-01-24T00:00:00"/>
    <n v="30"/>
    <x v="7"/>
    <x v="7"/>
  </r>
  <r>
    <x v="1916"/>
    <n v="1137.78"/>
    <x v="3188"/>
    <n v="5850.37"/>
    <s v="Complete Access"/>
    <x v="14"/>
    <x v="6"/>
    <x v="9"/>
    <d v="1900-01-24T00:00:00"/>
    <n v="30"/>
    <x v="7"/>
    <x v="7"/>
  </r>
  <r>
    <x v="1916"/>
    <n v="-27"/>
    <x v="4074"/>
    <n v="4871.53"/>
    <s v="Complete Access"/>
    <x v="343"/>
    <x v="1"/>
    <x v="5"/>
    <d v="1900-01-24T00:00:00"/>
    <n v="30"/>
    <x v="7"/>
    <x v="7"/>
  </r>
  <r>
    <x v="1916"/>
    <n v="-11.55"/>
    <x v="4075"/>
    <n v="4842.9799999999996"/>
    <s v="Complete Access"/>
    <x v="599"/>
    <x v="15"/>
    <x v="34"/>
    <d v="1900-01-24T00:00:00"/>
    <n v="30"/>
    <x v="7"/>
    <x v="7"/>
  </r>
  <r>
    <x v="1916"/>
    <n v="-54.63"/>
    <x v="4076"/>
    <n v="4749.4399999999996"/>
    <s v="Complete Access"/>
    <x v="894"/>
    <x v="4"/>
    <x v="47"/>
    <d v="1900-01-24T00:00:00"/>
    <n v="30"/>
    <x v="7"/>
    <x v="7"/>
  </r>
  <r>
    <x v="1916"/>
    <n v="-1.64"/>
    <x v="4077"/>
    <n v="4747.8"/>
    <s v="Complete Access"/>
    <x v="10"/>
    <x v="0"/>
    <x v="0"/>
    <d v="1900-01-24T00:00:00"/>
    <n v="30"/>
    <x v="7"/>
    <x v="7"/>
  </r>
  <r>
    <x v="1916"/>
    <n v="-15.05"/>
    <x v="4078"/>
    <n v="4712.59"/>
    <s v="Complete Access"/>
    <x v="1"/>
    <x v="1"/>
    <x v="1"/>
    <d v="1900-01-24T00:00:00"/>
    <n v="30"/>
    <x v="7"/>
    <x v="7"/>
  </r>
  <r>
    <x v="1916"/>
    <n v="-14.1"/>
    <x v="4079"/>
    <n v="4804.07"/>
    <s v="Complete Access"/>
    <x v="895"/>
    <x v="8"/>
    <x v="29"/>
    <d v="1900-01-24T00:00:00"/>
    <n v="30"/>
    <x v="7"/>
    <x v="7"/>
  </r>
  <r>
    <x v="1916"/>
    <n v="-9.06"/>
    <x v="4079"/>
    <n v="4818.17"/>
    <s v="Complete Access"/>
    <x v="895"/>
    <x v="8"/>
    <x v="29"/>
    <d v="1900-01-24T00:00:00"/>
    <n v="30"/>
    <x v="7"/>
    <x v="7"/>
  </r>
  <r>
    <x v="1916"/>
    <n v="-13.5"/>
    <x v="4080"/>
    <n v="4898.53"/>
    <s v="Complete Access"/>
    <x v="687"/>
    <x v="1"/>
    <x v="5"/>
    <d v="1900-01-24T00:00:00"/>
    <n v="30"/>
    <x v="7"/>
    <x v="7"/>
  </r>
  <r>
    <x v="1917"/>
    <n v="-9.0500000000000007"/>
    <x v="4081"/>
    <n v="4912.03"/>
    <s v="Complete Access"/>
    <x v="896"/>
    <x v="8"/>
    <x v="29"/>
    <d v="1900-01-23T00:00:00"/>
    <n v="30"/>
    <x v="7"/>
    <x v="7"/>
  </r>
  <r>
    <x v="1917"/>
    <n v="-9.8000000000000007"/>
    <x v="4082"/>
    <n v="4921.08"/>
    <s v="Complete Access"/>
    <x v="896"/>
    <x v="8"/>
    <x v="29"/>
    <d v="1900-01-23T00:00:00"/>
    <n v="30"/>
    <x v="7"/>
    <x v="7"/>
  </r>
  <r>
    <x v="1917"/>
    <n v="-7"/>
    <x v="4083"/>
    <n v="4930.88"/>
    <s v="Complete Access"/>
    <x v="767"/>
    <x v="8"/>
    <x v="29"/>
    <d v="1900-01-23T00:00:00"/>
    <n v="30"/>
    <x v="7"/>
    <x v="7"/>
  </r>
  <r>
    <x v="1917"/>
    <n v="-24"/>
    <x v="4083"/>
    <n v="4937.88"/>
    <s v="Complete Access"/>
    <x v="767"/>
    <x v="8"/>
    <x v="29"/>
    <d v="1900-01-23T00:00:00"/>
    <n v="30"/>
    <x v="7"/>
    <x v="7"/>
  </r>
  <r>
    <x v="1917"/>
    <n v="-25"/>
    <x v="4084"/>
    <n v="4961.88"/>
    <s v="Complete Access"/>
    <x v="796"/>
    <x v="20"/>
    <x v="63"/>
    <d v="1900-01-23T00:00:00"/>
    <n v="30"/>
    <x v="7"/>
    <x v="7"/>
  </r>
  <r>
    <x v="1917"/>
    <n v="-5.49"/>
    <x v="4085"/>
    <n v="5016.88"/>
    <s v="Complete Access"/>
    <x v="177"/>
    <x v="1"/>
    <x v="1"/>
    <d v="1900-01-23T00:00:00"/>
    <n v="30"/>
    <x v="7"/>
    <x v="7"/>
  </r>
  <r>
    <x v="1917"/>
    <n v="-30"/>
    <x v="4086"/>
    <n v="4986.88"/>
    <s v="Complete Access"/>
    <x v="785"/>
    <x v="9"/>
    <x v="12"/>
    <d v="1900-01-23T00:00:00"/>
    <n v="30"/>
    <x v="7"/>
    <x v="7"/>
  </r>
  <r>
    <x v="1918"/>
    <n v="-50"/>
    <x v="4087"/>
    <n v="5045.37"/>
    <s v="Complete Access"/>
    <x v="819"/>
    <x v="5"/>
    <x v="83"/>
    <d v="1900-01-20T00:00:00"/>
    <n v="29"/>
    <x v="7"/>
    <x v="7"/>
  </r>
  <r>
    <x v="1918"/>
    <n v="-515"/>
    <x v="3404"/>
    <n v="5095.37"/>
    <s v="Complete Access"/>
    <x v="783"/>
    <x v="19"/>
    <x v="61"/>
    <d v="1900-01-20T00:00:00"/>
    <n v="29"/>
    <x v="7"/>
    <x v="7"/>
  </r>
  <r>
    <x v="1918"/>
    <n v="-100"/>
    <x v="2274"/>
    <n v="5610.37"/>
    <s v="Complete Access"/>
    <x v="552"/>
    <x v="0"/>
    <x v="74"/>
    <d v="1900-01-20T00:00:00"/>
    <n v="29"/>
    <x v="7"/>
    <x v="7"/>
  </r>
  <r>
    <x v="1918"/>
    <n v="-9.5"/>
    <x v="4088"/>
    <n v="5022.37"/>
    <s v="Complete Access"/>
    <x v="897"/>
    <x v="1"/>
    <x v="1"/>
    <d v="1900-01-20T00:00:00"/>
    <n v="29"/>
    <x v="7"/>
    <x v="7"/>
  </r>
  <r>
    <x v="1918"/>
    <n v="-13.5"/>
    <x v="4089"/>
    <n v="5031.87"/>
    <s v="Complete Access"/>
    <x v="687"/>
    <x v="1"/>
    <x v="5"/>
    <d v="1900-01-20T00:00:00"/>
    <n v="29"/>
    <x v="7"/>
    <x v="7"/>
  </r>
  <r>
    <x v="1919"/>
    <n v="-20"/>
    <x v="4090"/>
    <n v="5712.87"/>
    <s v="Complete Access"/>
    <x v="601"/>
    <x v="0"/>
    <x v="0"/>
    <d v="1900-01-19T00:00:00"/>
    <n v="29"/>
    <x v="7"/>
    <x v="7"/>
  </r>
  <r>
    <x v="1919"/>
    <n v="-14.44"/>
    <x v="4091"/>
    <n v="5732.87"/>
    <s v="Complete Access"/>
    <x v="609"/>
    <x v="1"/>
    <x v="1"/>
    <d v="1900-01-19T00:00:00"/>
    <n v="29"/>
    <x v="7"/>
    <x v="7"/>
  </r>
  <r>
    <x v="1919"/>
    <n v="-2.5"/>
    <x v="4092"/>
    <n v="5710.37"/>
    <s v="Complete Access"/>
    <x v="37"/>
    <x v="0"/>
    <x v="0"/>
    <d v="1900-01-19T00:00:00"/>
    <n v="29"/>
    <x v="7"/>
    <x v="7"/>
  </r>
  <r>
    <x v="1920"/>
    <n v="-11.55"/>
    <x v="4093"/>
    <n v="5786.81"/>
    <s v="Complete Access"/>
    <x v="27"/>
    <x v="1"/>
    <x v="5"/>
    <d v="1900-01-18T00:00:00"/>
    <n v="29"/>
    <x v="7"/>
    <x v="7"/>
  </r>
  <r>
    <x v="1920"/>
    <n v="-16.36"/>
    <x v="4094"/>
    <n v="5798.36"/>
    <s v="Complete Access"/>
    <x v="61"/>
    <x v="1"/>
    <x v="1"/>
    <d v="1900-01-18T00:00:00"/>
    <n v="29"/>
    <x v="7"/>
    <x v="7"/>
  </r>
  <r>
    <x v="1920"/>
    <n v="-20"/>
    <x v="4095"/>
    <n v="5749.81"/>
    <s v="Complete Access"/>
    <x v="601"/>
    <x v="0"/>
    <x v="0"/>
    <d v="1900-01-18T00:00:00"/>
    <n v="29"/>
    <x v="7"/>
    <x v="7"/>
  </r>
  <r>
    <x v="1920"/>
    <n v="-17"/>
    <x v="4096"/>
    <n v="5769.81"/>
    <s v="Complete Access"/>
    <x v="842"/>
    <x v="8"/>
    <x v="29"/>
    <d v="1900-01-18T00:00:00"/>
    <n v="29"/>
    <x v="7"/>
    <x v="7"/>
  </r>
  <r>
    <x v="1920"/>
    <n v="-2.5"/>
    <x v="72"/>
    <n v="5747.31"/>
    <s v="Complete Access"/>
    <x v="37"/>
    <x v="0"/>
    <x v="0"/>
    <d v="1900-01-18T00:00:00"/>
    <n v="29"/>
    <x v="7"/>
    <x v="7"/>
  </r>
  <r>
    <x v="1920"/>
    <n v="-12.5"/>
    <x v="4097"/>
    <n v="5814.72"/>
    <s v="Complete Access"/>
    <x v="843"/>
    <x v="1"/>
    <x v="5"/>
    <d v="1900-01-18T00:00:00"/>
    <n v="29"/>
    <x v="7"/>
    <x v="7"/>
  </r>
  <r>
    <x v="1921"/>
    <n v="1124.71"/>
    <x v="3188"/>
    <n v="5827.22"/>
    <s v="Complete Access"/>
    <x v="14"/>
    <x v="6"/>
    <x v="9"/>
    <d v="1900-01-17T00:00:00"/>
    <n v="29"/>
    <x v="7"/>
    <x v="7"/>
  </r>
  <r>
    <x v="1921"/>
    <n v="-37"/>
    <x v="4098"/>
    <n v="4725.71"/>
    <s v="Complete Access"/>
    <x v="343"/>
    <x v="1"/>
    <x v="5"/>
    <d v="1900-01-17T00:00:00"/>
    <n v="29"/>
    <x v="7"/>
    <x v="7"/>
  </r>
  <r>
    <x v="1921"/>
    <n v="-26.46"/>
    <x v="4098"/>
    <n v="4762.71"/>
    <s v="Complete Access"/>
    <x v="343"/>
    <x v="1"/>
    <x v="5"/>
    <d v="1900-01-17T00:00:00"/>
    <n v="29"/>
    <x v="7"/>
    <x v="7"/>
  </r>
  <r>
    <x v="1921"/>
    <n v="-29.9"/>
    <x v="4099"/>
    <n v="4789.17"/>
    <s v="Complete Access"/>
    <x v="343"/>
    <x v="1"/>
    <x v="5"/>
    <d v="1900-01-17T00:00:00"/>
    <n v="29"/>
    <x v="7"/>
    <x v="7"/>
  </r>
  <r>
    <x v="1921"/>
    <n v="-23.2"/>
    <x v="4100"/>
    <n v="4702.51"/>
    <s v="Complete Access"/>
    <x v="1"/>
    <x v="1"/>
    <x v="1"/>
    <d v="1900-01-17T00:00:00"/>
    <n v="29"/>
    <x v="7"/>
    <x v="7"/>
  </r>
  <r>
    <x v="1922"/>
    <n v="-37.64"/>
    <x v="4101"/>
    <n v="4854.97"/>
    <s v="Complete Access"/>
    <x v="841"/>
    <x v="2"/>
    <x v="86"/>
    <d v="1900-01-16T00:00:00"/>
    <n v="29"/>
    <x v="7"/>
    <x v="7"/>
  </r>
  <r>
    <x v="1922"/>
    <n v="-13.9"/>
    <x v="4102"/>
    <n v="4841.07"/>
    <s v="Complete Access"/>
    <x v="687"/>
    <x v="1"/>
    <x v="5"/>
    <d v="1900-01-16T00:00:00"/>
    <n v="29"/>
    <x v="7"/>
    <x v="7"/>
  </r>
  <r>
    <x v="1923"/>
    <n v="-515"/>
    <x v="3404"/>
    <n v="4923.1099999999997"/>
    <s v="Complete Access"/>
    <x v="783"/>
    <x v="19"/>
    <x v="61"/>
    <d v="1900-01-13T00:00:00"/>
    <n v="28"/>
    <x v="7"/>
    <x v="7"/>
  </r>
  <r>
    <x v="1923"/>
    <n v="-100"/>
    <x v="2274"/>
    <n v="5438.11"/>
    <s v="Complete Access"/>
    <x v="552"/>
    <x v="0"/>
    <x v="74"/>
    <d v="1900-01-13T00:00:00"/>
    <n v="28"/>
    <x v="7"/>
    <x v="7"/>
  </r>
  <r>
    <x v="1923"/>
    <n v="-17"/>
    <x v="4103"/>
    <n v="4892.6099999999997"/>
    <s v="Complete Access"/>
    <x v="1"/>
    <x v="1"/>
    <x v="1"/>
    <d v="1900-01-13T00:00:00"/>
    <n v="28"/>
    <x v="7"/>
    <x v="7"/>
  </r>
  <r>
    <x v="1923"/>
    <n v="-13.5"/>
    <x v="4104"/>
    <n v="4909.6099999999997"/>
    <s v="Complete Access"/>
    <x v="687"/>
    <x v="1"/>
    <x v="5"/>
    <d v="1900-01-13T00:00:00"/>
    <n v="28"/>
    <x v="7"/>
    <x v="7"/>
  </r>
  <r>
    <x v="1924"/>
    <n v="-2.69"/>
    <x v="4105"/>
    <n v="5699.05"/>
    <s v="Complete Access"/>
    <x v="61"/>
    <x v="1"/>
    <x v="1"/>
    <d v="1900-01-12T00:00:00"/>
    <n v="28"/>
    <x v="7"/>
    <x v="7"/>
  </r>
  <r>
    <x v="1924"/>
    <n v="-17"/>
    <x v="4106"/>
    <n v="5656.79"/>
    <s v="Complete Access"/>
    <x v="842"/>
    <x v="8"/>
    <x v="29"/>
    <d v="1900-01-12T00:00:00"/>
    <n v="28"/>
    <x v="7"/>
    <x v="7"/>
  </r>
  <r>
    <x v="1924"/>
    <n v="-25.26"/>
    <x v="4107"/>
    <n v="5673.79"/>
    <s v="Complete Access"/>
    <x v="609"/>
    <x v="1"/>
    <x v="1"/>
    <d v="1900-01-12T00:00:00"/>
    <n v="28"/>
    <x v="7"/>
    <x v="7"/>
  </r>
  <r>
    <x v="1924"/>
    <n v="-100.68"/>
    <x v="2543"/>
    <n v="5538.11"/>
    <s v="Complete Access"/>
    <x v="17"/>
    <x v="7"/>
    <x v="11"/>
    <d v="1900-01-12T00:00:00"/>
    <n v="28"/>
    <x v="7"/>
    <x v="7"/>
  </r>
  <r>
    <x v="1924"/>
    <n v="-18"/>
    <x v="4108"/>
    <n v="5638.79"/>
    <s v="Complete Access"/>
    <x v="1"/>
    <x v="1"/>
    <x v="1"/>
    <d v="1900-01-12T00:00:00"/>
    <n v="28"/>
    <x v="7"/>
    <x v="7"/>
  </r>
  <r>
    <x v="1925"/>
    <n v="-14.5"/>
    <x v="4109"/>
    <n v="5715.74"/>
    <s v="Complete Access"/>
    <x v="27"/>
    <x v="1"/>
    <x v="5"/>
    <d v="1900-01-11T00:00:00"/>
    <n v="28"/>
    <x v="7"/>
    <x v="7"/>
  </r>
  <r>
    <x v="1925"/>
    <n v="-22"/>
    <x v="4110"/>
    <n v="4819.07"/>
    <s v="Complete Access"/>
    <x v="739"/>
    <x v="4"/>
    <x v="20"/>
    <d v="1900-01-11T00:00:00"/>
    <n v="28"/>
    <x v="7"/>
    <x v="7"/>
  </r>
  <r>
    <x v="1925"/>
    <n v="-150"/>
    <x v="4111"/>
    <m/>
    <s v="Complete Access"/>
    <x v="739"/>
    <x v="4"/>
    <x v="20"/>
    <d v="1900-01-11T00:00:00"/>
    <n v="28"/>
    <x v="7"/>
    <x v="7"/>
  </r>
  <r>
    <x v="1925"/>
    <n v="-14"/>
    <x v="4112"/>
    <n v="5701.74"/>
    <s v="Complete Access"/>
    <x v="842"/>
    <x v="8"/>
    <x v="29"/>
    <d v="1900-01-11T00:00:00"/>
    <n v="28"/>
    <x v="7"/>
    <x v="7"/>
  </r>
  <r>
    <x v="1926"/>
    <n v="-29.82"/>
    <x v="4113"/>
    <n v="4583.29"/>
    <s v="Complete Access"/>
    <x v="761"/>
    <x v="15"/>
    <x v="34"/>
    <d v="1900-01-10T00:00:00"/>
    <n v="28"/>
    <x v="7"/>
    <x v="7"/>
  </r>
  <r>
    <x v="1926"/>
    <n v="1182.25"/>
    <x v="3188"/>
    <n v="5730.24"/>
    <s v="Complete Access"/>
    <x v="14"/>
    <x v="6"/>
    <x v="9"/>
    <d v="1900-01-10T00:00:00"/>
    <n v="28"/>
    <x v="7"/>
    <x v="7"/>
  </r>
  <r>
    <x v="1926"/>
    <n v="-25.25"/>
    <x v="4114"/>
    <n v="4631.41"/>
    <s v="Complete Access"/>
    <x v="768"/>
    <x v="8"/>
    <x v="29"/>
    <d v="1900-01-10T00:00:00"/>
    <n v="28"/>
    <x v="7"/>
    <x v="7"/>
  </r>
  <r>
    <x v="1926"/>
    <n v="-10.1"/>
    <x v="4115"/>
    <n v="4656.66"/>
    <s v="Complete Access"/>
    <x v="768"/>
    <x v="8"/>
    <x v="29"/>
    <d v="1900-01-10T00:00:00"/>
    <n v="28"/>
    <x v="7"/>
    <x v="7"/>
  </r>
  <r>
    <x v="1926"/>
    <n v="-31.3"/>
    <x v="4116"/>
    <n v="4547.99"/>
    <s v="Complete Access"/>
    <x v="1"/>
    <x v="1"/>
    <x v="1"/>
    <d v="1900-01-10T00:00:00"/>
    <n v="28"/>
    <x v="7"/>
    <x v="7"/>
  </r>
  <r>
    <x v="1926"/>
    <n v="-18.3"/>
    <x v="4117"/>
    <n v="4613.1099999999997"/>
    <s v="Complete Access"/>
    <x v="213"/>
    <x v="1"/>
    <x v="23"/>
    <d v="1900-01-10T00:00:00"/>
    <n v="28"/>
    <x v="7"/>
    <x v="7"/>
  </r>
  <r>
    <x v="1926"/>
    <n v="-4"/>
    <x v="4118"/>
    <n v="4579.29"/>
    <s v="Complete Access"/>
    <x v="34"/>
    <x v="9"/>
    <x v="12"/>
    <d v="1900-01-10T00:00:00"/>
    <n v="28"/>
    <x v="7"/>
    <x v="7"/>
  </r>
  <r>
    <x v="1927"/>
    <n v="-256"/>
    <x v="4119"/>
    <n v="4495.71"/>
    <s v="Complete Access"/>
    <x v="0"/>
    <x v="0"/>
    <x v="0"/>
    <d v="1900-01-09T00:00:00"/>
    <n v="28"/>
    <x v="7"/>
    <x v="7"/>
  </r>
  <r>
    <x v="1927"/>
    <n v="-3.83"/>
    <x v="4120"/>
    <n v="4991.24"/>
    <s v="Complete Access"/>
    <x v="61"/>
    <x v="1"/>
    <x v="1"/>
    <d v="1900-01-09T00:00:00"/>
    <n v="28"/>
    <x v="7"/>
    <x v="7"/>
  </r>
  <r>
    <x v="1927"/>
    <n v="-50"/>
    <x v="4121"/>
    <n v="4864.1400000000003"/>
    <s v="Complete Access"/>
    <x v="819"/>
    <x v="5"/>
    <x v="83"/>
    <d v="1900-01-09T00:00:00"/>
    <n v="28"/>
    <x v="7"/>
    <x v="7"/>
  </r>
  <r>
    <x v="1927"/>
    <n v="-5.7"/>
    <x v="4122"/>
    <n v="4761.6899999999996"/>
    <s v="Complete Access"/>
    <x v="733"/>
    <x v="8"/>
    <x v="29"/>
    <d v="1900-01-09T00:00:00"/>
    <n v="28"/>
    <x v="7"/>
    <x v="7"/>
  </r>
  <r>
    <x v="1927"/>
    <n v="-19.600000000000001"/>
    <x v="4123"/>
    <n v="4921.28"/>
    <s v="Complete Access"/>
    <x v="898"/>
    <x v="8"/>
    <x v="29"/>
    <d v="1900-01-09T00:00:00"/>
    <n v="28"/>
    <x v="7"/>
    <x v="7"/>
  </r>
  <r>
    <x v="1927"/>
    <n v="-7.5"/>
    <x v="4123"/>
    <n v="4940.88"/>
    <s v="Complete Access"/>
    <x v="898"/>
    <x v="8"/>
    <x v="29"/>
    <d v="1900-01-09T00:00:00"/>
    <n v="28"/>
    <x v="7"/>
    <x v="7"/>
  </r>
  <r>
    <x v="1927"/>
    <n v="-14.7"/>
    <x v="4123"/>
    <n v="4948.38"/>
    <s v="Complete Access"/>
    <x v="898"/>
    <x v="8"/>
    <x v="29"/>
    <d v="1900-01-09T00:00:00"/>
    <n v="28"/>
    <x v="7"/>
    <x v="7"/>
  </r>
  <r>
    <x v="1927"/>
    <n v="-9.98"/>
    <x v="4124"/>
    <n v="4751.71"/>
    <s v="Complete Access"/>
    <x v="210"/>
    <x v="3"/>
    <x v="15"/>
    <d v="1900-01-09T00:00:00"/>
    <n v="28"/>
    <x v="7"/>
    <x v="7"/>
  </r>
  <r>
    <x v="1927"/>
    <n v="-14.66"/>
    <x v="4125"/>
    <n v="4963.08"/>
    <s v="Complete Access"/>
    <x v="792"/>
    <x v="1"/>
    <x v="5"/>
    <d v="1900-01-09T00:00:00"/>
    <n v="28"/>
    <x v="7"/>
    <x v="7"/>
  </r>
  <r>
    <x v="1927"/>
    <n v="-19.190000000000001"/>
    <x v="4115"/>
    <n v="4767.3900000000003"/>
    <s v="Complete Access"/>
    <x v="768"/>
    <x v="8"/>
    <x v="29"/>
    <d v="1900-01-09T00:00:00"/>
    <n v="28"/>
    <x v="7"/>
    <x v="7"/>
  </r>
  <r>
    <x v="1927"/>
    <n v="141.05000000000001"/>
    <x v="4126"/>
    <n v="4636.76"/>
    <s v="Complete Access"/>
    <x v="67"/>
    <x v="0"/>
    <x v="0"/>
    <d v="1900-01-09T00:00:00"/>
    <n v="28"/>
    <x v="7"/>
    <x v="7"/>
  </r>
  <r>
    <x v="1927"/>
    <n v="30"/>
    <x v="4127"/>
    <n v="4666.76"/>
    <s v="Complete Access"/>
    <x v="67"/>
    <x v="0"/>
    <x v="0"/>
    <d v="1900-01-09T00:00:00"/>
    <n v="28"/>
    <x v="7"/>
    <x v="7"/>
  </r>
  <r>
    <x v="1927"/>
    <n v="-6"/>
    <x v="4128"/>
    <n v="4858.1400000000003"/>
    <s v="Complete Access"/>
    <x v="587"/>
    <x v="8"/>
    <x v="22"/>
    <d v="1900-01-09T00:00:00"/>
    <n v="28"/>
    <x v="7"/>
    <x v="7"/>
  </r>
  <r>
    <x v="1927"/>
    <n v="-7.14"/>
    <x v="4129"/>
    <n v="4914.1400000000003"/>
    <s v="Complete Access"/>
    <x v="21"/>
    <x v="10"/>
    <x v="13"/>
    <d v="1900-01-09T00:00:00"/>
    <n v="28"/>
    <x v="7"/>
    <x v="7"/>
  </r>
  <r>
    <x v="1927"/>
    <n v="-13.5"/>
    <x v="4130"/>
    <n v="4977.74"/>
    <s v="Complete Access"/>
    <x v="687"/>
    <x v="1"/>
    <x v="5"/>
    <d v="1900-01-09T00:00:00"/>
    <n v="28"/>
    <x v="7"/>
    <x v="7"/>
  </r>
  <r>
    <x v="1927"/>
    <n v="-21.32"/>
    <x v="4131"/>
    <n v="4786.58"/>
    <s v="Complete Access"/>
    <x v="899"/>
    <x v="8"/>
    <x v="29"/>
    <d v="1900-01-09T00:00:00"/>
    <n v="28"/>
    <x v="7"/>
    <x v="7"/>
  </r>
  <r>
    <x v="1927"/>
    <n v="-21.32"/>
    <x v="4131"/>
    <n v="4807.8999999999996"/>
    <s v="Complete Access"/>
    <x v="899"/>
    <x v="8"/>
    <x v="29"/>
    <d v="1900-01-09T00:00:00"/>
    <n v="28"/>
    <x v="7"/>
    <x v="7"/>
  </r>
  <r>
    <x v="1927"/>
    <n v="-9.64"/>
    <x v="4131"/>
    <n v="4829.22"/>
    <s v="Complete Access"/>
    <x v="899"/>
    <x v="8"/>
    <x v="29"/>
    <d v="1900-01-09T00:00:00"/>
    <n v="28"/>
    <x v="7"/>
    <x v="7"/>
  </r>
  <r>
    <x v="1927"/>
    <n v="-19.28"/>
    <x v="4132"/>
    <n v="4838.8599999999997"/>
    <s v="Complete Access"/>
    <x v="899"/>
    <x v="8"/>
    <x v="29"/>
    <d v="1900-01-09T00:00:00"/>
    <n v="28"/>
    <x v="7"/>
    <x v="7"/>
  </r>
  <r>
    <x v="1928"/>
    <n v="900"/>
    <x v="3910"/>
    <n v="4995.07"/>
    <s v="Complete Access"/>
    <x v="67"/>
    <x v="0"/>
    <x v="0"/>
    <d v="1900-01-08T00:00:00"/>
    <n v="28"/>
    <x v="7"/>
    <x v="7"/>
  </r>
  <r>
    <x v="1929"/>
    <n v="-45.8"/>
    <x v="4133"/>
    <n v="4095.07"/>
    <s v="Complete Access"/>
    <x v="900"/>
    <x v="1"/>
    <x v="5"/>
    <d v="1900-01-06T00:00:00"/>
    <n v="27"/>
    <x v="7"/>
    <x v="7"/>
  </r>
  <r>
    <x v="1929"/>
    <n v="-4.9000000000000004"/>
    <x v="4123"/>
    <n v="4172.37"/>
    <s v="Complete Access"/>
    <x v="898"/>
    <x v="8"/>
    <x v="29"/>
    <d v="1900-01-06T00:00:00"/>
    <n v="27"/>
    <x v="7"/>
    <x v="7"/>
  </r>
  <r>
    <x v="1929"/>
    <n v="-14"/>
    <x v="4134"/>
    <n v="4140.87"/>
    <s v="Complete Access"/>
    <x v="842"/>
    <x v="8"/>
    <x v="29"/>
    <d v="1900-01-06T00:00:00"/>
    <n v="27"/>
    <x v="7"/>
    <x v="7"/>
  </r>
  <r>
    <x v="1929"/>
    <n v="-515"/>
    <x v="3404"/>
    <n v="4177.2700000000004"/>
    <s v="Complete Access"/>
    <x v="783"/>
    <x v="19"/>
    <x v="61"/>
    <d v="1900-01-06T00:00:00"/>
    <n v="27"/>
    <x v="7"/>
    <x v="7"/>
  </r>
  <r>
    <x v="1929"/>
    <n v="-100"/>
    <x v="2274"/>
    <n v="4692.2700000000004"/>
    <s v="Complete Access"/>
    <x v="552"/>
    <x v="0"/>
    <x v="74"/>
    <d v="1900-01-06T00:00:00"/>
    <n v="27"/>
    <x v="7"/>
    <x v="7"/>
  </r>
  <r>
    <x v="1929"/>
    <n v="-4"/>
    <x v="4135"/>
    <n v="4154.87"/>
    <s v="Complete Access"/>
    <x v="587"/>
    <x v="8"/>
    <x v="22"/>
    <d v="1900-01-06T00:00:00"/>
    <n v="27"/>
    <x v="7"/>
    <x v="7"/>
  </r>
  <r>
    <x v="1929"/>
    <n v="-13.5"/>
    <x v="4136"/>
    <n v="4158.87"/>
    <s v="Complete Access"/>
    <x v="687"/>
    <x v="1"/>
    <x v="5"/>
    <d v="1900-01-06T00:00:00"/>
    <n v="27"/>
    <x v="7"/>
    <x v="7"/>
  </r>
  <r>
    <x v="1930"/>
    <n v="-50"/>
    <x v="4137"/>
    <n v="4795.07"/>
    <s v="Complete Access"/>
    <x v="601"/>
    <x v="0"/>
    <x v="0"/>
    <d v="1900-01-05T00:00:00"/>
    <n v="27"/>
    <x v="7"/>
    <x v="7"/>
  </r>
  <r>
    <x v="1930"/>
    <n v="-20.2"/>
    <x v="4138"/>
    <n v="5176.01"/>
    <s v="Complete Access"/>
    <x v="901"/>
    <x v="9"/>
    <x v="32"/>
    <d v="1900-01-05T00:00:00"/>
    <n v="27"/>
    <x v="7"/>
    <x v="7"/>
  </r>
  <r>
    <x v="1930"/>
    <n v="-279.95"/>
    <x v="4139"/>
    <n v="4884.54"/>
    <s v="Complete Access"/>
    <x v="210"/>
    <x v="3"/>
    <x v="15"/>
    <d v="1900-01-05T00:00:00"/>
    <n v="27"/>
    <x v="7"/>
    <x v="7"/>
  </r>
  <r>
    <x v="1930"/>
    <n v="-11.52"/>
    <x v="4140"/>
    <n v="5164.49"/>
    <s v="Complete Access"/>
    <x v="609"/>
    <x v="1"/>
    <x v="1"/>
    <d v="1900-01-05T00:00:00"/>
    <n v="27"/>
    <x v="7"/>
    <x v="7"/>
  </r>
  <r>
    <x v="1930"/>
    <n v="-2.8"/>
    <x v="72"/>
    <n v="4792.2700000000004"/>
    <s v="Complete Access"/>
    <x v="37"/>
    <x v="0"/>
    <x v="0"/>
    <d v="1900-01-05T00:00:00"/>
    <n v="27"/>
    <x v="7"/>
    <x v="7"/>
  </r>
  <r>
    <x v="1930"/>
    <n v="-0.9"/>
    <x v="4141"/>
    <n v="4853.57"/>
    <s v="Complete Access"/>
    <x v="10"/>
    <x v="0"/>
    <x v="0"/>
    <d v="1900-01-05T00:00:00"/>
    <n v="27"/>
    <x v="7"/>
    <x v="7"/>
  </r>
  <r>
    <x v="1930"/>
    <n v="-151.27000000000001"/>
    <x v="4142"/>
    <n v="4541"/>
    <s v="Complete Access"/>
    <x v="552"/>
    <x v="0"/>
    <x v="74"/>
    <d v="1900-01-05T00:00:00"/>
    <n v="27"/>
    <x v="7"/>
    <x v="7"/>
  </r>
  <r>
    <x v="1930"/>
    <n v="-30.07"/>
    <x v="4143"/>
    <n v="4854.47"/>
    <s v="Complete Access"/>
    <x v="740"/>
    <x v="18"/>
    <x v="59"/>
    <d v="1900-01-05T00:00:00"/>
    <n v="27"/>
    <x v="7"/>
    <x v="7"/>
  </r>
  <r>
    <x v="1930"/>
    <n v="-8.5"/>
    <x v="4144"/>
    <n v="4845.07"/>
    <s v="Complete Access"/>
    <x v="897"/>
    <x v="1"/>
    <x v="1"/>
    <d v="1900-01-05T00:00:00"/>
    <n v="27"/>
    <x v="7"/>
    <x v="7"/>
  </r>
  <r>
    <x v="1931"/>
    <n v="-11.55"/>
    <x v="4145"/>
    <n v="5605.96"/>
    <s v="Complete Access"/>
    <x v="27"/>
    <x v="1"/>
    <x v="5"/>
    <d v="1900-01-04T00:00:00"/>
    <n v="27"/>
    <x v="7"/>
    <x v="7"/>
  </r>
  <r>
    <x v="1931"/>
    <n v="-15.75"/>
    <x v="4146"/>
    <n v="5590.21"/>
    <s v="Complete Access"/>
    <x v="47"/>
    <x v="1"/>
    <x v="5"/>
    <d v="1900-01-04T00:00:00"/>
    <n v="27"/>
    <x v="7"/>
    <x v="7"/>
  </r>
  <r>
    <x v="1931"/>
    <n v="-390"/>
    <x v="4147"/>
    <n v="5196.21"/>
    <s v="Complete Access"/>
    <x v="741"/>
    <x v="16"/>
    <x v="81"/>
    <d v="1900-01-04T00:00:00"/>
    <n v="27"/>
    <x v="7"/>
    <x v="7"/>
  </r>
  <r>
    <x v="1931"/>
    <n v="-4"/>
    <x v="4148"/>
    <n v="5586.21"/>
    <s v="Complete Access"/>
    <x v="587"/>
    <x v="8"/>
    <x v="22"/>
    <d v="1900-01-04T00:00:00"/>
    <n v="27"/>
    <x v="7"/>
    <x v="7"/>
  </r>
  <r>
    <x v="1932"/>
    <n v="-20.16"/>
    <x v="4149"/>
    <n v="4532.96"/>
    <s v="Complete Access"/>
    <x v="882"/>
    <x v="9"/>
    <x v="32"/>
    <d v="1900-01-03T00:00:00"/>
    <n v="27"/>
    <x v="7"/>
    <x v="7"/>
  </r>
  <r>
    <x v="1932"/>
    <n v="-500.16"/>
    <x v="4150"/>
    <n v="4894.5200000000004"/>
    <s v="Complete Access"/>
    <x v="256"/>
    <x v="4"/>
    <x v="47"/>
    <d v="1900-01-03T00:00:00"/>
    <n v="27"/>
    <x v="7"/>
    <x v="7"/>
  </r>
  <r>
    <x v="1932"/>
    <n v="1230.06"/>
    <x v="3188"/>
    <n v="5617.51"/>
    <s v="Complete Access"/>
    <x v="14"/>
    <x v="6"/>
    <x v="9"/>
    <d v="1900-01-03T00:00:00"/>
    <n v="27"/>
    <x v="7"/>
    <x v="7"/>
  </r>
  <r>
    <x v="1932"/>
    <n v="-12.5"/>
    <x v="4151"/>
    <n v="5394.68"/>
    <s v="Complete Access"/>
    <x v="843"/>
    <x v="1"/>
    <x v="5"/>
    <d v="1900-01-03T00:00:00"/>
    <n v="27"/>
    <x v="7"/>
    <x v="7"/>
  </r>
  <r>
    <x v="1932"/>
    <n v="-26.4"/>
    <x v="4152"/>
    <n v="4853.12"/>
    <s v="Complete Access"/>
    <x v="343"/>
    <x v="1"/>
    <x v="5"/>
    <d v="1900-01-03T00:00:00"/>
    <n v="27"/>
    <x v="7"/>
    <x v="7"/>
  </r>
  <r>
    <x v="1932"/>
    <n v="-46"/>
    <x v="4153"/>
    <n v="4387.45"/>
    <s v="Complete Access"/>
    <x v="27"/>
    <x v="1"/>
    <x v="5"/>
    <d v="1900-01-03T00:00:00"/>
    <n v="27"/>
    <x v="7"/>
    <x v="7"/>
  </r>
  <r>
    <x v="1932"/>
    <n v="-15"/>
    <x v="4154"/>
    <n v="4879.5200000000004"/>
    <s v="Complete Access"/>
    <x v="10"/>
    <x v="0"/>
    <x v="0"/>
    <d v="1900-01-03T00:00:00"/>
    <n v="27"/>
    <x v="7"/>
    <x v="7"/>
  </r>
  <r>
    <x v="1932"/>
    <n v="-300"/>
    <x v="4155"/>
    <n v="4553.12"/>
    <s v="Complete Access"/>
    <x v="741"/>
    <x v="16"/>
    <x v="81"/>
    <d v="1900-01-03T00:00:00"/>
    <n v="27"/>
    <x v="7"/>
    <x v="7"/>
  </r>
  <r>
    <x v="1932"/>
    <n v="-30.45"/>
    <x v="4156"/>
    <n v="4433.45"/>
    <s v="Complete Access"/>
    <x v="1"/>
    <x v="1"/>
    <x v="1"/>
    <d v="1900-01-03T00:00:00"/>
    <n v="27"/>
    <x v="7"/>
    <x v="7"/>
  </r>
  <r>
    <x v="1932"/>
    <n v="-9.06"/>
    <x v="4157"/>
    <n v="4463.8999999999996"/>
    <s v="Complete Access"/>
    <x v="895"/>
    <x v="8"/>
    <x v="29"/>
    <d v="1900-01-03T00:00:00"/>
    <n v="27"/>
    <x v="7"/>
    <x v="7"/>
  </r>
  <r>
    <x v="1932"/>
    <n v="-60"/>
    <x v="4158"/>
    <n v="4472.96"/>
    <s v="Complete Access"/>
    <x v="219"/>
    <x v="7"/>
    <x v="53"/>
    <d v="1900-01-03T00:00:00"/>
    <n v="27"/>
    <x v="7"/>
    <x v="7"/>
  </r>
  <r>
    <x v="1933"/>
    <n v="-50"/>
    <x v="4159"/>
    <n v="5417.17"/>
    <s v="Complete Access"/>
    <x v="819"/>
    <x v="5"/>
    <x v="83"/>
    <d v="1900-01-02T00:00:00"/>
    <n v="27"/>
    <x v="7"/>
    <x v="7"/>
  </r>
  <r>
    <x v="1933"/>
    <n v="-9.99"/>
    <x v="4160"/>
    <n v="5407.18"/>
    <s v="Complete Access"/>
    <x v="373"/>
    <x v="8"/>
    <x v="7"/>
    <d v="1900-01-02T00:00:00"/>
    <n v="27"/>
    <x v="7"/>
    <x v="7"/>
  </r>
  <r>
    <x v="1933"/>
    <n v="-13.9"/>
    <x v="4161"/>
    <n v="5467.17"/>
    <s v="Complete Access"/>
    <x v="687"/>
    <x v="1"/>
    <x v="5"/>
    <d v="1900-01-02T00:00:00"/>
    <n v="27"/>
    <x v="7"/>
    <x v="7"/>
  </r>
  <r>
    <x v="1934"/>
    <n v="-166.4"/>
    <x v="4162"/>
    <n v="5481.07"/>
    <s v="Complete Access"/>
    <x v="76"/>
    <x v="2"/>
    <x v="2"/>
    <d v="1900-01-01T00:00:00"/>
    <n v="27"/>
    <x v="7"/>
    <x v="7"/>
  </r>
  <r>
    <x v="1935"/>
    <n v="-6"/>
    <x v="4163"/>
    <n v="5647.47"/>
    <s v="Complete Access"/>
    <x v="902"/>
    <x v="0"/>
    <x v="0"/>
    <d v="1899-12-31T00:00:00"/>
    <n v="27"/>
    <x v="7"/>
    <x v="7"/>
  </r>
  <r>
    <x v="1936"/>
    <n v="1171.25"/>
    <x v="3188"/>
    <n v="6436.54"/>
    <s v="Complete Access"/>
    <x v="14"/>
    <x v="6"/>
    <x v="9"/>
    <d v="1900-01-26T00:00:00"/>
    <n v="26"/>
    <x v="8"/>
    <x v="7"/>
  </r>
  <r>
    <x v="1937"/>
    <n v="999.2"/>
    <x v="3188"/>
    <n v="6169.99"/>
    <s v="Complete Access"/>
    <x v="14"/>
    <x v="6"/>
    <x v="9"/>
    <d v="1900-01-19T00:00:00"/>
    <n v="25"/>
    <x v="8"/>
    <x v="7"/>
  </r>
  <r>
    <x v="1938"/>
    <n v="1211.25"/>
    <x v="3188"/>
    <n v="6299.3"/>
    <s v="Complete Access"/>
    <x v="14"/>
    <x v="6"/>
    <x v="9"/>
    <d v="1900-01-14T00:00:00"/>
    <n v="24"/>
    <x v="8"/>
    <x v="7"/>
  </r>
  <r>
    <x v="1939"/>
    <n v="-130"/>
    <x v="4164"/>
    <n v="1"/>
    <s v="Complete Access"/>
    <x v="739"/>
    <x v="4"/>
    <x v="20"/>
    <d v="1900-01-25T00:00:00"/>
    <n v="21"/>
    <x v="9"/>
    <x v="7"/>
  </r>
  <r>
    <x v="1940"/>
    <n v="-185"/>
    <x v="4165"/>
    <n v="1"/>
    <s v="Complete Access"/>
    <x v="739"/>
    <x v="4"/>
    <x v="20"/>
    <d v="1900-01-17T00:00:00"/>
    <n v="20"/>
    <x v="9"/>
    <x v="7"/>
  </r>
  <r>
    <x v="1940"/>
    <n v="-2990"/>
    <x v="4166"/>
    <n v="1"/>
    <s v="Complete Access"/>
    <x v="739"/>
    <x v="4"/>
    <x v="20"/>
    <d v="1900-01-17T00:00:00"/>
    <n v="20"/>
    <x v="9"/>
    <x v="7"/>
  </r>
  <r>
    <x v="1941"/>
    <n v="-20"/>
    <x v="4167"/>
    <n v="1"/>
    <s v="Complete Access"/>
    <x v="739"/>
    <x v="4"/>
    <x v="20"/>
    <d v="1900-01-23T00:00:00"/>
    <n v="17"/>
    <x v="10"/>
    <x v="7"/>
  </r>
  <r>
    <x v="1942"/>
    <n v="-600"/>
    <x v="4168"/>
    <n v="2865.68"/>
    <s v="Complete Access"/>
    <x v="504"/>
    <x v="0"/>
    <x v="72"/>
    <d v="1900-01-19T00:00:00"/>
    <n v="16"/>
    <x v="10"/>
    <x v="7"/>
  </r>
  <r>
    <x v="1943"/>
    <n v="-500"/>
    <x v="4169"/>
    <n v="3163.43"/>
    <s v="Complete Access"/>
    <x v="504"/>
    <x v="0"/>
    <x v="72"/>
    <d v="1900-01-08T00:00:00"/>
    <n v="10"/>
    <x v="11"/>
    <x v="7"/>
  </r>
  <r>
    <x v="1944"/>
    <n v="-500"/>
    <x v="4170"/>
    <n v="3685.03"/>
    <s v="Complete Access"/>
    <x v="504"/>
    <x v="0"/>
    <x v="72"/>
    <d v="1900-01-07T00:00:00"/>
    <n v="10"/>
    <x v="11"/>
    <x v="7"/>
  </r>
  <r>
    <x v="1945"/>
    <n v="-32"/>
    <x v="4171"/>
    <n v="1"/>
    <s v="Complete Access"/>
    <x v="739"/>
    <x v="4"/>
    <x v="20"/>
    <d v="1900-01-20T00:00:00"/>
    <n v="38"/>
    <x v="5"/>
    <x v="8"/>
  </r>
  <r>
    <x v="1946"/>
    <n v="-469"/>
    <x v="4172"/>
    <n v="1"/>
    <s v="Complete Access"/>
    <x v="739"/>
    <x v="4"/>
    <x v="20"/>
    <d v="1900-01-17T00:00:00"/>
    <n v="38"/>
    <x v="5"/>
    <x v="8"/>
  </r>
  <r>
    <x v="1947"/>
    <n v="-40"/>
    <x v="4173"/>
    <n v="1"/>
    <s v="Complete Access"/>
    <x v="739"/>
    <x v="4"/>
    <x v="20"/>
    <d v="1900-01-10T00:00:00"/>
    <n v="37"/>
    <x v="5"/>
    <x v="8"/>
  </r>
  <r>
    <x v="1947"/>
    <n v="-32"/>
    <x v="4174"/>
    <n v="1"/>
    <s v="Complete Access"/>
    <x v="739"/>
    <x v="4"/>
    <x v="20"/>
    <d v="1900-01-10T00:00:00"/>
    <n v="37"/>
    <x v="5"/>
    <x v="8"/>
  </r>
  <r>
    <x v="1948"/>
    <n v="-50"/>
    <x v="4175"/>
    <n v="1"/>
    <s v="Complete Access"/>
    <x v="739"/>
    <x v="4"/>
    <x v="20"/>
    <d v="1900-01-08T00:00:00"/>
    <n v="36"/>
    <x v="5"/>
    <x v="8"/>
  </r>
  <r>
    <x v="1949"/>
    <n v="-1170"/>
    <x v="4176"/>
    <n v="1"/>
    <s v="Complete Access"/>
    <x v="739"/>
    <x v="4"/>
    <x v="20"/>
    <d v="1900-01-04T00:00:00"/>
    <n v="31"/>
    <x v="6"/>
    <x v="8"/>
  </r>
  <r>
    <x v="1950"/>
    <n v="-4155"/>
    <x v="4177"/>
    <n v="1"/>
    <s v="Complete Access"/>
    <x v="739"/>
    <x v="4"/>
    <x v="20"/>
    <d v="1900-01-03T00:00:00"/>
    <n v="31"/>
    <x v="6"/>
    <x v="8"/>
  </r>
  <r>
    <x v="1951"/>
    <n v="-245"/>
    <x v="4178"/>
    <n v="1"/>
    <s v="Complete Access"/>
    <x v="739"/>
    <x v="4"/>
    <x v="20"/>
    <d v="1900-01-30T00:00:00"/>
    <n v="31"/>
    <x v="7"/>
    <x v="8"/>
  </r>
  <r>
    <x v="1952"/>
    <n v="-788.3"/>
    <x v="4179"/>
    <n v="1"/>
    <s v="Complete Access"/>
    <x v="903"/>
    <x v="4"/>
    <x v="20"/>
    <d v="1900-01-27T00:00:00"/>
    <n v="26"/>
    <x v="8"/>
    <x v="8"/>
  </r>
  <r>
    <x v="1953"/>
    <n v="-2588"/>
    <x v="4180"/>
    <n v="1"/>
    <s v="Complete Access"/>
    <x v="739"/>
    <x v="4"/>
    <x v="20"/>
    <d v="1900-01-08T00:00:00"/>
    <n v="23"/>
    <x v="8"/>
    <x v="8"/>
  </r>
  <r>
    <x v="1954"/>
    <n v="-212.5"/>
    <x v="4181"/>
    <n v="1"/>
    <s v="Complete Access"/>
    <x v="739"/>
    <x v="4"/>
    <x v="20"/>
    <d v="1900-01-08T00:00:00"/>
    <n v="19"/>
    <x v="9"/>
    <x v="8"/>
  </r>
  <r>
    <x v="1955"/>
    <n v="-38"/>
    <x v="4182"/>
    <n v="1"/>
    <s v="Complete Access"/>
    <x v="739"/>
    <x v="4"/>
    <x v="20"/>
    <d v="1900-01-21T00:00:00"/>
    <n v="4"/>
    <x v="1"/>
    <x v="9"/>
  </r>
  <r>
    <x v="1956"/>
    <n v="-78.62"/>
    <x v="4183"/>
    <n v="1"/>
    <s v="Complete Access"/>
    <x v="739"/>
    <x v="4"/>
    <x v="20"/>
    <d v="1900-01-18T00:00:00"/>
    <n v="47"/>
    <x v="3"/>
    <x v="10"/>
  </r>
  <r>
    <x v="1957"/>
    <n v="-232.22"/>
    <x v="4184"/>
    <n v="1"/>
    <s v="Complete Access"/>
    <x v="904"/>
    <x v="4"/>
    <x v="20"/>
    <d v="1900-01-28T00:00:00"/>
    <n v="18"/>
    <x v="1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5F618-7B3D-4E4D-80D3-7910E4E2D2F1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outline="1" outlineData="1" multipleFieldFilters="0">
  <location ref="A3:CO27" firstHeaderRow="1" firstDataRow="3" firstDataCol="1"/>
  <pivotFields count="12">
    <pivotField numFmtId="170" subtotalTop="0" showAll="0" defaultSubtotal="0"/>
    <pivotField dataField="1"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axis="axisRow" subtotalTop="0" showAll="0" defaultSubtotal="0">
      <items count="27">
        <item x="20"/>
        <item x="17"/>
        <item x="4"/>
        <item x="8"/>
        <item x="0"/>
        <item x="1"/>
        <item x="11"/>
        <item x="13"/>
        <item x="10"/>
        <item x="2"/>
        <item x="18"/>
        <item m="1" x="25"/>
        <item m="1" x="26"/>
        <item x="19"/>
        <item x="6"/>
        <item m="1" x="24"/>
        <item m="1" x="23"/>
        <item x="14"/>
        <item x="21"/>
        <item x="3"/>
        <item m="1" x="22"/>
        <item x="15"/>
        <item x="9"/>
        <item x="5"/>
        <item x="12"/>
        <item x="16"/>
        <item x="7"/>
      </items>
    </pivotField>
    <pivotField subtotalTop="0" showAll="0" defaultSubtotal="0"/>
    <pivotField subtotalTop="0" showAll="0" defaultSubtotal="0"/>
    <pivotField numFmtId="167" subtotalTop="0" showAll="0" defaultSubtotal="0"/>
    <pivotField axis="axisCol" numFmtId="167" subtotalTop="0" showAll="0" defaultSubtotal="0">
      <items count="12">
        <item x="1"/>
        <item x="0"/>
        <item x="11"/>
        <item x="10"/>
        <item x="9"/>
        <item x="8"/>
        <item x="7"/>
        <item x="6"/>
        <item x="5"/>
        <item x="4"/>
        <item x="3"/>
        <item x="2"/>
      </items>
    </pivotField>
    <pivotField axis="axisCol" numFmtId="167" subtotalTop="0" showAll="0" defaultSubtotal="0">
      <items count="12">
        <item sd="0" x="11"/>
        <item sd="0" x="10"/>
        <item x="9"/>
        <item x="8"/>
        <item x="7"/>
        <item x="6"/>
        <item x="5"/>
        <item x="4"/>
        <item x="3"/>
        <item x="2"/>
        <item x="1"/>
        <item x="0"/>
      </items>
    </pivotField>
  </pivotFields>
  <rowFields count="1">
    <field x="6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</rowItems>
  <colFields count="2">
    <field x="11"/>
    <field x="10"/>
  </colFields>
  <colItems count="92">
    <i>
      <x/>
    </i>
    <i>
      <x v="1"/>
    </i>
    <i>
      <x v="2"/>
      <x/>
    </i>
    <i>
      <x v="3"/>
      <x v="4"/>
    </i>
    <i r="1">
      <x v="5"/>
    </i>
    <i r="1">
      <x v="6"/>
    </i>
    <i r="1">
      <x v="7"/>
    </i>
    <i r="1">
      <x v="8"/>
    </i>
    <i>
      <x v="4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  <x/>
    </i>
    <i r="1">
      <x v="1"/>
    </i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2781EB-1611-4EB5-9162-CDFA16C4C376}" name="Table3" displayName="Table3" ref="A1:J21" totalsRowShown="0">
  <autoFilter ref="A1:J21" xr:uid="{9F2781EB-1611-4EB5-9162-CDFA16C4C376}"/>
  <tableColumns count="10">
    <tableColumn id="1" xr3:uid="{760909A3-9B13-4A06-8447-C1F02B22E9D9}" name="Call Id"/>
    <tableColumn id="2" xr3:uid="{515B1622-3B9F-4BCD-8E54-275F50DC3605}" name="Agent"/>
    <tableColumn id="3" xr3:uid="{CA469A68-D544-4957-B35B-494DDCD4C80E}" name="Date"/>
    <tableColumn id="4" xr3:uid="{39F0A61B-3FB4-466C-A508-A159F9B906C4}" name="Time" dataDxfId="11"/>
    <tableColumn id="5" xr3:uid="{B4CEE1DA-BEB1-4C76-A9E3-BE24014E91B8}" name="Topic"/>
    <tableColumn id="6" xr3:uid="{CB03F267-67B5-46F1-99AB-6183A72C6D85}" name="Answered (Y/N)"/>
    <tableColumn id="7" xr3:uid="{90F79474-E68A-4F0C-BF49-0391961485AE}" name="Resolved"/>
    <tableColumn id="8" xr3:uid="{EB32B169-6F93-47F9-AE9D-F4FC00251D68}" name="Speed of answer in seconds"/>
    <tableColumn id="9" xr3:uid="{FB923D2F-7F50-4AA6-B08C-B4E6E6F4AAF2}" name="AvgTalkDuration" dataDxfId="10"/>
    <tableColumn id="10" xr3:uid="{9696D5D8-7DE5-4977-9C28-3FAD15B1575F}" name="Satisfaction 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3DEED-249C-4A12-99D5-821187581F59}" name="Table1" displayName="Table1" ref="B1:F19" totalsRowShown="0" headerRowDxfId="9" dataDxfId="8">
  <autoFilter ref="B1:F19" xr:uid="{AE53DEED-249C-4A12-99D5-821187581F59}"/>
  <tableColumns count="5">
    <tableColumn id="1" xr3:uid="{A64CED05-0BA1-435C-8574-1D3B6B20C685}" name="Criteria" dataDxfId="7"/>
    <tableColumn id="2" xr3:uid="{7F0EA63F-DA38-4DC0-A9AD-C8A9293BEB39}" name="NAB Qantas Business Signature Card" dataDxfId="6"/>
    <tableColumn id="3" xr3:uid="{4BBF9363-EBA3-4290-BBDC-7040505A2EAC}" name="ANZ Frequent Flyer Black credit card" dataDxfId="5"/>
    <tableColumn id="4" xr3:uid="{8615D33C-FD53-4D57-B3DA-68BA1EF8EA88}" name="NAB Qantas Rewards Signature Card" dataDxfId="4"/>
    <tableColumn id="5" xr3:uid="{19A9ACA2-9611-4EAB-AA79-D94C3F2FB3E8}" name="Westpac Altitude Qantas Black credit card" dataDxfId="3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926340-9B94-A245-B41D-65788E58B4A9}" name="Crypto_Dataset" displayName="Crypto_Dataset" ref="A1:M150" totalsRowShown="0">
  <autoFilter ref="A1:M150" xr:uid="{218A518A-89BE-3147-AA26-961F11FC1F6E}"/>
  <tableColumns count="13">
    <tableColumn id="1" xr3:uid="{2DBB614C-D195-8E49-9B83-0735628F0CEE}" name="Transaction Date" dataDxfId="2"/>
    <tableColumn id="2" xr3:uid="{0D2BECA8-2E02-104B-B9CE-109F77C8373D}" name="Type"/>
    <tableColumn id="3" xr3:uid="{697BA16D-222E-C34B-B954-DDDEB4CFD332}" name="Market"/>
    <tableColumn id="4" xr3:uid="{3584C07E-0E72-F643-A4F0-684F1CCDF3DE}" name="Amount"/>
    <tableColumn id="5" xr3:uid="{A4C9D894-6EBB-1042-A8C4-F2AD93074F39}" name="Rate inc. fee"/>
    <tableColumn id="6" xr3:uid="{150BC194-E784-2C4F-94E1-759616534EF2}" name="Rate ex. fee"/>
    <tableColumn id="7" xr3:uid="{092D4AD6-A8AC-AC4E-AF53-4869E8244272}" name="Fee"/>
    <tableColumn id="8" xr3:uid="{3DFC6E65-CA9C-4542-9621-6284D97FF7B8}" name="Fee AUD (inc GST)"/>
    <tableColumn id="9" xr3:uid="{514214F9-63D9-D24E-A7F7-45073F08F5DF}" name="GST AUD"/>
    <tableColumn id="10" xr3:uid="{A4449BF2-BF9B-7947-ABFD-144BE4C3BE0D}" name="Total AUD"/>
    <tableColumn id="11" xr3:uid="{F6E67D3D-07A2-F74D-B476-D7E9A5705321}" name="Total (inc GST)"/>
    <tableColumn id="12" xr3:uid="{704A644C-15AB-1A44-99E4-E40E7EADA4C1}" name="Total AUD Final" dataDxfId="1">
      <calculatedColumnFormula>VALUE(IF(Crypto_Dataset[[#This Row],[Type]]="Sell", _xlfn.CONCAT("-", Crypto_Dataset[[#This Row],[Total AUD]]), Crypto_Dataset[[#This Row],[Total AUD]]))</calculatedColumnFormula>
    </tableColumn>
    <tableColumn id="13" xr3:uid="{13ECD782-5F71-1842-B586-76BFE6B30CD0}" name="Total Amount Final" dataDxfId="0">
      <calculatedColumnFormula>VALUE(IF(Crypto_Dataset[[#This Row],[Type]]="Sell", _xlfn.CONCAT("-", Crypto_Dataset[[#This Row],[Amount]]), Crypto_Dataset[[#This Row],[Amount]]))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9AD6-DEE8-4CB1-B790-029EB622BA0B}">
  <sheetPr>
    <tabColor theme="7" tint="0.79998168889431442"/>
  </sheetPr>
  <dimension ref="A3:CO27"/>
  <sheetViews>
    <sheetView zoomScaleNormal="100" workbookViewId="0">
      <selection activeCell="Q12" sqref="Q12"/>
    </sheetView>
  </sheetViews>
  <sheetFormatPr defaultRowHeight="14.5" x14ac:dyDescent="0.35"/>
  <cols>
    <col min="1" max="1" width="28.6328125" bestFit="1" customWidth="1"/>
    <col min="2" max="2" width="15.26953125" bestFit="1" customWidth="1"/>
    <col min="3" max="3" width="6.453125" bestFit="1" customWidth="1"/>
    <col min="4" max="4" width="4.81640625" bestFit="1" customWidth="1"/>
    <col min="5" max="5" width="6.453125" bestFit="1" customWidth="1"/>
    <col min="6" max="6" width="7.453125" bestFit="1" customWidth="1"/>
    <col min="7" max="7" width="4.453125" bestFit="1" customWidth="1"/>
    <col min="8" max="8" width="5.453125" bestFit="1" customWidth="1"/>
    <col min="9" max="9" width="4.453125" bestFit="1" customWidth="1"/>
    <col min="10" max="10" width="5.453125" bestFit="1" customWidth="1"/>
    <col min="11" max="11" width="4.453125" bestFit="1" customWidth="1"/>
    <col min="12" max="12" width="5.453125" bestFit="1" customWidth="1"/>
    <col min="13" max="13" width="6.81640625" bestFit="1" customWidth="1"/>
    <col min="14" max="14" width="7.453125" bestFit="1" customWidth="1"/>
    <col min="15" max="16" width="7.81640625" bestFit="1" customWidth="1"/>
    <col min="17" max="17" width="7.453125" bestFit="1" customWidth="1"/>
    <col min="18" max="19" width="7.81640625" bestFit="1" customWidth="1"/>
    <col min="20" max="20" width="8.453125" bestFit="1" customWidth="1"/>
    <col min="21" max="23" width="7.81640625" bestFit="1" customWidth="1"/>
    <col min="24" max="24" width="8.453125" bestFit="1" customWidth="1"/>
    <col min="25" max="26" width="7.81640625" bestFit="1" customWidth="1"/>
    <col min="27" max="27" width="8.453125" bestFit="1" customWidth="1"/>
    <col min="28" max="28" width="7.81640625" bestFit="1" customWidth="1"/>
    <col min="29" max="29" width="8.453125" bestFit="1" customWidth="1"/>
    <col min="30" max="30" width="7.81640625" bestFit="1" customWidth="1"/>
    <col min="31" max="35" width="8.453125" bestFit="1" customWidth="1"/>
    <col min="36" max="36" width="7.81640625" bestFit="1" customWidth="1"/>
    <col min="37" max="37" width="8.453125" bestFit="1" customWidth="1"/>
    <col min="38" max="41" width="7.81640625" bestFit="1" customWidth="1"/>
    <col min="42" max="44" width="8.453125" bestFit="1" customWidth="1"/>
    <col min="45" max="45" width="7.81640625" bestFit="1" customWidth="1"/>
    <col min="46" max="49" width="8.453125" bestFit="1" customWidth="1"/>
    <col min="50" max="50" width="7.81640625" bestFit="1" customWidth="1"/>
    <col min="51" max="51" width="8.453125" bestFit="1" customWidth="1"/>
    <col min="52" max="53" width="7.81640625" bestFit="1" customWidth="1"/>
    <col min="54" max="59" width="8.453125" bestFit="1" customWidth="1"/>
    <col min="60" max="60" width="7.81640625" bestFit="1" customWidth="1"/>
    <col min="61" max="61" width="8.453125" bestFit="1" customWidth="1"/>
    <col min="62" max="62" width="7.81640625" bestFit="1" customWidth="1"/>
    <col min="63" max="67" width="8.453125" bestFit="1" customWidth="1"/>
    <col min="68" max="68" width="7.81640625" bestFit="1" customWidth="1"/>
    <col min="69" max="73" width="8.453125" bestFit="1" customWidth="1"/>
    <col min="74" max="74" width="7.81640625" bestFit="1" customWidth="1"/>
    <col min="75" max="75" width="8.453125" bestFit="1" customWidth="1"/>
    <col min="76" max="76" width="7.81640625" bestFit="1" customWidth="1"/>
    <col min="77" max="78" width="8.453125" bestFit="1" customWidth="1"/>
    <col min="79" max="79" width="7.81640625" bestFit="1" customWidth="1"/>
    <col min="80" max="82" width="8.453125" bestFit="1" customWidth="1"/>
    <col min="83" max="83" width="8.81640625" bestFit="1" customWidth="1"/>
    <col min="84" max="87" width="8.453125" bestFit="1" customWidth="1"/>
    <col min="88" max="88" width="7.81640625" bestFit="1" customWidth="1"/>
    <col min="89" max="90" width="8.453125" bestFit="1" customWidth="1"/>
    <col min="91" max="91" width="7.81640625" bestFit="1" customWidth="1"/>
    <col min="92" max="98" width="8.453125" bestFit="1" customWidth="1"/>
    <col min="99" max="99" width="7.453125" bestFit="1" customWidth="1"/>
  </cols>
  <sheetData>
    <row r="3" spans="1:93" x14ac:dyDescent="0.35">
      <c r="A3" s="2" t="s">
        <v>7</v>
      </c>
      <c r="B3" s="2" t="s">
        <v>6</v>
      </c>
    </row>
    <row r="4" spans="1:93" x14ac:dyDescent="0.35">
      <c r="B4" s="1">
        <v>2010</v>
      </c>
      <c r="C4" s="1">
        <v>2015</v>
      </c>
      <c r="D4" s="1">
        <v>2016</v>
      </c>
      <c r="E4" s="1">
        <v>2017</v>
      </c>
      <c r="J4" s="1">
        <v>2018</v>
      </c>
      <c r="T4" s="1">
        <v>2019</v>
      </c>
      <c r="AF4" s="1">
        <v>2020</v>
      </c>
      <c r="AR4" s="1">
        <v>2021</v>
      </c>
      <c r="BD4" s="1">
        <v>2022</v>
      </c>
      <c r="BP4" s="1">
        <v>2023</v>
      </c>
      <c r="CB4" s="1">
        <v>2024</v>
      </c>
      <c r="CN4" s="1">
        <v>2025</v>
      </c>
    </row>
    <row r="5" spans="1:93" x14ac:dyDescent="0.35">
      <c r="A5" s="2" t="s">
        <v>4</v>
      </c>
      <c r="D5" s="1">
        <v>1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3</v>
      </c>
      <c r="K5" s="1">
        <v>4</v>
      </c>
      <c r="L5" s="1">
        <v>5</v>
      </c>
      <c r="M5" s="1">
        <v>6</v>
      </c>
      <c r="N5" s="1">
        <v>7</v>
      </c>
      <c r="O5" s="1">
        <v>8</v>
      </c>
      <c r="P5" s="1">
        <v>9</v>
      </c>
      <c r="Q5" s="1">
        <v>10</v>
      </c>
      <c r="R5" s="1">
        <v>11</v>
      </c>
      <c r="S5" s="1">
        <v>12</v>
      </c>
      <c r="T5" s="1">
        <v>1</v>
      </c>
      <c r="U5" s="1">
        <v>2</v>
      </c>
      <c r="V5" s="1">
        <v>3</v>
      </c>
      <c r="W5" s="1">
        <v>4</v>
      </c>
      <c r="X5" s="1">
        <v>5</v>
      </c>
      <c r="Y5" s="1">
        <v>6</v>
      </c>
      <c r="Z5" s="1">
        <v>7</v>
      </c>
      <c r="AA5" s="1">
        <v>8</v>
      </c>
      <c r="AB5" s="1">
        <v>9</v>
      </c>
      <c r="AC5" s="1">
        <v>10</v>
      </c>
      <c r="AD5" s="1">
        <v>11</v>
      </c>
      <c r="AE5" s="1">
        <v>12</v>
      </c>
      <c r="AF5" s="1">
        <v>1</v>
      </c>
      <c r="AG5" s="1">
        <v>2</v>
      </c>
      <c r="AH5" s="1">
        <v>3</v>
      </c>
      <c r="AI5" s="1">
        <v>4</v>
      </c>
      <c r="AJ5" s="1">
        <v>5</v>
      </c>
      <c r="AK5" s="1">
        <v>6</v>
      </c>
      <c r="AL5" s="1">
        <v>7</v>
      </c>
      <c r="AM5" s="1">
        <v>8</v>
      </c>
      <c r="AN5" s="1">
        <v>9</v>
      </c>
      <c r="AO5" s="1">
        <v>10</v>
      </c>
      <c r="AP5" s="1">
        <v>11</v>
      </c>
      <c r="AQ5" s="1">
        <v>12</v>
      </c>
      <c r="AR5" s="1">
        <v>1</v>
      </c>
      <c r="AS5" s="1">
        <v>2</v>
      </c>
      <c r="AT5" s="1">
        <v>3</v>
      </c>
      <c r="AU5" s="1">
        <v>4</v>
      </c>
      <c r="AV5" s="1">
        <v>5</v>
      </c>
      <c r="AW5" s="1">
        <v>6</v>
      </c>
      <c r="AX5" s="1">
        <v>7</v>
      </c>
      <c r="AY5" s="1">
        <v>8</v>
      </c>
      <c r="AZ5" s="1">
        <v>9</v>
      </c>
      <c r="BA5" s="1">
        <v>10</v>
      </c>
      <c r="BB5" s="1">
        <v>11</v>
      </c>
      <c r="BC5" s="1">
        <v>12</v>
      </c>
      <c r="BD5" s="1">
        <v>1</v>
      </c>
      <c r="BE5" s="1">
        <v>2</v>
      </c>
      <c r="BF5" s="1">
        <v>3</v>
      </c>
      <c r="BG5" s="1">
        <v>4</v>
      </c>
      <c r="BH5" s="1">
        <v>5</v>
      </c>
      <c r="BI5" s="1">
        <v>6</v>
      </c>
      <c r="BJ5" s="1">
        <v>7</v>
      </c>
      <c r="BK5" s="1">
        <v>8</v>
      </c>
      <c r="BL5" s="1">
        <v>9</v>
      </c>
      <c r="BM5" s="1">
        <v>10</v>
      </c>
      <c r="BN5" s="1">
        <v>11</v>
      </c>
      <c r="BO5" s="1">
        <v>12</v>
      </c>
      <c r="BP5" s="1">
        <v>1</v>
      </c>
      <c r="BQ5" s="1">
        <v>2</v>
      </c>
      <c r="BR5" s="1">
        <v>3</v>
      </c>
      <c r="BS5" s="1">
        <v>4</v>
      </c>
      <c r="BT5" s="1">
        <v>5</v>
      </c>
      <c r="BU5" s="1">
        <v>6</v>
      </c>
      <c r="BV5" s="1">
        <v>7</v>
      </c>
      <c r="BW5" s="1">
        <v>8</v>
      </c>
      <c r="BX5" s="1">
        <v>9</v>
      </c>
      <c r="BY5" s="1">
        <v>10</v>
      </c>
      <c r="BZ5" s="1">
        <v>11</v>
      </c>
      <c r="CA5" s="1">
        <v>12</v>
      </c>
      <c r="CB5" s="1">
        <v>1</v>
      </c>
      <c r="CC5" s="1">
        <v>2</v>
      </c>
      <c r="CD5" s="1">
        <v>3</v>
      </c>
      <c r="CE5" s="1">
        <v>4</v>
      </c>
      <c r="CF5" s="1">
        <v>5</v>
      </c>
      <c r="CG5" s="1">
        <v>6</v>
      </c>
      <c r="CH5" s="1">
        <v>7</v>
      </c>
      <c r="CI5" s="1">
        <v>8</v>
      </c>
      <c r="CJ5" s="1">
        <v>9</v>
      </c>
      <c r="CK5" s="1">
        <v>10</v>
      </c>
      <c r="CL5" s="1">
        <v>11</v>
      </c>
      <c r="CM5" s="1">
        <v>12</v>
      </c>
      <c r="CN5" s="1">
        <v>1</v>
      </c>
      <c r="CO5" s="1">
        <v>2</v>
      </c>
    </row>
    <row r="6" spans="1:93" x14ac:dyDescent="0.35">
      <c r="A6" s="3" t="s">
        <v>3</v>
      </c>
      <c r="N6">
        <v>-25</v>
      </c>
      <c r="O6">
        <v>-41.59</v>
      </c>
      <c r="P6">
        <v>-47</v>
      </c>
      <c r="Q6">
        <v>-20.5</v>
      </c>
      <c r="R6">
        <v>-5.95</v>
      </c>
      <c r="S6">
        <v>-26.95</v>
      </c>
      <c r="T6">
        <v>-38.5</v>
      </c>
      <c r="W6">
        <v>-22.67</v>
      </c>
      <c r="X6">
        <v>-90.95</v>
      </c>
      <c r="Y6">
        <v>-45.849999999999994</v>
      </c>
      <c r="AA6">
        <v>-35.83</v>
      </c>
      <c r="AC6">
        <v>-39.369999999999997</v>
      </c>
      <c r="AE6">
        <v>-34</v>
      </c>
      <c r="AF6">
        <v>-103.56</v>
      </c>
      <c r="AG6">
        <v>-10.5</v>
      </c>
      <c r="AH6">
        <v>-31.5</v>
      </c>
      <c r="AQ6">
        <v>-33.9</v>
      </c>
      <c r="AR6">
        <v>-15.23</v>
      </c>
      <c r="AT6">
        <v>-41.400000000000006</v>
      </c>
      <c r="AU6">
        <v>-11.5</v>
      </c>
      <c r="AV6">
        <v>-9.98</v>
      </c>
      <c r="AX6">
        <v>-3.8</v>
      </c>
      <c r="BA6">
        <v>-36</v>
      </c>
      <c r="BE6">
        <v>-24</v>
      </c>
      <c r="BF6">
        <v>-124.15</v>
      </c>
      <c r="BG6">
        <v>-206.87</v>
      </c>
      <c r="BH6">
        <v>-47.709999999999994</v>
      </c>
      <c r="BI6">
        <v>-24</v>
      </c>
      <c r="BJ6">
        <v>-40.29</v>
      </c>
      <c r="BK6">
        <v>-13.8</v>
      </c>
      <c r="BM6">
        <v>-20.059999999999999</v>
      </c>
      <c r="BN6">
        <v>-102.35</v>
      </c>
      <c r="BP6">
        <v>-104</v>
      </c>
      <c r="BT6">
        <v>-46</v>
      </c>
      <c r="BW6">
        <v>-93.08</v>
      </c>
      <c r="BX6">
        <v>-34.61</v>
      </c>
      <c r="BZ6">
        <v>-84.96</v>
      </c>
    </row>
    <row r="7" spans="1:93" x14ac:dyDescent="0.35">
      <c r="A7" s="3" t="s">
        <v>275</v>
      </c>
      <c r="AG7">
        <v>-110</v>
      </c>
      <c r="AN7">
        <v>-560</v>
      </c>
      <c r="AT7">
        <v>0</v>
      </c>
      <c r="AU7">
        <v>-245</v>
      </c>
      <c r="BA7">
        <v>-350</v>
      </c>
      <c r="BG7">
        <v>-1005.1</v>
      </c>
      <c r="BH7">
        <v>15</v>
      </c>
      <c r="CH7">
        <v>-1929.62</v>
      </c>
    </row>
    <row r="8" spans="1:93" x14ac:dyDescent="0.35">
      <c r="A8" s="3" t="s">
        <v>277</v>
      </c>
      <c r="B8">
        <v>-232.22</v>
      </c>
      <c r="C8">
        <v>-78.62</v>
      </c>
      <c r="D8">
        <v>-38</v>
      </c>
      <c r="E8">
        <v>-212.5</v>
      </c>
      <c r="F8">
        <v>-3376.3</v>
      </c>
      <c r="G8">
        <v>-245</v>
      </c>
      <c r="H8">
        <v>-5325</v>
      </c>
      <c r="I8">
        <v>-623</v>
      </c>
      <c r="K8">
        <v>-20</v>
      </c>
      <c r="L8">
        <v>-3305</v>
      </c>
      <c r="N8">
        <v>-870.79</v>
      </c>
      <c r="O8">
        <v>-406.75</v>
      </c>
      <c r="Q8">
        <v>-153.12</v>
      </c>
      <c r="R8">
        <v>-58.5</v>
      </c>
      <c r="S8">
        <v>-133.21</v>
      </c>
      <c r="T8">
        <v>-1213.75</v>
      </c>
      <c r="U8">
        <v>-34.85</v>
      </c>
      <c r="V8">
        <v>-31.88</v>
      </c>
      <c r="W8">
        <v>-66.73</v>
      </c>
      <c r="X8">
        <v>-673</v>
      </c>
      <c r="Z8">
        <v>-55.07</v>
      </c>
      <c r="AA8">
        <v>-5.8500000000000005</v>
      </c>
      <c r="AB8">
        <v>1815.39</v>
      </c>
      <c r="AC8">
        <v>-26.09</v>
      </c>
      <c r="AD8">
        <v>-421.26</v>
      </c>
      <c r="AE8">
        <v>-456.61</v>
      </c>
      <c r="AG8">
        <v>-21.099999999999998</v>
      </c>
      <c r="AH8">
        <v>-386.98</v>
      </c>
      <c r="AI8">
        <v>-2685.44</v>
      </c>
      <c r="AJ8">
        <v>-537.19000000000005</v>
      </c>
      <c r="AK8">
        <v>-2056</v>
      </c>
      <c r="AL8">
        <v>-20</v>
      </c>
      <c r="AM8">
        <v>-611.65</v>
      </c>
      <c r="AN8">
        <v>-21.95</v>
      </c>
      <c r="AO8">
        <v>20.12</v>
      </c>
      <c r="AP8">
        <v>-139.91000000000003</v>
      </c>
      <c r="AQ8">
        <v>-530.1</v>
      </c>
      <c r="AT8">
        <v>-242.35</v>
      </c>
      <c r="AU8">
        <v>2345.94</v>
      </c>
      <c r="AX8">
        <v>-559.76</v>
      </c>
      <c r="AY8">
        <v>-436.99</v>
      </c>
      <c r="BA8">
        <v>-1.86</v>
      </c>
      <c r="BC8">
        <v>-1433.9599999999998</v>
      </c>
      <c r="BD8">
        <v>-976.0200000000001</v>
      </c>
      <c r="BE8">
        <v>-823.20999999999992</v>
      </c>
      <c r="BF8">
        <v>-988.55000000000007</v>
      </c>
      <c r="BG8">
        <v>-383.58</v>
      </c>
      <c r="BH8">
        <v>-21.98</v>
      </c>
      <c r="BI8">
        <v>-60.07</v>
      </c>
      <c r="BJ8">
        <v>-30.33</v>
      </c>
      <c r="BK8">
        <v>-22.439999999999998</v>
      </c>
      <c r="BL8">
        <v>-3974.44</v>
      </c>
      <c r="BM8">
        <v>-178.96</v>
      </c>
      <c r="BN8">
        <v>-90.429999999999836</v>
      </c>
      <c r="BO8">
        <v>-1108.72</v>
      </c>
      <c r="BP8">
        <v>-258.95</v>
      </c>
      <c r="BQ8">
        <v>-171.12999999999997</v>
      </c>
      <c r="BR8">
        <v>-46.510000000000034</v>
      </c>
      <c r="BS8">
        <v>-298.5</v>
      </c>
      <c r="BT8">
        <v>-1883.49</v>
      </c>
      <c r="BU8">
        <v>-35.21</v>
      </c>
      <c r="BV8">
        <v>1761.68</v>
      </c>
      <c r="BW8">
        <v>-1627.58</v>
      </c>
      <c r="BX8">
        <v>-519.88</v>
      </c>
      <c r="BY8">
        <v>-2086.75</v>
      </c>
      <c r="BZ8">
        <v>-97.44</v>
      </c>
      <c r="CA8">
        <v>-332.85</v>
      </c>
      <c r="CB8">
        <v>-712.5</v>
      </c>
      <c r="CC8">
        <v>-127.95999999999998</v>
      </c>
      <c r="CD8">
        <v>-42.06</v>
      </c>
      <c r="CE8">
        <v>-206.91</v>
      </c>
      <c r="CF8">
        <v>-4710.62</v>
      </c>
      <c r="CG8">
        <v>-56.17</v>
      </c>
      <c r="CH8">
        <v>-101.71999999999998</v>
      </c>
      <c r="CI8">
        <v>-81.910000000000011</v>
      </c>
      <c r="CJ8">
        <v>83.26</v>
      </c>
      <c r="CK8">
        <v>-6668.3799999999992</v>
      </c>
      <c r="CL8">
        <v>-2276.1999999999998</v>
      </c>
      <c r="CM8">
        <v>-127.42</v>
      </c>
      <c r="CN8">
        <v>-22.82</v>
      </c>
      <c r="CO8">
        <v>-78.339999999999989</v>
      </c>
    </row>
    <row r="9" spans="1:93" x14ac:dyDescent="0.35">
      <c r="A9" s="3" t="s">
        <v>273</v>
      </c>
      <c r="N9">
        <v>-385.5499999999999</v>
      </c>
      <c r="O9">
        <v>-403.78000000000009</v>
      </c>
      <c r="P9">
        <v>-456.24000000000007</v>
      </c>
      <c r="Q9">
        <v>-352.47</v>
      </c>
      <c r="R9">
        <v>-149.85</v>
      </c>
      <c r="S9">
        <v>-62.99</v>
      </c>
      <c r="T9">
        <v>-167.87</v>
      </c>
      <c r="U9">
        <v>-13.1</v>
      </c>
      <c r="V9">
        <v>-173.4</v>
      </c>
      <c r="W9">
        <v>-710.49</v>
      </c>
      <c r="X9">
        <v>-363.04</v>
      </c>
      <c r="Y9">
        <v>-263.32</v>
      </c>
      <c r="Z9">
        <v>-317.27999999999997</v>
      </c>
      <c r="AA9">
        <v>-118.58</v>
      </c>
      <c r="AB9">
        <v>-105.4</v>
      </c>
      <c r="AC9">
        <v>-1392.3300000000002</v>
      </c>
      <c r="AD9">
        <v>-195.35</v>
      </c>
      <c r="AE9">
        <v>-227.64000000000001</v>
      </c>
      <c r="AF9">
        <v>-105.04000000000002</v>
      </c>
      <c r="AG9">
        <v>-284.08</v>
      </c>
      <c r="AH9">
        <v>-366.56</v>
      </c>
      <c r="AJ9">
        <v>-9.99</v>
      </c>
      <c r="AK9">
        <v>-16.89</v>
      </c>
      <c r="AL9">
        <v>-49.580000000000005</v>
      </c>
      <c r="AM9">
        <v>-141.67000000000002</v>
      </c>
      <c r="AN9">
        <v>-9.99</v>
      </c>
      <c r="AO9">
        <v>-366.78000000000003</v>
      </c>
      <c r="AP9">
        <v>-34.99</v>
      </c>
      <c r="AR9">
        <v>-296.90000000000009</v>
      </c>
      <c r="AS9">
        <v>-107.2</v>
      </c>
      <c r="AT9">
        <v>-38.090000000000003</v>
      </c>
      <c r="AU9">
        <v>-225.64000000000001</v>
      </c>
      <c r="AV9">
        <v>-166</v>
      </c>
      <c r="AW9">
        <v>-283.25</v>
      </c>
      <c r="AZ9">
        <v>-4</v>
      </c>
      <c r="BA9">
        <v>-72.06</v>
      </c>
      <c r="BB9">
        <v>-158.47</v>
      </c>
      <c r="BC9">
        <v>-74.31</v>
      </c>
      <c r="BD9">
        <v>-36.36</v>
      </c>
      <c r="BF9">
        <v>-7</v>
      </c>
      <c r="BG9">
        <v>-609.59</v>
      </c>
      <c r="BH9">
        <v>-131.05000000000001</v>
      </c>
      <c r="BI9">
        <v>-109.4</v>
      </c>
      <c r="BJ9">
        <v>-23.1</v>
      </c>
      <c r="BK9">
        <v>-213.89</v>
      </c>
      <c r="BL9">
        <v>-709.5</v>
      </c>
      <c r="BN9">
        <v>-98.5</v>
      </c>
      <c r="BO9">
        <v>-76.039999999999992</v>
      </c>
      <c r="BP9">
        <v>-221.01</v>
      </c>
      <c r="BQ9">
        <v>-79.42</v>
      </c>
      <c r="BR9">
        <v>-18.399999999999999</v>
      </c>
      <c r="BS9">
        <v>-27.599999999999998</v>
      </c>
      <c r="BT9">
        <v>-91.8</v>
      </c>
      <c r="BU9">
        <v>-13.7</v>
      </c>
      <c r="BW9">
        <v>-39.799999999999997</v>
      </c>
      <c r="BX9">
        <v>-784.53000000000031</v>
      </c>
      <c r="BY9">
        <v>-228.37</v>
      </c>
      <c r="BZ9">
        <v>-127.99000000000001</v>
      </c>
      <c r="CA9">
        <v>-196.51</v>
      </c>
      <c r="CB9">
        <v>-290.02999999999997</v>
      </c>
      <c r="CC9">
        <v>-33.85</v>
      </c>
      <c r="CD9">
        <v>-114.84</v>
      </c>
      <c r="CE9">
        <v>-93.3</v>
      </c>
      <c r="CF9">
        <v>-132.07</v>
      </c>
      <c r="CG9">
        <v>-136.84</v>
      </c>
      <c r="CH9">
        <v>-1933.7499999999998</v>
      </c>
      <c r="CI9">
        <v>-4464.9500000000016</v>
      </c>
      <c r="CJ9">
        <v>-358.71000000000004</v>
      </c>
      <c r="CK9">
        <v>-76.900000000000006</v>
      </c>
      <c r="CL9">
        <v>-114.07999999999998</v>
      </c>
      <c r="CM9">
        <v>-146.62</v>
      </c>
      <c r="CN9">
        <v>-38.260000000000005</v>
      </c>
      <c r="CO9">
        <v>0.43999999999999773</v>
      </c>
    </row>
    <row r="10" spans="1:93" x14ac:dyDescent="0.35">
      <c r="A10" s="3" t="s">
        <v>205</v>
      </c>
      <c r="J10">
        <v>-1000</v>
      </c>
      <c r="K10">
        <v>-600</v>
      </c>
      <c r="N10">
        <v>142.44000000000003</v>
      </c>
      <c r="O10">
        <v>-94.860000000000014</v>
      </c>
      <c r="P10">
        <v>-688.78</v>
      </c>
      <c r="Q10">
        <v>-237.09000000000003</v>
      </c>
      <c r="R10">
        <v>-590</v>
      </c>
      <c r="S10">
        <v>-30.430000000000007</v>
      </c>
      <c r="T10">
        <v>230</v>
      </c>
      <c r="U10">
        <v>-235</v>
      </c>
      <c r="V10">
        <v>-92.009999999999991</v>
      </c>
      <c r="W10">
        <v>-172</v>
      </c>
      <c r="X10">
        <v>745</v>
      </c>
      <c r="Y10">
        <v>2438.15</v>
      </c>
      <c r="Z10">
        <v>-3256</v>
      </c>
      <c r="AA10">
        <v>-667</v>
      </c>
      <c r="AB10">
        <v>-817.48</v>
      </c>
      <c r="AC10">
        <v>1521.32</v>
      </c>
      <c r="AD10">
        <v>-925.87</v>
      </c>
      <c r="AE10">
        <v>-476.91999999999996</v>
      </c>
      <c r="AF10">
        <v>-874.81999999999994</v>
      </c>
      <c r="AG10">
        <v>-5150</v>
      </c>
      <c r="AH10">
        <v>-1240.72</v>
      </c>
      <c r="AI10">
        <v>855.52</v>
      </c>
      <c r="AJ10">
        <v>-529.35</v>
      </c>
      <c r="AK10">
        <v>-1027.1300000000001</v>
      </c>
      <c r="AL10">
        <v>-756.52</v>
      </c>
      <c r="AM10">
        <v>-506.94</v>
      </c>
      <c r="AN10">
        <v>-471.5</v>
      </c>
      <c r="AO10">
        <v>-818</v>
      </c>
      <c r="AP10">
        <v>-8038.64</v>
      </c>
      <c r="AQ10">
        <v>1295.8300000000002</v>
      </c>
      <c r="AR10">
        <v>-1861.88</v>
      </c>
      <c r="AS10">
        <v>-3100</v>
      </c>
      <c r="AT10">
        <v>-5161.4400000000005</v>
      </c>
      <c r="AU10">
        <v>-3206.96</v>
      </c>
      <c r="AV10">
        <v>-2022.04</v>
      </c>
      <c r="AW10">
        <v>-1320.1599999999999</v>
      </c>
      <c r="AX10">
        <v>-555.6</v>
      </c>
      <c r="AY10">
        <v>-3625.94</v>
      </c>
      <c r="AZ10">
        <v>-4000.4</v>
      </c>
      <c r="BA10">
        <v>-1479</v>
      </c>
      <c r="BB10">
        <v>-2061.5</v>
      </c>
      <c r="BC10">
        <v>-3879</v>
      </c>
      <c r="BD10">
        <v>-1481.65</v>
      </c>
      <c r="BE10">
        <v>-4348.04</v>
      </c>
      <c r="BF10">
        <v>-1456.6599999999999</v>
      </c>
      <c r="BG10">
        <v>-684.7</v>
      </c>
      <c r="BH10">
        <v>-1956</v>
      </c>
      <c r="BI10">
        <v>2030.61</v>
      </c>
      <c r="BJ10">
        <v>-1140.5999999999999</v>
      </c>
      <c r="BK10">
        <v>-114.29999999999995</v>
      </c>
      <c r="BL10">
        <v>-1682</v>
      </c>
      <c r="BM10">
        <v>-1222.8399999999999</v>
      </c>
      <c r="BN10">
        <v>-1200.17</v>
      </c>
      <c r="BO10">
        <v>-1164.6500000000001</v>
      </c>
      <c r="BP10">
        <v>-323.33999999999997</v>
      </c>
      <c r="BQ10">
        <v>-1316.51</v>
      </c>
      <c r="BR10">
        <v>-1536.08</v>
      </c>
      <c r="BS10">
        <v>-1391.3600000000001</v>
      </c>
      <c r="BT10">
        <v>-310.67</v>
      </c>
      <c r="BU10">
        <v>-1155.6600000000001</v>
      </c>
      <c r="BV10">
        <v>-833.1400000000001</v>
      </c>
      <c r="BW10">
        <v>-1873.2900000000041</v>
      </c>
      <c r="BX10">
        <v>-934.89000000000033</v>
      </c>
      <c r="BY10">
        <v>84.369999999999933</v>
      </c>
      <c r="BZ10">
        <v>-1127.54</v>
      </c>
      <c r="CA10">
        <v>-448.93000000000006</v>
      </c>
      <c r="CB10">
        <v>-118.08000000000006</v>
      </c>
      <c r="CC10">
        <v>-1910.69</v>
      </c>
      <c r="CD10">
        <v>4993.7400000000016</v>
      </c>
      <c r="CE10">
        <v>12343.119999999995</v>
      </c>
      <c r="CF10">
        <v>-3148.24</v>
      </c>
      <c r="CG10">
        <v>-2891.41</v>
      </c>
      <c r="CH10">
        <v>-1845.9699999999998</v>
      </c>
      <c r="CI10">
        <v>-2405.1699999999996</v>
      </c>
      <c r="CJ10">
        <v>-1888.3999999999996</v>
      </c>
      <c r="CK10">
        <v>793.34000000000071</v>
      </c>
      <c r="CL10">
        <v>-916.74999999999955</v>
      </c>
      <c r="CM10">
        <v>-2936.0999999999995</v>
      </c>
      <c r="CN10">
        <v>-4568.4599999999991</v>
      </c>
      <c r="CO10">
        <v>-1929.0299999999997</v>
      </c>
    </row>
    <row r="11" spans="1:93" x14ac:dyDescent="0.35">
      <c r="A11" s="3" t="s">
        <v>270</v>
      </c>
      <c r="N11">
        <v>-783.97999999999979</v>
      </c>
      <c r="O11">
        <v>-984.39000000000021</v>
      </c>
      <c r="P11">
        <v>-701.46999999999991</v>
      </c>
      <c r="Q11">
        <v>-796.1</v>
      </c>
      <c r="R11">
        <v>-982.9799999999999</v>
      </c>
      <c r="S11">
        <v>-851.11</v>
      </c>
      <c r="T11">
        <v>-874.99</v>
      </c>
      <c r="U11">
        <v>-712.61000000000013</v>
      </c>
      <c r="V11">
        <v>-696.92</v>
      </c>
      <c r="W11">
        <v>-994.13999999999976</v>
      </c>
      <c r="X11">
        <v>-1164.1399999999994</v>
      </c>
      <c r="Y11">
        <v>-808.37999999999988</v>
      </c>
      <c r="Z11">
        <v>-689.13999999999987</v>
      </c>
      <c r="AA11">
        <v>-1133.3500000000001</v>
      </c>
      <c r="AB11">
        <v>-888.80999999999983</v>
      </c>
      <c r="AC11">
        <v>-1220.56</v>
      </c>
      <c r="AD11">
        <v>-908.40999999999974</v>
      </c>
      <c r="AE11">
        <v>-1208.8800000000003</v>
      </c>
      <c r="AF11">
        <v>-1359.7099999999998</v>
      </c>
      <c r="AG11">
        <v>-1047.3699999999999</v>
      </c>
      <c r="AH11">
        <v>-1043.9199999999996</v>
      </c>
      <c r="AI11">
        <v>-718.96</v>
      </c>
      <c r="AJ11">
        <v>-587.79</v>
      </c>
      <c r="AK11">
        <v>-587.92999999999995</v>
      </c>
      <c r="AL11">
        <v>-714.69000000000017</v>
      </c>
      <c r="AM11">
        <v>-865.89999999999986</v>
      </c>
      <c r="AN11">
        <v>-849.63000000000011</v>
      </c>
      <c r="AO11">
        <v>-987.87999999999988</v>
      </c>
      <c r="AP11">
        <v>-715.97</v>
      </c>
      <c r="AQ11">
        <v>-1089.7200000000003</v>
      </c>
      <c r="AR11">
        <v>-810.1099999999999</v>
      </c>
      <c r="AS11">
        <v>-738.24</v>
      </c>
      <c r="AT11">
        <v>-639.63</v>
      </c>
      <c r="AU11">
        <v>-921.93000000000006</v>
      </c>
      <c r="AV11">
        <v>-490.20000000000005</v>
      </c>
      <c r="AW11">
        <v>-887.17</v>
      </c>
      <c r="AX11">
        <v>-468.96000000000004</v>
      </c>
      <c r="AY11">
        <v>-509.02</v>
      </c>
      <c r="AZ11">
        <v>-609.89</v>
      </c>
      <c r="BA11">
        <v>-700.32</v>
      </c>
      <c r="BB11">
        <v>-1246.8699999999999</v>
      </c>
      <c r="BC11">
        <v>-760.4</v>
      </c>
      <c r="BD11">
        <v>-859.03999999999985</v>
      </c>
      <c r="BE11">
        <v>-1243.9100000000001</v>
      </c>
      <c r="BF11">
        <v>-1157.2400000000002</v>
      </c>
      <c r="BG11">
        <v>-1189.2100000000003</v>
      </c>
      <c r="BH11">
        <v>-934.19000000000017</v>
      </c>
      <c r="BI11">
        <v>-1482.9199999999998</v>
      </c>
      <c r="BJ11">
        <v>-544.44999999999993</v>
      </c>
      <c r="BK11">
        <v>-941.77999999999986</v>
      </c>
      <c r="BL11">
        <v>-663.06000000000006</v>
      </c>
      <c r="BM11">
        <v>-1100.3799999999999</v>
      </c>
      <c r="BN11">
        <v>-920.32999999999993</v>
      </c>
      <c r="BO11">
        <v>-757.54</v>
      </c>
      <c r="BP11">
        <v>-908.8499999999998</v>
      </c>
      <c r="BQ11">
        <v>-1245.1499999999996</v>
      </c>
      <c r="BR11">
        <v>-900.82999999999993</v>
      </c>
      <c r="BS11">
        <v>-933.02000000000021</v>
      </c>
      <c r="BT11">
        <v>-1253.5400000000002</v>
      </c>
      <c r="BU11">
        <v>-745.12999999999988</v>
      </c>
      <c r="BV11">
        <v>-790.48000000000013</v>
      </c>
      <c r="BW11">
        <v>-989.01</v>
      </c>
      <c r="BX11">
        <v>-823.12999999999988</v>
      </c>
      <c r="BY11">
        <v>-859.7</v>
      </c>
      <c r="BZ11">
        <v>-891.84999999999991</v>
      </c>
      <c r="CA11">
        <v>-817.67000000000007</v>
      </c>
      <c r="CB11">
        <v>-1087.1300000000001</v>
      </c>
      <c r="CC11">
        <v>-781.83</v>
      </c>
      <c r="CD11">
        <v>-662.56999999999994</v>
      </c>
      <c r="CE11">
        <v>-613.47</v>
      </c>
      <c r="CF11">
        <v>-561.4799999999999</v>
      </c>
      <c r="CG11">
        <v>-544.24</v>
      </c>
      <c r="CH11">
        <v>-803.88</v>
      </c>
      <c r="CI11">
        <v>-578.89</v>
      </c>
      <c r="CJ11">
        <v>-785.04</v>
      </c>
      <c r="CK11">
        <v>-1073.6500000000001</v>
      </c>
      <c r="CL11">
        <v>-1168.5900000000001</v>
      </c>
      <c r="CM11">
        <v>-842.65999999999985</v>
      </c>
      <c r="CN11">
        <v>-361.88999999999993</v>
      </c>
      <c r="CO11">
        <v>-270.02999999999997</v>
      </c>
    </row>
    <row r="12" spans="1:93" x14ac:dyDescent="0.35">
      <c r="A12" s="3" t="s">
        <v>271</v>
      </c>
      <c r="R12">
        <v>-70</v>
      </c>
      <c r="S12">
        <v>-54.1</v>
      </c>
      <c r="V12">
        <v>-12.95</v>
      </c>
      <c r="W12">
        <v>-5</v>
      </c>
      <c r="X12">
        <v>-95.56</v>
      </c>
      <c r="Y12">
        <v>-6.9</v>
      </c>
      <c r="Z12">
        <v>-23</v>
      </c>
      <c r="AD12">
        <v>-80</v>
      </c>
      <c r="AE12">
        <v>-29.99</v>
      </c>
      <c r="AG12">
        <v>-55.99</v>
      </c>
      <c r="AN12">
        <v>-84.38</v>
      </c>
      <c r="AP12">
        <v>-14.99</v>
      </c>
      <c r="AR12">
        <v>-5.98</v>
      </c>
      <c r="AY12">
        <v>-12.99</v>
      </c>
      <c r="BC12">
        <v>-102.63</v>
      </c>
      <c r="BD12">
        <v>-9.99</v>
      </c>
      <c r="BE12">
        <v>-35.86</v>
      </c>
      <c r="BG12">
        <v>-18.48</v>
      </c>
      <c r="BJ12">
        <v>-90.929999999999993</v>
      </c>
      <c r="BM12">
        <v>-6.99</v>
      </c>
      <c r="BN12">
        <v>-95.789999999999992</v>
      </c>
      <c r="BO12">
        <v>-60.99</v>
      </c>
      <c r="BP12">
        <v>-16.98</v>
      </c>
      <c r="BQ12">
        <v>-40.25</v>
      </c>
      <c r="BW12">
        <v>-12.98</v>
      </c>
      <c r="CA12">
        <v>-56.2</v>
      </c>
      <c r="CD12">
        <v>-42.97</v>
      </c>
      <c r="CE12">
        <v>-60.18</v>
      </c>
      <c r="CF12">
        <v>-50.98</v>
      </c>
      <c r="CH12">
        <v>-28.29</v>
      </c>
      <c r="CK12">
        <v>-119.85000000000001</v>
      </c>
      <c r="CL12">
        <v>-25</v>
      </c>
      <c r="CN12">
        <v>-57.12</v>
      </c>
    </row>
    <row r="13" spans="1:93" x14ac:dyDescent="0.35">
      <c r="A13" s="3" t="s">
        <v>279</v>
      </c>
      <c r="CA13">
        <v>-49</v>
      </c>
      <c r="CB13">
        <v>-328</v>
      </c>
      <c r="CC13">
        <v>-1755.5</v>
      </c>
      <c r="CD13">
        <v>-34323.5</v>
      </c>
      <c r="CE13">
        <v>-3787.9</v>
      </c>
      <c r="CF13">
        <v>-1514.59</v>
      </c>
      <c r="CH13">
        <v>-447.26</v>
      </c>
      <c r="CM13">
        <v>-391.65</v>
      </c>
    </row>
    <row r="14" spans="1:93" x14ac:dyDescent="0.35">
      <c r="A14" s="3" t="s">
        <v>276</v>
      </c>
      <c r="N14">
        <v>-7.14</v>
      </c>
      <c r="X14">
        <v>-118.8</v>
      </c>
      <c r="Y14">
        <v>-589.34</v>
      </c>
      <c r="AF14">
        <v>-57</v>
      </c>
      <c r="AH14">
        <v>-269</v>
      </c>
      <c r="AQ14">
        <v>707.40000000000009</v>
      </c>
      <c r="AV14">
        <v>-425.75</v>
      </c>
      <c r="AW14">
        <v>-1526.08</v>
      </c>
      <c r="AX14">
        <v>-3.1</v>
      </c>
      <c r="BC14">
        <v>-35.950000000000003</v>
      </c>
      <c r="BH14">
        <v>-50</v>
      </c>
      <c r="BL14">
        <v>-35</v>
      </c>
      <c r="BZ14">
        <v>-341.09</v>
      </c>
      <c r="CA14">
        <v>-3.8600000000000003</v>
      </c>
      <c r="CB14">
        <v>-27.88</v>
      </c>
      <c r="CE14">
        <v>-311.52</v>
      </c>
      <c r="CF14">
        <v>-950.81000000000006</v>
      </c>
      <c r="CG14">
        <v>-44.37</v>
      </c>
      <c r="CH14">
        <v>-12.94</v>
      </c>
      <c r="CJ14">
        <v>-35.880000000000003</v>
      </c>
      <c r="CL14">
        <v>-9.57</v>
      </c>
      <c r="CM14">
        <v>-65.14</v>
      </c>
      <c r="CN14">
        <v>-93.559999999999988</v>
      </c>
    </row>
    <row r="15" spans="1:93" x14ac:dyDescent="0.35">
      <c r="A15" s="3" t="s">
        <v>207</v>
      </c>
      <c r="N15">
        <v>-204.04000000000002</v>
      </c>
      <c r="O15">
        <v>-204.04000000000002</v>
      </c>
      <c r="P15">
        <v>-204.04000000000002</v>
      </c>
      <c r="Q15">
        <v>-204.04000000000002</v>
      </c>
      <c r="R15">
        <v>-174.04000000000002</v>
      </c>
      <c r="S15">
        <v>-204.04000000000002</v>
      </c>
      <c r="T15">
        <v>-204.04000000000002</v>
      </c>
      <c r="U15">
        <v>-166.4</v>
      </c>
      <c r="V15">
        <v>-166.4</v>
      </c>
      <c r="W15">
        <v>-172.3</v>
      </c>
      <c r="X15">
        <v>-172.3</v>
      </c>
      <c r="Y15">
        <v>-172.3</v>
      </c>
      <c r="Z15">
        <v>-172.3</v>
      </c>
      <c r="AA15">
        <v>-172.3</v>
      </c>
      <c r="AB15">
        <v>-172.3</v>
      </c>
      <c r="AC15">
        <v>-172.3</v>
      </c>
      <c r="AD15">
        <v>-155.30000000000001</v>
      </c>
      <c r="AE15">
        <v>-172.3</v>
      </c>
      <c r="AF15">
        <v>-172.3</v>
      </c>
      <c r="AG15">
        <v>-172.3</v>
      </c>
      <c r="AH15">
        <v>-172.3</v>
      </c>
      <c r="AI15">
        <v>-172.3</v>
      </c>
      <c r="AJ15">
        <v>-172.3</v>
      </c>
      <c r="AK15">
        <v>-172.3</v>
      </c>
      <c r="AL15">
        <v>-172.3</v>
      </c>
      <c r="AM15">
        <v>-172.3</v>
      </c>
      <c r="AN15">
        <v>-172.3</v>
      </c>
      <c r="AO15">
        <v>-172.3</v>
      </c>
      <c r="AP15">
        <v>-172.99</v>
      </c>
      <c r="AQ15">
        <v>-176.6</v>
      </c>
      <c r="AR15">
        <v>-176.6</v>
      </c>
      <c r="AS15">
        <v>-176.6</v>
      </c>
      <c r="AT15">
        <v>-176.6</v>
      </c>
      <c r="AU15">
        <v>-179.45</v>
      </c>
      <c r="AV15">
        <v>-179.45</v>
      </c>
      <c r="AW15">
        <v>-179.45</v>
      </c>
      <c r="AX15">
        <v>-179.45</v>
      </c>
      <c r="AY15">
        <v>-179.45</v>
      </c>
      <c r="AZ15">
        <v>-180.55</v>
      </c>
      <c r="BA15">
        <v>-180.55</v>
      </c>
      <c r="BB15">
        <v>-180.55</v>
      </c>
      <c r="BC15">
        <v>-180.55</v>
      </c>
      <c r="BD15">
        <v>-180.55</v>
      </c>
      <c r="BE15">
        <v>-180.55</v>
      </c>
      <c r="BF15">
        <v>-180.55</v>
      </c>
      <c r="BG15">
        <v>-180.55</v>
      </c>
      <c r="BH15">
        <v>-180.55</v>
      </c>
      <c r="BI15">
        <v>-180.55</v>
      </c>
      <c r="BJ15">
        <v>-180.55</v>
      </c>
      <c r="BK15">
        <v>-180.55</v>
      </c>
      <c r="BL15">
        <v>-180.55</v>
      </c>
      <c r="BM15">
        <v>-180.55</v>
      </c>
      <c r="BN15">
        <v>-186.7</v>
      </c>
      <c r="BO15">
        <v>-186.7</v>
      </c>
      <c r="BP15">
        <v>-186.7</v>
      </c>
      <c r="BQ15">
        <v>-186.7</v>
      </c>
      <c r="BR15">
        <v>-186.7</v>
      </c>
      <c r="BS15">
        <v>-186.7</v>
      </c>
      <c r="BT15">
        <v>-186.7</v>
      </c>
      <c r="BU15">
        <v>-186.7</v>
      </c>
      <c r="BV15">
        <v>-186.7</v>
      </c>
      <c r="BW15">
        <v>-186.7</v>
      </c>
      <c r="BX15">
        <v>-195.05</v>
      </c>
      <c r="BY15">
        <v>-30.050000000000011</v>
      </c>
      <c r="BZ15">
        <v>-195.05</v>
      </c>
      <c r="CA15">
        <v>-195.05</v>
      </c>
      <c r="CB15">
        <v>-195.05</v>
      </c>
      <c r="CC15">
        <v>-195.05</v>
      </c>
      <c r="CD15">
        <v>-329.78</v>
      </c>
      <c r="CE15">
        <v>-331.49</v>
      </c>
      <c r="CF15">
        <v>270.98</v>
      </c>
      <c r="CG15">
        <v>-144.27000000000001</v>
      </c>
      <c r="CH15">
        <v>-616.87</v>
      </c>
      <c r="CI15">
        <v>-144.27000000000001</v>
      </c>
      <c r="CJ15">
        <v>-144.27000000000001</v>
      </c>
      <c r="CK15">
        <v>-144.27000000000001</v>
      </c>
      <c r="CL15">
        <v>-138.87</v>
      </c>
      <c r="CM15">
        <v>-138.87</v>
      </c>
      <c r="CN15">
        <v>-138.87</v>
      </c>
      <c r="CO15">
        <v>-138.87</v>
      </c>
    </row>
    <row r="16" spans="1:93" x14ac:dyDescent="0.35">
      <c r="A16" s="3" t="s">
        <v>274</v>
      </c>
      <c r="N16">
        <v>-30.07</v>
      </c>
      <c r="O16">
        <v>-10</v>
      </c>
      <c r="Q16">
        <v>-35</v>
      </c>
      <c r="S16">
        <v>-50</v>
      </c>
      <c r="W16">
        <v>250</v>
      </c>
      <c r="AA16">
        <v>-483.32</v>
      </c>
      <c r="AB16">
        <v>-28.75</v>
      </c>
      <c r="AE16">
        <v>-130</v>
      </c>
      <c r="AQ16">
        <v>-67</v>
      </c>
      <c r="BK16">
        <v>-250</v>
      </c>
      <c r="CB16">
        <v>-105.75</v>
      </c>
    </row>
    <row r="17" spans="1:93" x14ac:dyDescent="0.35">
      <c r="A17" s="3" t="s">
        <v>206</v>
      </c>
      <c r="N17">
        <v>-2060</v>
      </c>
      <c r="O17">
        <v>-2060</v>
      </c>
      <c r="P17">
        <v>-2575</v>
      </c>
      <c r="Q17">
        <v>-2060</v>
      </c>
      <c r="R17">
        <v>-2060</v>
      </c>
      <c r="S17">
        <v>-2575</v>
      </c>
      <c r="T17">
        <v>-2060</v>
      </c>
      <c r="U17">
        <v>-2060</v>
      </c>
      <c r="V17">
        <v>-2575</v>
      </c>
      <c r="W17">
        <v>-2060</v>
      </c>
      <c r="X17">
        <v>-2560</v>
      </c>
      <c r="Y17">
        <v>-1515</v>
      </c>
      <c r="Z17">
        <v>-1000</v>
      </c>
      <c r="AA17">
        <v>-1000</v>
      </c>
      <c r="AB17">
        <v>-1000</v>
      </c>
      <c r="AC17">
        <v>-1500</v>
      </c>
      <c r="AD17">
        <v>-1000</v>
      </c>
      <c r="AE17">
        <v>-1000</v>
      </c>
      <c r="AF17">
        <v>-1000</v>
      </c>
      <c r="AG17">
        <v>-1000</v>
      </c>
      <c r="AH17">
        <v>-1000</v>
      </c>
      <c r="AI17">
        <v>-1500</v>
      </c>
      <c r="AJ17">
        <v>-1000</v>
      </c>
      <c r="AK17">
        <v>-1000</v>
      </c>
      <c r="AL17">
        <v>-1000</v>
      </c>
      <c r="AM17">
        <v>-1000</v>
      </c>
      <c r="AN17">
        <v>-1000</v>
      </c>
      <c r="AO17">
        <v>-1500</v>
      </c>
      <c r="AP17">
        <v>-1000</v>
      </c>
      <c r="AQ17">
        <v>-1000</v>
      </c>
      <c r="AR17">
        <v>-1000</v>
      </c>
      <c r="AS17">
        <v>-1000</v>
      </c>
      <c r="AT17">
        <v>-1000</v>
      </c>
      <c r="AU17">
        <v>-1500</v>
      </c>
      <c r="BH17">
        <v>-500</v>
      </c>
      <c r="BZ17">
        <v>-250</v>
      </c>
      <c r="CB17">
        <v>-500</v>
      </c>
    </row>
    <row r="18" spans="1:93" x14ac:dyDescent="0.35">
      <c r="A18" s="3" t="s">
        <v>2</v>
      </c>
      <c r="M18">
        <v>3381.7</v>
      </c>
      <c r="N18">
        <v>4674.7999999999993</v>
      </c>
      <c r="O18">
        <v>5525.24</v>
      </c>
      <c r="P18">
        <v>4311.7700000000004</v>
      </c>
      <c r="Q18">
        <v>5211.2</v>
      </c>
      <c r="R18">
        <v>4292.8599999999997</v>
      </c>
      <c r="S18">
        <v>4130.95</v>
      </c>
      <c r="T18">
        <v>3546.75</v>
      </c>
      <c r="U18">
        <v>4555.17</v>
      </c>
      <c r="V18">
        <v>4795.42</v>
      </c>
      <c r="W18">
        <v>3546.75</v>
      </c>
      <c r="X18">
        <v>6509.67</v>
      </c>
      <c r="Y18">
        <v>4611.99</v>
      </c>
      <c r="Z18">
        <v>6031.17</v>
      </c>
      <c r="AA18">
        <v>4729.16</v>
      </c>
      <c r="AB18">
        <v>4597.99</v>
      </c>
      <c r="AC18">
        <v>5719.02</v>
      </c>
      <c r="AD18">
        <v>4106.9799999999996</v>
      </c>
      <c r="AE18">
        <v>4106.9799999999996</v>
      </c>
      <c r="AF18">
        <v>3805.8900000000003</v>
      </c>
      <c r="AG18">
        <v>4106.9799999999996</v>
      </c>
      <c r="AH18">
        <v>4106.9799999999996</v>
      </c>
      <c r="AI18">
        <v>6160.4699999999993</v>
      </c>
      <c r="AJ18">
        <v>4106.9799999999996</v>
      </c>
      <c r="AK18">
        <v>4106.9799999999996</v>
      </c>
      <c r="AL18">
        <v>4106.9799999999996</v>
      </c>
      <c r="AM18">
        <v>4106.9799999999996</v>
      </c>
      <c r="AN18">
        <v>4164.5599999999995</v>
      </c>
      <c r="AO18">
        <v>6304.41</v>
      </c>
      <c r="AP18">
        <v>4370.9399999999996</v>
      </c>
      <c r="AQ18">
        <v>4486.5200000000004</v>
      </c>
      <c r="AR18">
        <v>4497.6000000000004</v>
      </c>
      <c r="AS18">
        <v>4366.66</v>
      </c>
      <c r="AT18">
        <v>4286.9399999999996</v>
      </c>
      <c r="AU18">
        <v>6430.41</v>
      </c>
      <c r="AV18">
        <v>4319.82</v>
      </c>
      <c r="AW18">
        <v>4327.4799999999996</v>
      </c>
      <c r="AX18">
        <v>4490.26</v>
      </c>
      <c r="AY18">
        <v>4953.4400000000005</v>
      </c>
      <c r="AZ18">
        <v>6675.77</v>
      </c>
      <c r="BA18">
        <v>4426.96</v>
      </c>
      <c r="BB18">
        <v>4713.96</v>
      </c>
      <c r="BC18">
        <v>4497.13</v>
      </c>
      <c r="BD18">
        <v>4497.1100000000006</v>
      </c>
      <c r="BE18">
        <v>5693.92</v>
      </c>
      <c r="BF18">
        <v>7612.8099999999995</v>
      </c>
      <c r="BG18">
        <v>4508.2299999999996</v>
      </c>
      <c r="BH18">
        <v>4794.3799999999992</v>
      </c>
      <c r="BI18">
        <v>4651.3</v>
      </c>
      <c r="BJ18">
        <v>4567.1100000000006</v>
      </c>
      <c r="BK18">
        <v>4651.29</v>
      </c>
      <c r="BL18">
        <v>7432.23</v>
      </c>
      <c r="BM18">
        <v>4922.51</v>
      </c>
      <c r="BN18">
        <v>4832</v>
      </c>
      <c r="BO18">
        <v>4844.32</v>
      </c>
      <c r="BP18">
        <v>4844.32</v>
      </c>
      <c r="BQ18">
        <v>5443.27</v>
      </c>
      <c r="BR18">
        <v>9798.52</v>
      </c>
      <c r="BS18">
        <v>6565.68</v>
      </c>
      <c r="BT18">
        <v>5265.68</v>
      </c>
      <c r="BU18">
        <v>5465.68</v>
      </c>
      <c r="BV18">
        <v>4697.67</v>
      </c>
      <c r="BW18">
        <v>8046.51</v>
      </c>
      <c r="BX18">
        <v>4697.68</v>
      </c>
      <c r="BY18">
        <v>4697.67</v>
      </c>
      <c r="BZ18">
        <v>6679.09</v>
      </c>
      <c r="CA18">
        <v>4697.68</v>
      </c>
      <c r="CB18">
        <v>4697.67</v>
      </c>
      <c r="CC18">
        <v>7046.52</v>
      </c>
      <c r="CD18">
        <v>5803.83</v>
      </c>
      <c r="CE18">
        <v>5199.9699999999993</v>
      </c>
      <c r="CF18">
        <v>5199.9799999999996</v>
      </c>
      <c r="CG18">
        <v>5199.9799999999996</v>
      </c>
      <c r="CH18">
        <v>5343.98</v>
      </c>
      <c r="CI18">
        <v>8016</v>
      </c>
      <c r="CJ18">
        <v>5688.04</v>
      </c>
      <c r="CK18">
        <v>5730.54</v>
      </c>
      <c r="CL18">
        <v>5730.5400000000009</v>
      </c>
      <c r="CM18">
        <v>5730.54</v>
      </c>
      <c r="CN18">
        <v>8595.81</v>
      </c>
      <c r="CO18">
        <v>2865.27</v>
      </c>
    </row>
    <row r="19" spans="1:93" x14ac:dyDescent="0.35">
      <c r="A19" s="3" t="s">
        <v>278</v>
      </c>
      <c r="Q19">
        <v>-4.3</v>
      </c>
      <c r="W19">
        <v>-919.79</v>
      </c>
      <c r="AE19">
        <v>-2.99</v>
      </c>
      <c r="AJ19">
        <v>-514.17000000000007</v>
      </c>
      <c r="AP19">
        <v>859.54000000000019</v>
      </c>
      <c r="AQ19">
        <v>-195.78</v>
      </c>
      <c r="AR19">
        <v>-188.83</v>
      </c>
      <c r="AS19">
        <v>3412.26</v>
      </c>
      <c r="AX19">
        <v>326.43</v>
      </c>
      <c r="BI19">
        <v>-745.86</v>
      </c>
      <c r="BJ19">
        <v>-4</v>
      </c>
      <c r="BK19">
        <v>-1573.64</v>
      </c>
      <c r="BL19">
        <v>-770.92</v>
      </c>
      <c r="BN19">
        <v>2635.41</v>
      </c>
      <c r="BS19">
        <v>-567.41999999999996</v>
      </c>
      <c r="BT19">
        <v>-13</v>
      </c>
      <c r="BU19">
        <v>-362.91</v>
      </c>
      <c r="BW19">
        <v>-342.5</v>
      </c>
      <c r="BY19">
        <v>-129.32</v>
      </c>
      <c r="BZ19">
        <v>-325</v>
      </c>
      <c r="CE19">
        <v>-8</v>
      </c>
      <c r="CF19">
        <v>-53.4</v>
      </c>
      <c r="CH19">
        <v>-1.5</v>
      </c>
      <c r="CI19">
        <v>-375.65</v>
      </c>
      <c r="CK19">
        <v>-8.5</v>
      </c>
      <c r="CL19">
        <v>-4.5</v>
      </c>
    </row>
    <row r="20" spans="1:93" x14ac:dyDescent="0.35">
      <c r="A20" s="3" t="s">
        <v>285</v>
      </c>
      <c r="AU20">
        <v>-23.25</v>
      </c>
    </row>
    <row r="21" spans="1:93" x14ac:dyDescent="0.35">
      <c r="A21" s="3" t="s">
        <v>272</v>
      </c>
      <c r="N21">
        <v>-289.93</v>
      </c>
      <c r="O21">
        <v>-123.3</v>
      </c>
      <c r="P21">
        <v>-31.2</v>
      </c>
      <c r="Q21">
        <v>-76.650000000000006</v>
      </c>
      <c r="R21">
        <v>-65.25</v>
      </c>
      <c r="S21">
        <v>-296.45</v>
      </c>
      <c r="T21">
        <v>-45.36</v>
      </c>
      <c r="U21">
        <v>-178.98000000000002</v>
      </c>
      <c r="W21">
        <v>-43.9</v>
      </c>
      <c r="X21">
        <v>-44.99</v>
      </c>
      <c r="Z21">
        <v>-76.95</v>
      </c>
      <c r="AA21">
        <v>-282.94</v>
      </c>
      <c r="AB21">
        <v>269.99</v>
      </c>
      <c r="AC21">
        <v>-635.36</v>
      </c>
      <c r="AE21">
        <v>-510.98</v>
      </c>
      <c r="AF21">
        <v>-274.95</v>
      </c>
      <c r="AG21">
        <v>-51.989999999999995</v>
      </c>
      <c r="AI21">
        <v>-67</v>
      </c>
      <c r="AJ21">
        <v>-13.12</v>
      </c>
      <c r="AK21">
        <v>-15</v>
      </c>
      <c r="AO21">
        <v>-139</v>
      </c>
      <c r="AQ21">
        <v>-1687.1000000000001</v>
      </c>
      <c r="AR21">
        <v>-902.49</v>
      </c>
      <c r="AT21">
        <v>-3.2</v>
      </c>
      <c r="AU21">
        <v>-815.94</v>
      </c>
      <c r="AW21">
        <v>-5.95</v>
      </c>
      <c r="AY21">
        <v>-113.93</v>
      </c>
      <c r="AZ21">
        <v>-45.7</v>
      </c>
      <c r="BB21">
        <v>-111.80000000000001</v>
      </c>
      <c r="BC21">
        <v>-307.96999999999997</v>
      </c>
      <c r="BE21">
        <v>-60.1</v>
      </c>
      <c r="BF21">
        <v>-526.48</v>
      </c>
      <c r="BG21">
        <v>-35</v>
      </c>
      <c r="BH21">
        <v>-119.6</v>
      </c>
      <c r="BI21">
        <v>-63.39</v>
      </c>
      <c r="BK21">
        <v>-417</v>
      </c>
      <c r="BL21">
        <v>-169</v>
      </c>
      <c r="BN21">
        <v>-66.38</v>
      </c>
      <c r="BO21">
        <v>-7.82</v>
      </c>
      <c r="BP21">
        <v>-492.07000000000005</v>
      </c>
      <c r="BQ21">
        <v>-26.02</v>
      </c>
      <c r="BS21">
        <v>-134.97999999999999</v>
      </c>
      <c r="BY21">
        <v>-290.04000000000002</v>
      </c>
      <c r="BZ21">
        <v>-418</v>
      </c>
      <c r="CA21">
        <v>-410.92999999999995</v>
      </c>
      <c r="CB21">
        <v>-60.160000000000004</v>
      </c>
      <c r="CC21">
        <v>-14.99</v>
      </c>
      <c r="CD21">
        <v>-78.5</v>
      </c>
      <c r="CE21">
        <v>-216.78000000000003</v>
      </c>
      <c r="CF21">
        <v>-199.92</v>
      </c>
      <c r="CH21">
        <v>-212.2</v>
      </c>
      <c r="CJ21">
        <v>-756.64</v>
      </c>
      <c r="CL21">
        <v>-202.74</v>
      </c>
      <c r="CM21">
        <v>-398.03</v>
      </c>
      <c r="CN21">
        <v>-1073.92</v>
      </c>
      <c r="CO21">
        <v>735.3</v>
      </c>
    </row>
    <row r="22" spans="1:93" x14ac:dyDescent="0.35">
      <c r="A22" s="3" t="s">
        <v>8</v>
      </c>
      <c r="N22">
        <v>-57.120000000000005</v>
      </c>
      <c r="O22">
        <v>-174.41</v>
      </c>
      <c r="P22">
        <v>-77.080000000000013</v>
      </c>
      <c r="Q22">
        <v>-40.32</v>
      </c>
      <c r="R22">
        <v>-15.54</v>
      </c>
      <c r="S22">
        <v>-48.620000000000005</v>
      </c>
      <c r="T22">
        <v>-30.979999999999997</v>
      </c>
      <c r="V22">
        <v>-29.3</v>
      </c>
      <c r="W22">
        <v>-72.45</v>
      </c>
      <c r="X22">
        <v>-36.65</v>
      </c>
      <c r="Y22">
        <v>-103.33000000000001</v>
      </c>
      <c r="Z22">
        <v>-73.5</v>
      </c>
      <c r="AA22">
        <v>-178.19</v>
      </c>
      <c r="AB22">
        <v>-44</v>
      </c>
      <c r="AD22">
        <v>-91.67</v>
      </c>
      <c r="AE22">
        <v>-26.560000000000002</v>
      </c>
      <c r="AF22">
        <v>-87.110000000000014</v>
      </c>
      <c r="AG22">
        <v>-61.64</v>
      </c>
      <c r="AH22">
        <v>-77.91</v>
      </c>
      <c r="AK22">
        <v>-35.39</v>
      </c>
      <c r="AL22">
        <v>-141.65</v>
      </c>
      <c r="AO22">
        <v>-39.69</v>
      </c>
      <c r="AP22">
        <v>-50.4</v>
      </c>
      <c r="AR22">
        <v>-46.519999999999996</v>
      </c>
      <c r="AU22">
        <v>-32.24</v>
      </c>
      <c r="AW22">
        <v>-14.39</v>
      </c>
      <c r="BB22">
        <v>-60.8</v>
      </c>
      <c r="BE22">
        <v>-49.56</v>
      </c>
      <c r="BF22">
        <v>-1074.97</v>
      </c>
      <c r="BG22">
        <v>-128.75</v>
      </c>
      <c r="BH22">
        <v>-26.25</v>
      </c>
      <c r="BI22">
        <v>-11.65</v>
      </c>
      <c r="BK22">
        <v>-12.18</v>
      </c>
      <c r="BL22">
        <v>-68.680000000000007</v>
      </c>
      <c r="BO22">
        <v>-9.4499999999999993</v>
      </c>
      <c r="BR22">
        <v>-37.49</v>
      </c>
      <c r="BX22">
        <v>-53.17</v>
      </c>
      <c r="BY22">
        <v>-105.83</v>
      </c>
      <c r="CA22">
        <v>-30.58</v>
      </c>
      <c r="CB22">
        <v>-25.64</v>
      </c>
      <c r="CC22">
        <v>-1329.87</v>
      </c>
      <c r="CD22">
        <v>-88.39</v>
      </c>
      <c r="CH22">
        <v>-38.14</v>
      </c>
      <c r="CJ22">
        <v>-94.5</v>
      </c>
    </row>
    <row r="23" spans="1:93" x14ac:dyDescent="0.35">
      <c r="A23" s="3" t="s">
        <v>281</v>
      </c>
      <c r="N23">
        <v>-107.02</v>
      </c>
      <c r="O23">
        <v>-134.1</v>
      </c>
      <c r="P23">
        <v>-50.99</v>
      </c>
      <c r="S23">
        <v>-82.84</v>
      </c>
      <c r="T23">
        <v>-109.53999999999999</v>
      </c>
      <c r="U23">
        <v>-41.489999999999995</v>
      </c>
      <c r="V23">
        <v>-129.26</v>
      </c>
      <c r="W23">
        <v>-607.11</v>
      </c>
      <c r="X23">
        <v>-154.12</v>
      </c>
      <c r="Y23">
        <v>-260.22000000000003</v>
      </c>
      <c r="Z23">
        <v>-52.92</v>
      </c>
      <c r="AA23">
        <v>-32</v>
      </c>
      <c r="AB23">
        <v>-47</v>
      </c>
      <c r="AC23">
        <v>-36.870000000000005</v>
      </c>
      <c r="AE23">
        <v>-32.9</v>
      </c>
      <c r="AF23">
        <v>-39.69</v>
      </c>
      <c r="AG23">
        <v>-71.319999999999993</v>
      </c>
      <c r="AH23">
        <v>-17.399999999999999</v>
      </c>
      <c r="AI23">
        <v>-707.13000000000011</v>
      </c>
      <c r="AK23">
        <v>-58.04</v>
      </c>
      <c r="AM23">
        <v>-18.41</v>
      </c>
      <c r="AN23">
        <v>-29.14</v>
      </c>
      <c r="AO23">
        <v>-95.87</v>
      </c>
      <c r="AP23">
        <v>-20.68</v>
      </c>
      <c r="AQ23">
        <v>-191.87</v>
      </c>
      <c r="AR23">
        <v>-24</v>
      </c>
      <c r="AS23">
        <v>-39.989999999999995</v>
      </c>
      <c r="AT23">
        <v>-3</v>
      </c>
      <c r="AU23">
        <v>-56.09</v>
      </c>
      <c r="AV23">
        <v>-82.31</v>
      </c>
      <c r="AW23">
        <v>-616.42999999999995</v>
      </c>
      <c r="AX23">
        <v>-649.44999999999993</v>
      </c>
      <c r="AY23">
        <v>-4.5999999999999996</v>
      </c>
      <c r="BA23">
        <v>-75.7</v>
      </c>
      <c r="BB23">
        <v>-162.5</v>
      </c>
      <c r="BC23">
        <v>-41.089999999999996</v>
      </c>
      <c r="BE23">
        <v>-20.170000000000002</v>
      </c>
      <c r="BF23">
        <v>-111.05</v>
      </c>
      <c r="BG23">
        <v>-3.5</v>
      </c>
      <c r="BH23">
        <v>-140.85</v>
      </c>
      <c r="BI23">
        <v>-102.08</v>
      </c>
      <c r="BJ23">
        <v>-8.5</v>
      </c>
      <c r="BK23">
        <v>-1661.28</v>
      </c>
      <c r="BM23">
        <v>-60.05</v>
      </c>
      <c r="BN23">
        <v>-99.39</v>
      </c>
      <c r="BO23">
        <v>-57.2</v>
      </c>
      <c r="BP23">
        <v>-42.63</v>
      </c>
      <c r="BQ23">
        <v>-380.11</v>
      </c>
      <c r="BR23">
        <v>-38.07</v>
      </c>
      <c r="BS23">
        <v>-41.56</v>
      </c>
      <c r="BT23">
        <v>-51.62</v>
      </c>
      <c r="BU23">
        <v>-50.19</v>
      </c>
      <c r="BV23">
        <v>-22.759999999999998</v>
      </c>
      <c r="BW23">
        <v>-803.73</v>
      </c>
      <c r="BX23">
        <v>-100</v>
      </c>
      <c r="BY23">
        <v>-105.99000000000001</v>
      </c>
      <c r="CA23">
        <v>-84.740000000000009</v>
      </c>
      <c r="CB23">
        <v>-109.38</v>
      </c>
      <c r="CC23">
        <v>-70.039999999999992</v>
      </c>
      <c r="CD23">
        <v>-75.990000000000009</v>
      </c>
      <c r="CE23">
        <v>-1216.3400000000001</v>
      </c>
      <c r="CF23">
        <v>-120.57</v>
      </c>
      <c r="CG23">
        <v>-67.81</v>
      </c>
      <c r="CI23">
        <v>-952.57999999999993</v>
      </c>
      <c r="CJ23">
        <v>-902.41000000000008</v>
      </c>
      <c r="CK23">
        <v>-32.17</v>
      </c>
      <c r="CL23">
        <v>-50.19</v>
      </c>
      <c r="CM23">
        <v>-97.75</v>
      </c>
      <c r="CN23">
        <v>-10</v>
      </c>
      <c r="CO23">
        <v>-57.02</v>
      </c>
    </row>
    <row r="24" spans="1:93" x14ac:dyDescent="0.35">
      <c r="A24" s="3" t="s">
        <v>280</v>
      </c>
      <c r="N24">
        <v>-200</v>
      </c>
      <c r="O24">
        <v>-100</v>
      </c>
      <c r="P24">
        <v>-150</v>
      </c>
      <c r="Q24">
        <v>-100</v>
      </c>
      <c r="R24">
        <v>-158.80000000000001</v>
      </c>
      <c r="S24">
        <v>-120</v>
      </c>
      <c r="T24">
        <v>-158.80000000000001</v>
      </c>
      <c r="U24">
        <v>-100</v>
      </c>
      <c r="V24">
        <v>-150</v>
      </c>
      <c r="W24">
        <v>-150</v>
      </c>
      <c r="X24">
        <v>-100</v>
      </c>
      <c r="Y24">
        <v>-229.5</v>
      </c>
      <c r="Z24">
        <v>-245.35000000000002</v>
      </c>
      <c r="AA24">
        <v>-200</v>
      </c>
      <c r="AB24">
        <v>-160</v>
      </c>
      <c r="AC24">
        <v>-213.87</v>
      </c>
      <c r="AD24">
        <v>-200</v>
      </c>
      <c r="AE24">
        <v>-120</v>
      </c>
      <c r="AF24">
        <v>-160</v>
      </c>
      <c r="AG24">
        <v>-225.15</v>
      </c>
      <c r="AH24">
        <v>-139.75</v>
      </c>
      <c r="AR24">
        <v>-80</v>
      </c>
      <c r="AS24">
        <v>-120</v>
      </c>
      <c r="AT24">
        <v>-80</v>
      </c>
      <c r="AU24">
        <v>-120</v>
      </c>
      <c r="AV24">
        <v>-80</v>
      </c>
      <c r="AW24">
        <v>-40</v>
      </c>
      <c r="BA24">
        <v>-7.76</v>
      </c>
      <c r="BF24">
        <v>-63.970000000000006</v>
      </c>
      <c r="BG24">
        <v>-23.310000000000002</v>
      </c>
      <c r="BH24">
        <v>-43.27</v>
      </c>
      <c r="BI24">
        <v>-55.190000000000005</v>
      </c>
      <c r="BJ24">
        <v>-28.950000000000003</v>
      </c>
      <c r="BK24">
        <v>-83.600000000000009</v>
      </c>
      <c r="BL24">
        <v>-77.2</v>
      </c>
      <c r="BM24">
        <v>-69.78</v>
      </c>
      <c r="BN24">
        <v>-54.26</v>
      </c>
      <c r="BO24">
        <v>-46.199999999999996</v>
      </c>
      <c r="BP24">
        <v>-48.25</v>
      </c>
      <c r="BQ24">
        <v>-130.41000000000003</v>
      </c>
      <c r="BR24">
        <v>-103.93</v>
      </c>
      <c r="BS24">
        <v>-80</v>
      </c>
      <c r="BT24">
        <v>-100</v>
      </c>
      <c r="BU24">
        <v>-43.93</v>
      </c>
      <c r="BV24">
        <v>-60</v>
      </c>
      <c r="BW24">
        <v>-83.93</v>
      </c>
      <c r="BX24">
        <v>-80</v>
      </c>
      <c r="BY24">
        <v>-80</v>
      </c>
      <c r="BZ24">
        <v>-100.6</v>
      </c>
      <c r="CA24">
        <v>-40</v>
      </c>
      <c r="CB24">
        <v>-80</v>
      </c>
      <c r="CC24">
        <v>-80</v>
      </c>
      <c r="CD24">
        <v>-40</v>
      </c>
      <c r="CE24">
        <v>-80</v>
      </c>
      <c r="CF24">
        <v>-80</v>
      </c>
      <c r="CG24">
        <v>-80</v>
      </c>
      <c r="CH24">
        <v>-40</v>
      </c>
      <c r="CI24">
        <v>-363.31</v>
      </c>
      <c r="CJ24">
        <v>-40</v>
      </c>
      <c r="CK24">
        <v>-80</v>
      </c>
      <c r="CL24">
        <v>-40</v>
      </c>
      <c r="CM24">
        <v>-40</v>
      </c>
      <c r="CN24">
        <v>-40</v>
      </c>
      <c r="CO24">
        <v>-40</v>
      </c>
    </row>
    <row r="25" spans="1:93" x14ac:dyDescent="0.35">
      <c r="A25" s="3" t="s">
        <v>204</v>
      </c>
      <c r="Q25">
        <v>-114.44</v>
      </c>
      <c r="S25">
        <v>-159.46</v>
      </c>
      <c r="X25">
        <v>-232.61</v>
      </c>
      <c r="Z25">
        <v>-215.19</v>
      </c>
      <c r="AA25">
        <v>-171.1</v>
      </c>
      <c r="AE25">
        <v>-179.79</v>
      </c>
      <c r="AF25">
        <v>-180.11</v>
      </c>
      <c r="AG25">
        <v>-186.05</v>
      </c>
      <c r="AH25">
        <v>-172.55</v>
      </c>
      <c r="AI25">
        <v>-185.33</v>
      </c>
      <c r="AJ25">
        <v>-199.41</v>
      </c>
      <c r="AK25">
        <v>-181.02</v>
      </c>
      <c r="AL25">
        <v>-160.46</v>
      </c>
      <c r="AM25">
        <v>-337.7</v>
      </c>
      <c r="AN25">
        <v>-191.63</v>
      </c>
      <c r="AO25">
        <v>-186.15</v>
      </c>
      <c r="AP25">
        <v>-174.2</v>
      </c>
      <c r="AQ25">
        <v>-203.39</v>
      </c>
      <c r="AR25">
        <v>-138.73000000000002</v>
      </c>
      <c r="AS25">
        <v>-138.28</v>
      </c>
      <c r="AT25">
        <v>-348.19</v>
      </c>
      <c r="AV25">
        <v>-187.88</v>
      </c>
      <c r="AW25">
        <v>-201.58</v>
      </c>
      <c r="AX25">
        <v>-61.85</v>
      </c>
      <c r="AY25">
        <v>-86.6</v>
      </c>
      <c r="AZ25">
        <v>-641.85</v>
      </c>
      <c r="BA25">
        <v>-243.67</v>
      </c>
      <c r="BB25">
        <v>-128.16</v>
      </c>
      <c r="BC25">
        <v>-355.61</v>
      </c>
      <c r="BD25">
        <v>-82.17</v>
      </c>
      <c r="BE25">
        <v>-77.540000000000006</v>
      </c>
      <c r="BF25">
        <v>-245.11</v>
      </c>
      <c r="BH25">
        <v>-90</v>
      </c>
      <c r="BI25">
        <v>-176</v>
      </c>
      <c r="BK25">
        <v>-55.53</v>
      </c>
      <c r="CK25">
        <v>-649.16999999999996</v>
      </c>
      <c r="CM25">
        <v>-272.64</v>
      </c>
      <c r="CN25">
        <v>-364.17</v>
      </c>
    </row>
    <row r="26" spans="1:93" x14ac:dyDescent="0.35">
      <c r="A26" s="3" t="s">
        <v>282</v>
      </c>
      <c r="N26">
        <v>-690</v>
      </c>
      <c r="O26">
        <v>-14</v>
      </c>
      <c r="P26">
        <v>-455</v>
      </c>
      <c r="Q26">
        <v>-274</v>
      </c>
      <c r="R26">
        <v>-260</v>
      </c>
      <c r="S26">
        <v>-350.8</v>
      </c>
      <c r="T26">
        <v>-410.2</v>
      </c>
      <c r="U26">
        <v>-350.8</v>
      </c>
      <c r="V26">
        <v>-370.8</v>
      </c>
      <c r="W26">
        <v>-90.8</v>
      </c>
      <c r="X26">
        <v>-122.80000000000001</v>
      </c>
      <c r="Y26">
        <v>-90.8</v>
      </c>
      <c r="Z26">
        <v>-90.8</v>
      </c>
      <c r="AA26">
        <v>-151.19999999999999</v>
      </c>
      <c r="AC26">
        <v>-15</v>
      </c>
      <c r="AE26">
        <v>-60</v>
      </c>
      <c r="BK26">
        <v>-40.799999999999997</v>
      </c>
      <c r="BP26">
        <v>-20</v>
      </c>
      <c r="BS26">
        <v>-25</v>
      </c>
      <c r="CB26">
        <v>-28.5</v>
      </c>
      <c r="CE26">
        <v>-21</v>
      </c>
      <c r="CH26">
        <v>-76.98</v>
      </c>
      <c r="CI26">
        <v>-84.98</v>
      </c>
      <c r="CJ26">
        <v>-30</v>
      </c>
    </row>
    <row r="27" spans="1:93" x14ac:dyDescent="0.35">
      <c r="A27" s="3" t="s">
        <v>283</v>
      </c>
      <c r="N27">
        <v>-160.68</v>
      </c>
      <c r="O27">
        <v>-163</v>
      </c>
      <c r="P27">
        <v>-133</v>
      </c>
      <c r="Q27">
        <v>-133</v>
      </c>
      <c r="R27">
        <v>-133</v>
      </c>
      <c r="S27">
        <v>-133</v>
      </c>
      <c r="T27">
        <v>-133</v>
      </c>
      <c r="U27">
        <v>-133</v>
      </c>
      <c r="V27">
        <v>-133.5</v>
      </c>
      <c r="W27">
        <v>-133.5</v>
      </c>
      <c r="X27">
        <v>-134</v>
      </c>
      <c r="Y27">
        <v>-74</v>
      </c>
      <c r="Z27">
        <v>-114.5</v>
      </c>
      <c r="AA27">
        <v>-93</v>
      </c>
      <c r="AB27">
        <v>-93</v>
      </c>
      <c r="AC27">
        <v>-93</v>
      </c>
      <c r="AD27">
        <v>-93</v>
      </c>
      <c r="AE27">
        <v>-93.5</v>
      </c>
      <c r="AF27">
        <v>-93</v>
      </c>
      <c r="AG27">
        <v>-101.43</v>
      </c>
      <c r="AH27">
        <v>-130.1</v>
      </c>
      <c r="AI27">
        <v>-95.5</v>
      </c>
      <c r="AJ27">
        <v>-93</v>
      </c>
      <c r="AK27">
        <v>-93</v>
      </c>
      <c r="AL27">
        <v>-67.259999999999991</v>
      </c>
      <c r="AM27">
        <v>-79.5</v>
      </c>
      <c r="AN27">
        <v>-310</v>
      </c>
      <c r="AO27">
        <v>-79.5</v>
      </c>
      <c r="AP27">
        <v>-79</v>
      </c>
      <c r="AQ27">
        <v>-66.28</v>
      </c>
      <c r="AR27">
        <v>-98.8</v>
      </c>
      <c r="AS27">
        <v>-79.2</v>
      </c>
      <c r="AT27">
        <v>-79</v>
      </c>
      <c r="AU27">
        <v>-79</v>
      </c>
      <c r="AV27">
        <v>-79</v>
      </c>
      <c r="AW27">
        <v>-89</v>
      </c>
      <c r="AX27">
        <v>-132.4</v>
      </c>
      <c r="AY27">
        <v>-114.50999999999999</v>
      </c>
      <c r="AZ27">
        <v>-114.39</v>
      </c>
      <c r="BA27">
        <v>-55.39</v>
      </c>
      <c r="BB27">
        <v>-65.39</v>
      </c>
      <c r="BC27">
        <v>-65</v>
      </c>
      <c r="BD27">
        <v>-55</v>
      </c>
      <c r="BE27">
        <v>-55</v>
      </c>
      <c r="BF27">
        <v>-331</v>
      </c>
      <c r="BG27">
        <v>-124</v>
      </c>
      <c r="BH27">
        <v>-124</v>
      </c>
      <c r="BI27">
        <v>-124</v>
      </c>
      <c r="BJ27">
        <v>-295.66999999999996</v>
      </c>
      <c r="BK27">
        <v>-69</v>
      </c>
      <c r="BL27">
        <v>-69</v>
      </c>
      <c r="BM27">
        <v>-69</v>
      </c>
      <c r="BN27">
        <v>-69</v>
      </c>
      <c r="BO27">
        <v>-69</v>
      </c>
      <c r="BP27">
        <v>-69</v>
      </c>
      <c r="BQ27">
        <v>-108.5</v>
      </c>
      <c r="BR27">
        <v>-69</v>
      </c>
      <c r="BS27">
        <v>-69</v>
      </c>
      <c r="BT27">
        <v>-69</v>
      </c>
      <c r="BU27">
        <v>-69</v>
      </c>
      <c r="BV27">
        <v>-69</v>
      </c>
      <c r="BX27">
        <v>-138</v>
      </c>
      <c r="BY27">
        <v>-108.96</v>
      </c>
      <c r="BZ27">
        <v>-108.5</v>
      </c>
      <c r="CA27">
        <v>-108.5</v>
      </c>
      <c r="CB27">
        <v>-108.5</v>
      </c>
      <c r="CC27">
        <v>-112</v>
      </c>
      <c r="CD27">
        <v>-112</v>
      </c>
      <c r="CE27">
        <v>-58.36</v>
      </c>
      <c r="CF27">
        <v>-131.5</v>
      </c>
      <c r="CG27">
        <v>-113.04</v>
      </c>
      <c r="CH27">
        <v>-123.5</v>
      </c>
      <c r="CI27">
        <v>-120</v>
      </c>
      <c r="CJ27">
        <v>-120</v>
      </c>
      <c r="CK27">
        <v>-120</v>
      </c>
      <c r="CL27">
        <v>-120</v>
      </c>
      <c r="CM27">
        <v>-120</v>
      </c>
      <c r="CN27">
        <v>-120</v>
      </c>
      <c r="CO27">
        <v>-89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D6A3-9F34-492E-BF49-5A898F4FE591}">
  <dimension ref="A1:J21"/>
  <sheetViews>
    <sheetView tabSelected="1" workbookViewId="0">
      <selection activeCell="I5" sqref="I5"/>
    </sheetView>
  </sheetViews>
  <sheetFormatPr defaultRowHeight="14.5" x14ac:dyDescent="0.35"/>
  <cols>
    <col min="3" max="3" width="10.08984375" bestFit="1" customWidth="1"/>
    <col min="5" max="5" width="15.7265625" bestFit="1" customWidth="1"/>
    <col min="6" max="6" width="16" customWidth="1"/>
    <col min="7" max="7" width="10.26953125" customWidth="1"/>
    <col min="8" max="8" width="25.81640625" customWidth="1"/>
    <col min="9" max="9" width="16.7265625" customWidth="1"/>
    <col min="10" max="10" width="17.90625" customWidth="1"/>
  </cols>
  <sheetData>
    <row r="1" spans="1:10" x14ac:dyDescent="0.35">
      <c r="A1" t="s">
        <v>286</v>
      </c>
      <c r="B1" t="s">
        <v>287</v>
      </c>
      <c r="C1" t="s">
        <v>0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 spans="1:10" x14ac:dyDescent="0.35">
      <c r="A2" t="s">
        <v>311</v>
      </c>
      <c r="B2" t="s">
        <v>295</v>
      </c>
      <c r="C2" t="s">
        <v>310</v>
      </c>
      <c r="D2" s="30">
        <v>0.5</v>
      </c>
      <c r="E2" t="s">
        <v>304</v>
      </c>
      <c r="F2" t="s">
        <v>297</v>
      </c>
      <c r="G2" t="s">
        <v>297</v>
      </c>
      <c r="H2">
        <v>118</v>
      </c>
      <c r="I2" s="30">
        <v>1.4583333333333334E-3</v>
      </c>
      <c r="J2">
        <v>4</v>
      </c>
    </row>
    <row r="3" spans="1:10" x14ac:dyDescent="0.35">
      <c r="A3" t="s">
        <v>312</v>
      </c>
      <c r="B3" t="s">
        <v>302</v>
      </c>
      <c r="C3" t="s">
        <v>310</v>
      </c>
      <c r="D3" s="30">
        <v>0.5</v>
      </c>
      <c r="E3" t="s">
        <v>303</v>
      </c>
      <c r="F3" t="s">
        <v>297</v>
      </c>
      <c r="G3" t="s">
        <v>297</v>
      </c>
      <c r="H3">
        <v>52</v>
      </c>
      <c r="I3" s="30">
        <v>4.8148148148148152E-3</v>
      </c>
      <c r="J3">
        <v>4</v>
      </c>
    </row>
    <row r="4" spans="1:10" x14ac:dyDescent="0.35">
      <c r="A4" t="s">
        <v>313</v>
      </c>
      <c r="B4" t="s">
        <v>301</v>
      </c>
      <c r="C4" t="s">
        <v>310</v>
      </c>
      <c r="D4" s="30">
        <v>0.51400462962962967</v>
      </c>
      <c r="E4" t="s">
        <v>304</v>
      </c>
      <c r="F4" t="s">
        <v>297</v>
      </c>
      <c r="G4" t="s">
        <v>297</v>
      </c>
      <c r="H4">
        <v>55</v>
      </c>
      <c r="I4" s="30">
        <v>3.2870370370370371E-3</v>
      </c>
      <c r="J4">
        <v>3</v>
      </c>
    </row>
    <row r="5" spans="1:10" x14ac:dyDescent="0.35">
      <c r="A5" t="s">
        <v>314</v>
      </c>
      <c r="B5" t="s">
        <v>309</v>
      </c>
      <c r="C5" t="s">
        <v>310</v>
      </c>
      <c r="D5" s="30">
        <v>0.51400462962962967</v>
      </c>
      <c r="E5" t="s">
        <v>296</v>
      </c>
      <c r="F5" t="s">
        <v>297</v>
      </c>
      <c r="G5" t="s">
        <v>297</v>
      </c>
      <c r="H5">
        <v>68</v>
      </c>
      <c r="I5" s="30">
        <v>4.1550925925925922E-3</v>
      </c>
      <c r="J5">
        <v>4</v>
      </c>
    </row>
    <row r="6" spans="1:10" x14ac:dyDescent="0.35">
      <c r="A6" t="s">
        <v>315</v>
      </c>
      <c r="B6" t="s">
        <v>298</v>
      </c>
      <c r="C6" t="s">
        <v>310</v>
      </c>
      <c r="D6" s="30">
        <v>0.52900462962962957</v>
      </c>
      <c r="E6" t="s">
        <v>299</v>
      </c>
      <c r="F6" t="s">
        <v>297</v>
      </c>
      <c r="G6" t="s">
        <v>297</v>
      </c>
      <c r="H6">
        <v>106</v>
      </c>
      <c r="I6" s="30">
        <v>3.0324074074074073E-3</v>
      </c>
      <c r="J6">
        <v>5</v>
      </c>
    </row>
    <row r="7" spans="1:10" x14ac:dyDescent="0.35">
      <c r="A7" t="s">
        <v>316</v>
      </c>
      <c r="B7" t="s">
        <v>308</v>
      </c>
      <c r="C7" s="31" t="s">
        <v>310</v>
      </c>
      <c r="D7" s="30">
        <v>0.52900462962962957</v>
      </c>
      <c r="E7" t="s">
        <v>299</v>
      </c>
      <c r="F7" t="s">
        <v>297</v>
      </c>
      <c r="G7" t="s">
        <v>297</v>
      </c>
      <c r="H7">
        <v>32</v>
      </c>
      <c r="I7" s="30">
        <v>3.1944444444444446E-3</v>
      </c>
      <c r="J7">
        <v>3</v>
      </c>
    </row>
    <row r="8" spans="1:10" x14ac:dyDescent="0.35">
      <c r="A8" t="s">
        <v>317</v>
      </c>
      <c r="B8" t="s">
        <v>308</v>
      </c>
      <c r="C8" t="s">
        <v>310</v>
      </c>
      <c r="D8" s="30">
        <v>0.53099537037037037</v>
      </c>
      <c r="E8" t="s">
        <v>304</v>
      </c>
      <c r="F8" t="s">
        <v>297</v>
      </c>
      <c r="G8" t="s">
        <v>300</v>
      </c>
      <c r="H8">
        <v>45</v>
      </c>
      <c r="I8" s="30">
        <v>9.9537037037037042E-4</v>
      </c>
      <c r="J8">
        <v>4</v>
      </c>
    </row>
    <row r="9" spans="1:10" x14ac:dyDescent="0.35">
      <c r="A9" t="s">
        <v>318</v>
      </c>
      <c r="B9" t="s">
        <v>307</v>
      </c>
      <c r="C9" t="s">
        <v>310</v>
      </c>
      <c r="D9" s="30">
        <v>0.54099537037037038</v>
      </c>
      <c r="E9" t="s">
        <v>299</v>
      </c>
      <c r="F9" t="s">
        <v>297</v>
      </c>
      <c r="G9" t="s">
        <v>297</v>
      </c>
      <c r="H9">
        <v>119</v>
      </c>
      <c r="I9" s="30">
        <v>2.4537037037037036E-3</v>
      </c>
      <c r="J9">
        <v>4</v>
      </c>
    </row>
    <row r="10" spans="1:10" x14ac:dyDescent="0.35">
      <c r="A10" t="s">
        <v>319</v>
      </c>
      <c r="B10" t="s">
        <v>309</v>
      </c>
      <c r="C10" t="s">
        <v>310</v>
      </c>
      <c r="D10" s="30">
        <v>0.54099537037037038</v>
      </c>
      <c r="E10" t="s">
        <v>306</v>
      </c>
      <c r="F10" t="s">
        <v>300</v>
      </c>
      <c r="G10" t="s">
        <v>300</v>
      </c>
    </row>
    <row r="11" spans="1:10" x14ac:dyDescent="0.35">
      <c r="A11" t="s">
        <v>320</v>
      </c>
      <c r="B11" t="s">
        <v>305</v>
      </c>
      <c r="C11" t="s">
        <v>310</v>
      </c>
      <c r="D11" s="30">
        <v>0.54400462962962959</v>
      </c>
      <c r="E11" t="s">
        <v>296</v>
      </c>
      <c r="F11" t="s">
        <v>297</v>
      </c>
      <c r="G11" t="s">
        <v>297</v>
      </c>
      <c r="H11">
        <v>46</v>
      </c>
      <c r="I11" s="30">
        <v>3.9467592592592592E-3</v>
      </c>
      <c r="J11">
        <v>1</v>
      </c>
    </row>
    <row r="12" spans="1:10" x14ac:dyDescent="0.35">
      <c r="A12" t="s">
        <v>321</v>
      </c>
      <c r="B12" t="s">
        <v>301</v>
      </c>
      <c r="C12" t="s">
        <v>310</v>
      </c>
      <c r="D12" s="30">
        <v>0.54400462962962959</v>
      </c>
      <c r="E12" t="s">
        <v>299</v>
      </c>
      <c r="F12" t="s">
        <v>297</v>
      </c>
      <c r="G12" t="s">
        <v>297</v>
      </c>
      <c r="H12">
        <v>101</v>
      </c>
      <c r="I12" s="30">
        <v>1.0185185185185184E-3</v>
      </c>
      <c r="J12">
        <v>3</v>
      </c>
    </row>
    <row r="13" spans="1:10" x14ac:dyDescent="0.35">
      <c r="A13" t="s">
        <v>322</v>
      </c>
      <c r="B13" t="s">
        <v>305</v>
      </c>
      <c r="C13" t="s">
        <v>310</v>
      </c>
      <c r="D13" s="30">
        <v>0.54500000000000004</v>
      </c>
      <c r="E13" t="s">
        <v>299</v>
      </c>
      <c r="F13" t="s">
        <v>297</v>
      </c>
      <c r="G13" t="s">
        <v>297</v>
      </c>
      <c r="H13">
        <v>56</v>
      </c>
      <c r="I13" s="30">
        <v>1.9907407407407408E-3</v>
      </c>
      <c r="J13">
        <v>3</v>
      </c>
    </row>
    <row r="14" spans="1:10" x14ac:dyDescent="0.35">
      <c r="A14" t="s">
        <v>323</v>
      </c>
      <c r="B14" t="s">
        <v>298</v>
      </c>
      <c r="C14" t="s">
        <v>310</v>
      </c>
      <c r="D14" s="30">
        <v>0.54500000000000004</v>
      </c>
      <c r="E14" t="s">
        <v>299</v>
      </c>
      <c r="F14" t="s">
        <v>297</v>
      </c>
      <c r="G14" t="s">
        <v>297</v>
      </c>
      <c r="H14">
        <v>80</v>
      </c>
      <c r="I14" s="30">
        <v>6.134259259259259E-4</v>
      </c>
      <c r="J14">
        <v>3</v>
      </c>
    </row>
    <row r="15" spans="1:10" x14ac:dyDescent="0.35">
      <c r="A15" t="s">
        <v>324</v>
      </c>
      <c r="B15" t="s">
        <v>295</v>
      </c>
      <c r="C15" t="s">
        <v>310</v>
      </c>
      <c r="D15" s="30">
        <v>0.55099537037037039</v>
      </c>
      <c r="E15" t="s">
        <v>306</v>
      </c>
      <c r="F15" t="s">
        <v>297</v>
      </c>
      <c r="G15" t="s">
        <v>297</v>
      </c>
      <c r="H15">
        <v>24</v>
      </c>
      <c r="I15" s="30">
        <v>1.1111111111111111E-3</v>
      </c>
      <c r="J15">
        <v>3</v>
      </c>
    </row>
    <row r="16" spans="1:10" x14ac:dyDescent="0.35">
      <c r="A16" t="s">
        <v>325</v>
      </c>
      <c r="B16" t="s">
        <v>301</v>
      </c>
      <c r="C16" t="s">
        <v>310</v>
      </c>
      <c r="D16" s="30">
        <v>0.55099537037037039</v>
      </c>
      <c r="E16" t="s">
        <v>303</v>
      </c>
      <c r="F16" t="s">
        <v>297</v>
      </c>
      <c r="G16" t="s">
        <v>297</v>
      </c>
      <c r="H16">
        <v>113</v>
      </c>
      <c r="I16" s="30">
        <v>2.7083333333333334E-3</v>
      </c>
      <c r="J16">
        <v>2</v>
      </c>
    </row>
    <row r="17" spans="1:10" x14ac:dyDescent="0.35">
      <c r="A17" t="s">
        <v>326</v>
      </c>
      <c r="B17" t="s">
        <v>302</v>
      </c>
      <c r="C17" t="s">
        <v>310</v>
      </c>
      <c r="D17" s="30">
        <v>0.55599537037037039</v>
      </c>
      <c r="E17" t="s">
        <v>296</v>
      </c>
      <c r="F17" t="s">
        <v>297</v>
      </c>
      <c r="G17" t="s">
        <v>297</v>
      </c>
      <c r="H17">
        <v>19</v>
      </c>
      <c r="I17" s="30">
        <v>1.4236111111111112E-3</v>
      </c>
      <c r="J17">
        <v>4</v>
      </c>
    </row>
    <row r="18" spans="1:10" x14ac:dyDescent="0.35">
      <c r="A18" t="s">
        <v>327</v>
      </c>
      <c r="B18" t="s">
        <v>308</v>
      </c>
      <c r="C18" t="s">
        <v>310</v>
      </c>
      <c r="D18" s="30">
        <v>0.55599537037037039</v>
      </c>
      <c r="E18" t="s">
        <v>306</v>
      </c>
      <c r="F18" t="s">
        <v>300</v>
      </c>
      <c r="G18" t="s">
        <v>300</v>
      </c>
    </row>
    <row r="19" spans="1:10" x14ac:dyDescent="0.35">
      <c r="A19" t="s">
        <v>328</v>
      </c>
      <c r="B19" t="s">
        <v>309</v>
      </c>
      <c r="C19" t="s">
        <v>310</v>
      </c>
      <c r="D19" s="30">
        <v>0.55599537037037039</v>
      </c>
      <c r="E19" t="s">
        <v>296</v>
      </c>
      <c r="F19" t="s">
        <v>297</v>
      </c>
      <c r="G19" t="s">
        <v>297</v>
      </c>
      <c r="H19">
        <v>45</v>
      </c>
      <c r="I19" s="30">
        <v>4.5949074074074078E-3</v>
      </c>
      <c r="J19">
        <v>3</v>
      </c>
    </row>
    <row r="20" spans="1:10" x14ac:dyDescent="0.35">
      <c r="A20" t="s">
        <v>329</v>
      </c>
      <c r="B20" t="s">
        <v>295</v>
      </c>
      <c r="C20" t="s">
        <v>310</v>
      </c>
      <c r="D20" s="30">
        <v>0.55599537037037039</v>
      </c>
      <c r="E20" t="s">
        <v>299</v>
      </c>
      <c r="F20" t="s">
        <v>297</v>
      </c>
      <c r="G20" t="s">
        <v>297</v>
      </c>
      <c r="H20">
        <v>95</v>
      </c>
      <c r="I20" s="30">
        <v>3.5995370370370369E-3</v>
      </c>
      <c r="J20">
        <v>1</v>
      </c>
    </row>
    <row r="21" spans="1:10" x14ac:dyDescent="0.35">
      <c r="A21" t="s">
        <v>330</v>
      </c>
      <c r="B21" t="s">
        <v>298</v>
      </c>
      <c r="C21" t="s">
        <v>310</v>
      </c>
      <c r="D21" s="30">
        <v>0.57299768518518523</v>
      </c>
      <c r="E21" t="s">
        <v>299</v>
      </c>
      <c r="F21" t="s">
        <v>300</v>
      </c>
      <c r="G21" t="s">
        <v>300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2887-8971-4C40-8D40-A5693193125D}">
  <dimension ref="B1:F25"/>
  <sheetViews>
    <sheetView showGridLines="0" topLeftCell="B1" workbookViewId="0">
      <pane ySplit="1" topLeftCell="A2" activePane="bottomLeft" state="frozen"/>
      <selection activeCell="B1" sqref="B1"/>
      <selection pane="bottomLeft" activeCell="M10" sqref="M10"/>
    </sheetView>
  </sheetViews>
  <sheetFormatPr defaultRowHeight="14.5" x14ac:dyDescent="0.35"/>
  <cols>
    <col min="2" max="2" width="44.54296875" customWidth="1"/>
    <col min="3" max="6" width="65.7265625" customWidth="1"/>
  </cols>
  <sheetData>
    <row r="1" spans="2:6" x14ac:dyDescent="0.35">
      <c r="B1" s="4" t="s">
        <v>239</v>
      </c>
      <c r="C1" s="20" t="s">
        <v>210</v>
      </c>
      <c r="D1" s="15" t="s">
        <v>208</v>
      </c>
      <c r="E1" s="4" t="s">
        <v>209</v>
      </c>
      <c r="F1" s="4" t="s">
        <v>211</v>
      </c>
    </row>
    <row r="2" spans="2:6" x14ac:dyDescent="0.35">
      <c r="B2" s="15" t="s">
        <v>212</v>
      </c>
      <c r="C2" s="21">
        <v>150000</v>
      </c>
      <c r="D2" s="12">
        <v>130000</v>
      </c>
      <c r="E2" s="12">
        <v>120000</v>
      </c>
      <c r="F2" s="12">
        <v>120000</v>
      </c>
    </row>
    <row r="3" spans="2:6" ht="29" x14ac:dyDescent="0.35">
      <c r="B3" s="15" t="s">
        <v>219</v>
      </c>
      <c r="C3" s="22" t="s">
        <v>238</v>
      </c>
      <c r="D3" s="12" t="s">
        <v>224</v>
      </c>
      <c r="E3" s="12" t="s">
        <v>226</v>
      </c>
      <c r="F3" s="12" t="s">
        <v>230</v>
      </c>
    </row>
    <row r="4" spans="2:6" ht="29" x14ac:dyDescent="0.35">
      <c r="B4" s="15" t="s">
        <v>220</v>
      </c>
      <c r="C4" s="22"/>
      <c r="D4" s="16" t="s">
        <v>237</v>
      </c>
      <c r="E4" s="16" t="s">
        <v>235</v>
      </c>
      <c r="F4" s="16" t="s">
        <v>236</v>
      </c>
    </row>
    <row r="5" spans="2:6" ht="29" x14ac:dyDescent="0.35">
      <c r="B5" s="15" t="s">
        <v>213</v>
      </c>
      <c r="C5" s="20">
        <v>0.66</v>
      </c>
      <c r="D5" s="13" t="s">
        <v>221</v>
      </c>
      <c r="E5" s="4">
        <v>1</v>
      </c>
      <c r="F5" s="4">
        <v>0.75</v>
      </c>
    </row>
    <row r="6" spans="2:6" x14ac:dyDescent="0.35">
      <c r="B6" s="15" t="s">
        <v>214</v>
      </c>
      <c r="C6" s="23">
        <v>295</v>
      </c>
      <c r="D6" s="6">
        <v>425</v>
      </c>
      <c r="E6" s="6">
        <v>295</v>
      </c>
      <c r="F6" s="6">
        <v>295</v>
      </c>
    </row>
    <row r="7" spans="2:6" ht="29" x14ac:dyDescent="0.35">
      <c r="B7" s="15" t="s">
        <v>227</v>
      </c>
      <c r="C7" s="23"/>
      <c r="D7" s="17" t="s">
        <v>234</v>
      </c>
      <c r="E7" s="6" t="s">
        <v>228</v>
      </c>
      <c r="F7" s="6"/>
    </row>
    <row r="8" spans="2:6" x14ac:dyDescent="0.35">
      <c r="B8" s="15" t="s">
        <v>215</v>
      </c>
      <c r="C8" s="24">
        <v>0.03</v>
      </c>
      <c r="D8" s="4" t="s">
        <v>222</v>
      </c>
      <c r="E8" s="4" t="s">
        <v>222</v>
      </c>
      <c r="F8" s="15" t="s">
        <v>222</v>
      </c>
    </row>
    <row r="9" spans="2:6" x14ac:dyDescent="0.35">
      <c r="B9" s="15" t="s">
        <v>202</v>
      </c>
      <c r="C9" s="24" t="s">
        <v>251</v>
      </c>
      <c r="D9" s="4" t="s">
        <v>229</v>
      </c>
      <c r="E9" s="14">
        <v>0.2099</v>
      </c>
      <c r="F9" s="14">
        <v>0.19989999999999999</v>
      </c>
    </row>
    <row r="10" spans="2:6" ht="72.5" x14ac:dyDescent="0.35">
      <c r="B10" s="15" t="s">
        <v>217</v>
      </c>
      <c r="C10" s="25" t="s">
        <v>216</v>
      </c>
      <c r="D10" s="13" t="s">
        <v>223</v>
      </c>
      <c r="E10" s="13" t="s">
        <v>225</v>
      </c>
      <c r="F10" s="13" t="s">
        <v>231</v>
      </c>
    </row>
    <row r="11" spans="2:6" x14ac:dyDescent="0.35">
      <c r="B11" s="15" t="s">
        <v>218</v>
      </c>
      <c r="C11" s="26">
        <v>50000</v>
      </c>
      <c r="D11" s="4" t="s">
        <v>222</v>
      </c>
      <c r="E11" s="18">
        <v>20000</v>
      </c>
      <c r="F11" s="18">
        <v>20833</v>
      </c>
    </row>
    <row r="12" spans="2:6" x14ac:dyDescent="0.35">
      <c r="B12" s="15" t="s">
        <v>233</v>
      </c>
      <c r="C12" s="20"/>
      <c r="D12" s="4"/>
      <c r="E12" s="4"/>
      <c r="F12" s="4" t="s">
        <v>232</v>
      </c>
    </row>
    <row r="13" spans="2:6" ht="43.5" x14ac:dyDescent="0.35">
      <c r="B13" s="15" t="s">
        <v>240</v>
      </c>
      <c r="C13" s="25" t="s">
        <v>241</v>
      </c>
      <c r="D13" s="13" t="s">
        <v>242</v>
      </c>
      <c r="E13" s="13" t="s">
        <v>241</v>
      </c>
      <c r="F13" s="13" t="s">
        <v>243</v>
      </c>
    </row>
    <row r="14" spans="2:6" x14ac:dyDescent="0.35">
      <c r="B14" s="15" t="s">
        <v>244</v>
      </c>
      <c r="C14" s="21">
        <v>8910</v>
      </c>
      <c r="D14" s="12">
        <v>10500</v>
      </c>
      <c r="E14" s="12">
        <v>13500</v>
      </c>
      <c r="F14" s="12">
        <v>10125</v>
      </c>
    </row>
    <row r="15" spans="2:6" x14ac:dyDescent="0.35">
      <c r="B15" s="15"/>
      <c r="C15" s="21"/>
      <c r="D15" s="12"/>
      <c r="E15" s="12"/>
      <c r="F15" s="12"/>
    </row>
    <row r="16" spans="2:6" x14ac:dyDescent="0.35">
      <c r="B16" s="15" t="s">
        <v>250</v>
      </c>
      <c r="C16" s="21"/>
      <c r="D16" s="12">
        <f>SUM(D17, -30000)</f>
        <v>110500</v>
      </c>
      <c r="E16" s="12">
        <f>SUM(E17, -30000)</f>
        <v>103500</v>
      </c>
      <c r="F16" s="12">
        <f>SUM(F17, -30000)</f>
        <v>100125</v>
      </c>
    </row>
    <row r="17" spans="2:6" x14ac:dyDescent="0.35">
      <c r="B17" s="15" t="s">
        <v>249</v>
      </c>
      <c r="C17" s="21">
        <f>SUM(C2,C14)</f>
        <v>158910</v>
      </c>
      <c r="D17" s="12">
        <f>SUM(D2,D14)</f>
        <v>140500</v>
      </c>
      <c r="E17" s="12">
        <f>SUM(E2,E14)</f>
        <v>133500</v>
      </c>
      <c r="F17" s="12">
        <f>SUM(F2,F14)</f>
        <v>130125</v>
      </c>
    </row>
    <row r="18" spans="2:6" ht="29" x14ac:dyDescent="0.35">
      <c r="B18" s="15" t="s">
        <v>247</v>
      </c>
      <c r="C18" s="26" t="s">
        <v>248</v>
      </c>
      <c r="D18" s="19" t="s">
        <v>256</v>
      </c>
      <c r="E18" s="13" t="s">
        <v>245</v>
      </c>
      <c r="F18" s="13" t="s">
        <v>246</v>
      </c>
    </row>
    <row r="19" spans="2:6" ht="43.5" x14ac:dyDescent="0.35">
      <c r="B19" s="15" t="s">
        <v>253</v>
      </c>
      <c r="C19" s="27" t="s">
        <v>252</v>
      </c>
      <c r="D19" s="13" t="s">
        <v>257</v>
      </c>
      <c r="E19" s="4"/>
      <c r="F19" s="4"/>
    </row>
    <row r="22" spans="2:6" x14ac:dyDescent="0.35">
      <c r="B22" s="4" t="s">
        <v>254</v>
      </c>
      <c r="C22" s="18">
        <v>1343</v>
      </c>
      <c r="D22" s="12">
        <v>55200</v>
      </c>
    </row>
    <row r="23" spans="2:6" x14ac:dyDescent="0.35">
      <c r="B23" s="4" t="s">
        <v>255</v>
      </c>
      <c r="C23" s="18">
        <v>1412</v>
      </c>
      <c r="D23" s="12">
        <v>66200</v>
      </c>
    </row>
    <row r="24" spans="2:6" x14ac:dyDescent="0.35">
      <c r="B24" s="4" t="s">
        <v>203</v>
      </c>
      <c r="C24" s="18">
        <v>2755</v>
      </c>
      <c r="D24" s="12">
        <v>121400</v>
      </c>
    </row>
    <row r="25" spans="2:6" x14ac:dyDescent="0.35">
      <c r="B25" s="4"/>
      <c r="D25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1B1D-27E7-D549-ADA6-064852CAD1C0}">
  <sheetPr codeName="Sheet10">
    <tabColor theme="8" tint="0.79998168889431442"/>
  </sheetPr>
  <dimension ref="A1:X150"/>
  <sheetViews>
    <sheetView topLeftCell="D99" workbookViewId="0">
      <selection sqref="A1:K150"/>
    </sheetView>
  </sheetViews>
  <sheetFormatPr defaultColWidth="11.453125" defaultRowHeight="14.5" x14ac:dyDescent="0.35"/>
  <cols>
    <col min="1" max="1" width="16.26953125" customWidth="1"/>
    <col min="2" max="2" width="12.1796875" bestFit="1" customWidth="1"/>
    <col min="5" max="5" width="13" customWidth="1"/>
    <col min="6" max="6" width="12.453125" customWidth="1"/>
    <col min="8" max="8" width="17" customWidth="1"/>
    <col min="10" max="10" width="11.1796875" customWidth="1"/>
    <col min="11" max="11" width="18.453125" bestFit="1" customWidth="1"/>
    <col min="12" max="12" width="22.453125" style="10" customWidth="1"/>
    <col min="13" max="13" width="18.1796875" style="3" bestFit="1" customWidth="1"/>
    <col min="15" max="15" width="12.36328125" bestFit="1" customWidth="1"/>
    <col min="16" max="17" width="20.08984375" bestFit="1" customWidth="1"/>
    <col min="18" max="18" width="12.453125" bestFit="1" customWidth="1"/>
    <col min="20" max="20" width="23" bestFit="1" customWidth="1"/>
    <col min="26" max="26" width="23.1796875" customWidth="1"/>
    <col min="27" max="27" width="16.81640625" customWidth="1"/>
  </cols>
  <sheetData>
    <row r="1" spans="1:24" x14ac:dyDescent="0.35">
      <c r="A1" t="s">
        <v>9</v>
      </c>
      <c r="B1" t="s">
        <v>10</v>
      </c>
      <c r="C1" t="s">
        <v>11</v>
      </c>
      <c r="D1" t="s">
        <v>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s="8" t="s">
        <v>90</v>
      </c>
      <c r="M1" s="9" t="s">
        <v>91</v>
      </c>
    </row>
    <row r="2" spans="1:24" x14ac:dyDescent="0.35">
      <c r="A2" s="7">
        <v>45349.010416666664</v>
      </c>
      <c r="B2" t="s">
        <v>55</v>
      </c>
      <c r="C2" t="s">
        <v>258</v>
      </c>
      <c r="D2">
        <v>2245.9558126400002</v>
      </c>
      <c r="E2">
        <v>7.0413000000000003E-2</v>
      </c>
      <c r="F2">
        <v>7.1124242424242395E-2</v>
      </c>
      <c r="G2" t="s">
        <v>259</v>
      </c>
      <c r="H2">
        <v>1.6</v>
      </c>
      <c r="I2">
        <v>0.15</v>
      </c>
      <c r="J2">
        <v>158.13999999999999</v>
      </c>
      <c r="K2" t="s">
        <v>260</v>
      </c>
      <c r="L2" s="5">
        <f>VALUE(IF(Crypto_Dataset[[#This Row],[Type]]="Sell", _xlfn.CONCAT("-", Crypto_Dataset[[#This Row],[Total AUD]]), Crypto_Dataset[[#This Row],[Total AUD]]))</f>
        <v>-158.13999999999999</v>
      </c>
      <c r="M2" s="3">
        <f>VALUE(IF(Crypto_Dataset[[#This Row],[Type]]="Sell", _xlfn.CONCAT("-", Crypto_Dataset[[#This Row],[Amount]]), Crypto_Dataset[[#This Row],[Amount]]))</f>
        <v>-2245.9558126400002</v>
      </c>
      <c r="O2" s="2" t="s">
        <v>4</v>
      </c>
      <c r="P2" t="s">
        <v>284</v>
      </c>
      <c r="W2" s="29"/>
      <c r="X2" s="29"/>
    </row>
    <row r="3" spans="1:24" x14ac:dyDescent="0.35">
      <c r="A3" s="7">
        <v>45271.032638888886</v>
      </c>
      <c r="B3" t="s">
        <v>55</v>
      </c>
      <c r="C3" t="s">
        <v>126</v>
      </c>
      <c r="D3">
        <v>9620009.6200096197</v>
      </c>
      <c r="E3">
        <v>2.0789999999999999E-6</v>
      </c>
      <c r="F3">
        <v>2.0999999999999998E-6</v>
      </c>
      <c r="G3" t="s">
        <v>261</v>
      </c>
      <c r="H3">
        <v>0.2</v>
      </c>
      <c r="I3">
        <v>0.02</v>
      </c>
      <c r="J3">
        <v>20</v>
      </c>
      <c r="K3" t="s">
        <v>262</v>
      </c>
      <c r="L3" s="5">
        <f>VALUE(IF(Crypto_Dataset[[#This Row],[Type]]="Sell", _xlfn.CONCAT("-", Crypto_Dataset[[#This Row],[Total AUD]]), Crypto_Dataset[[#This Row],[Total AUD]]))</f>
        <v>-20</v>
      </c>
      <c r="M3" s="3">
        <f>VALUE(IF(Crypto_Dataset[[#This Row],[Type]]="Sell", _xlfn.CONCAT("-", Crypto_Dataset[[#This Row],[Amount]]), Crypto_Dataset[[#This Row],[Amount]]))</f>
        <v>-9620009.6200096197</v>
      </c>
      <c r="O3" s="3" t="s">
        <v>34</v>
      </c>
      <c r="P3" s="11">
        <v>25739.289999999997</v>
      </c>
      <c r="W3" s="29"/>
      <c r="X3" s="29"/>
    </row>
    <row r="4" spans="1:24" x14ac:dyDescent="0.35">
      <c r="A4" s="7">
        <v>45271.031944444447</v>
      </c>
      <c r="B4" t="s">
        <v>19</v>
      </c>
      <c r="C4" t="s">
        <v>126</v>
      </c>
      <c r="D4">
        <v>4566210.0456621004</v>
      </c>
      <c r="E4">
        <v>2.1900000000000002E-6</v>
      </c>
      <c r="F4">
        <v>2.1683168316831598E-6</v>
      </c>
      <c r="G4" t="s">
        <v>263</v>
      </c>
      <c r="H4">
        <v>0.1</v>
      </c>
      <c r="I4">
        <v>0.01</v>
      </c>
      <c r="J4">
        <v>10</v>
      </c>
      <c r="K4" t="s">
        <v>264</v>
      </c>
      <c r="L4" s="5">
        <f>VALUE(IF(Crypto_Dataset[[#This Row],[Type]]="Sell", _xlfn.CONCAT("-", Crypto_Dataset[[#This Row],[Total AUD]]), Crypto_Dataset[[#This Row],[Total AUD]]))</f>
        <v>10</v>
      </c>
      <c r="M4" s="3">
        <f>VALUE(IF(Crypto_Dataset[[#This Row],[Type]]="Sell", _xlfn.CONCAT("-", Crypto_Dataset[[#This Row],[Amount]]), Crypto_Dataset[[#This Row],[Amount]]))</f>
        <v>4566210.0456621004</v>
      </c>
      <c r="O4" s="3" t="s">
        <v>22</v>
      </c>
      <c r="P4" s="11">
        <v>11651.339999999997</v>
      </c>
      <c r="W4" s="29"/>
      <c r="X4" s="29"/>
    </row>
    <row r="5" spans="1:24" x14ac:dyDescent="0.35">
      <c r="A5" s="7">
        <v>45266.982638888891</v>
      </c>
      <c r="B5" t="s">
        <v>55</v>
      </c>
      <c r="C5" t="s">
        <v>126</v>
      </c>
      <c r="D5">
        <v>9966777.4086378701</v>
      </c>
      <c r="E5">
        <v>1.505E-6</v>
      </c>
      <c r="F5">
        <v>1.5202020202020201E-6</v>
      </c>
      <c r="G5" t="s">
        <v>265</v>
      </c>
      <c r="H5">
        <v>0.15</v>
      </c>
      <c r="I5">
        <v>0.01</v>
      </c>
      <c r="J5">
        <v>15</v>
      </c>
      <c r="K5" t="s">
        <v>266</v>
      </c>
      <c r="L5" s="5">
        <f>VALUE(IF(Crypto_Dataset[[#This Row],[Type]]="Sell", _xlfn.CONCAT("-", Crypto_Dataset[[#This Row],[Total AUD]]), Crypto_Dataset[[#This Row],[Total AUD]]))</f>
        <v>-15</v>
      </c>
      <c r="M5" s="3">
        <f>VALUE(IF(Crypto_Dataset[[#This Row],[Type]]="Sell", _xlfn.CONCAT("-", Crypto_Dataset[[#This Row],[Amount]]), Crypto_Dataset[[#This Row],[Amount]]))</f>
        <v>-9966777.4086378701</v>
      </c>
      <c r="O5" s="3" t="s">
        <v>27</v>
      </c>
      <c r="P5" s="11">
        <v>4968.04</v>
      </c>
      <c r="W5" s="29"/>
      <c r="X5" s="29"/>
    </row>
    <row r="6" spans="1:24" x14ac:dyDescent="0.35">
      <c r="A6" s="7">
        <v>45266.962500000001</v>
      </c>
      <c r="B6" t="s">
        <v>55</v>
      </c>
      <c r="C6" t="s">
        <v>126</v>
      </c>
      <c r="D6">
        <v>15</v>
      </c>
      <c r="E6">
        <v>1.505E-6</v>
      </c>
      <c r="F6">
        <v>1.5202020202020201E-6</v>
      </c>
      <c r="G6" t="s">
        <v>267</v>
      </c>
      <c r="H6">
        <v>0</v>
      </c>
      <c r="I6">
        <v>0</v>
      </c>
      <c r="J6">
        <v>0</v>
      </c>
      <c r="K6" t="s">
        <v>268</v>
      </c>
      <c r="L6" s="5">
        <f>VALUE(IF(Crypto_Dataset[[#This Row],[Type]]="Sell", _xlfn.CONCAT("-", Crypto_Dataset[[#This Row],[Total AUD]]), Crypto_Dataset[[#This Row],[Total AUD]]))</f>
        <v>0</v>
      </c>
      <c r="M6" s="3">
        <f>VALUE(IF(Crypto_Dataset[[#This Row],[Type]]="Sell", _xlfn.CONCAT("-", Crypto_Dataset[[#This Row],[Amount]]), Crypto_Dataset[[#This Row],[Amount]]))</f>
        <v>-15</v>
      </c>
      <c r="O6" s="3" t="s">
        <v>26</v>
      </c>
      <c r="P6" s="11">
        <v>4250</v>
      </c>
      <c r="W6" s="29"/>
      <c r="X6" s="29"/>
    </row>
    <row r="7" spans="1:24" x14ac:dyDescent="0.35">
      <c r="A7" s="7">
        <v>45266.905555555553</v>
      </c>
      <c r="B7" t="s">
        <v>55</v>
      </c>
      <c r="C7" t="s">
        <v>126</v>
      </c>
      <c r="D7">
        <v>17421602.787456401</v>
      </c>
      <c r="E7">
        <v>1.1480000000000001E-6</v>
      </c>
      <c r="F7">
        <v>1.1595959595959501E-6</v>
      </c>
      <c r="G7" t="s">
        <v>261</v>
      </c>
      <c r="H7">
        <v>0.2</v>
      </c>
      <c r="I7">
        <v>0.02</v>
      </c>
      <c r="J7">
        <v>20</v>
      </c>
      <c r="K7" t="s">
        <v>262</v>
      </c>
      <c r="L7" s="5">
        <f>VALUE(IF(Crypto_Dataset[[#This Row],[Type]]="Sell", _xlfn.CONCAT("-", Crypto_Dataset[[#This Row],[Total AUD]]), Crypto_Dataset[[#This Row],[Total AUD]]))</f>
        <v>-20</v>
      </c>
      <c r="M7" s="3">
        <f>VALUE(IF(Crypto_Dataset[[#This Row],[Type]]="Sell", _xlfn.CONCAT("-", Crypto_Dataset[[#This Row],[Amount]]), Crypto_Dataset[[#This Row],[Amount]]))</f>
        <v>-17421602.787456401</v>
      </c>
      <c r="O7" s="3" t="s">
        <v>74</v>
      </c>
      <c r="P7" s="11">
        <v>914.8</v>
      </c>
      <c r="W7" s="29"/>
      <c r="X7" s="29"/>
    </row>
    <row r="8" spans="1:24" x14ac:dyDescent="0.35">
      <c r="A8" s="7">
        <v>45266.897222222222</v>
      </c>
      <c r="B8" t="s">
        <v>55</v>
      </c>
      <c r="C8" t="s">
        <v>269</v>
      </c>
      <c r="D8">
        <v>1170.0011700011601</v>
      </c>
      <c r="E8">
        <v>1.7094000000000002E-2</v>
      </c>
      <c r="F8">
        <v>1.72666666666666E-2</v>
      </c>
      <c r="G8" t="s">
        <v>261</v>
      </c>
      <c r="H8">
        <v>0.2</v>
      </c>
      <c r="I8">
        <v>0.02</v>
      </c>
      <c r="J8">
        <v>20</v>
      </c>
      <c r="K8" t="s">
        <v>262</v>
      </c>
      <c r="L8" s="5">
        <f>VALUE(IF(Crypto_Dataset[[#This Row],[Type]]="Sell", _xlfn.CONCAT("-", Crypto_Dataset[[#This Row],[Total AUD]]), Crypto_Dataset[[#This Row],[Total AUD]]))</f>
        <v>-20</v>
      </c>
      <c r="M8" s="3">
        <f>VALUE(IF(Crypto_Dataset[[#This Row],[Type]]="Sell", _xlfn.CONCAT("-", Crypto_Dataset[[#This Row],[Amount]]), Crypto_Dataset[[#This Row],[Amount]]))</f>
        <v>-1170.0011700011601</v>
      </c>
      <c r="O8" s="3" t="s">
        <v>132</v>
      </c>
      <c r="P8" s="11">
        <v>900</v>
      </c>
      <c r="W8" s="29"/>
      <c r="X8" s="29"/>
    </row>
    <row r="9" spans="1:24" x14ac:dyDescent="0.35">
      <c r="A9" s="7">
        <v>44614.473611111112</v>
      </c>
      <c r="B9" t="s">
        <v>19</v>
      </c>
      <c r="C9" t="s">
        <v>34</v>
      </c>
      <c r="D9">
        <v>573488.44830410997</v>
      </c>
      <c r="E9">
        <v>6.1029999999999999E-3</v>
      </c>
      <c r="F9">
        <v>6.0425742574257701E-3</v>
      </c>
      <c r="G9" t="s">
        <v>92</v>
      </c>
      <c r="H9">
        <v>34.65</v>
      </c>
      <c r="I9">
        <v>3.15</v>
      </c>
      <c r="J9">
        <v>3500</v>
      </c>
      <c r="K9" t="s">
        <v>93</v>
      </c>
      <c r="L9" s="5">
        <f>VALUE(IF(Crypto_Dataset[[#This Row],[Type]]="Sell", _xlfn.CONCAT("-", Crypto_Dataset[[#This Row],[Total AUD]]), Crypto_Dataset[[#This Row],[Total AUD]]))</f>
        <v>3500</v>
      </c>
      <c r="M9" s="3">
        <f>VALUE(IF(Crypto_Dataset[[#This Row],[Type]]="Sell", _xlfn.CONCAT("-", Crypto_Dataset[[#This Row],[Amount]]), Crypto_Dataset[[#This Row],[Amount]]))</f>
        <v>573488.44830410997</v>
      </c>
      <c r="O9" s="3" t="s">
        <v>126</v>
      </c>
      <c r="P9" s="11">
        <v>501</v>
      </c>
      <c r="W9" s="29"/>
      <c r="X9" s="29"/>
    </row>
    <row r="10" spans="1:24" x14ac:dyDescent="0.35">
      <c r="A10" s="7">
        <v>44600.74722222222</v>
      </c>
      <c r="B10" t="s">
        <v>19</v>
      </c>
      <c r="C10" t="s">
        <v>34</v>
      </c>
      <c r="D10">
        <v>2717.3913043299999</v>
      </c>
      <c r="E10">
        <v>8.8319999999999996E-3</v>
      </c>
      <c r="F10">
        <v>8.7445544555029096E-3</v>
      </c>
      <c r="G10" t="s">
        <v>94</v>
      </c>
      <c r="H10">
        <v>0.24</v>
      </c>
      <c r="I10">
        <v>0.02</v>
      </c>
      <c r="J10">
        <v>24</v>
      </c>
      <c r="K10" t="s">
        <v>95</v>
      </c>
      <c r="L10" s="5">
        <f>VALUE(IF(Crypto_Dataset[[#This Row],[Type]]="Sell", _xlfn.CONCAT("-", Crypto_Dataset[[#This Row],[Total AUD]]), Crypto_Dataset[[#This Row],[Total AUD]]))</f>
        <v>24</v>
      </c>
      <c r="M10" s="3">
        <f>VALUE(IF(Crypto_Dataset[[#This Row],[Type]]="Sell", _xlfn.CONCAT("-", Crypto_Dataset[[#This Row],[Amount]]), Crypto_Dataset[[#This Row],[Amount]]))</f>
        <v>2717.3913043299999</v>
      </c>
      <c r="O10" s="3" t="s">
        <v>85</v>
      </c>
      <c r="P10" s="11">
        <v>500</v>
      </c>
      <c r="W10" s="29"/>
      <c r="X10" s="29"/>
    </row>
    <row r="11" spans="1:24" x14ac:dyDescent="0.35">
      <c r="A11" s="7">
        <v>44600.711805555555</v>
      </c>
      <c r="B11" t="s">
        <v>19</v>
      </c>
      <c r="C11" t="s">
        <v>34</v>
      </c>
      <c r="D11">
        <v>577634.01109057001</v>
      </c>
      <c r="E11">
        <v>8.6560000000000005E-3</v>
      </c>
      <c r="F11">
        <v>8.5702970297030102E-3</v>
      </c>
      <c r="G11" t="s">
        <v>96</v>
      </c>
      <c r="H11">
        <v>49.5</v>
      </c>
      <c r="I11">
        <v>4.5</v>
      </c>
      <c r="J11">
        <v>5000</v>
      </c>
      <c r="K11" t="s">
        <v>60</v>
      </c>
      <c r="L11" s="5">
        <f>VALUE(IF(Crypto_Dataset[[#This Row],[Type]]="Sell", _xlfn.CONCAT("-", Crypto_Dataset[[#This Row],[Total AUD]]), Crypto_Dataset[[#This Row],[Total AUD]]))</f>
        <v>5000</v>
      </c>
      <c r="M11" s="3">
        <f>VALUE(IF(Crypto_Dataset[[#This Row],[Type]]="Sell", _xlfn.CONCAT("-", Crypto_Dataset[[#This Row],[Amount]]), Crypto_Dataset[[#This Row],[Amount]]))</f>
        <v>577634.01109057001</v>
      </c>
      <c r="O11" s="3" t="s">
        <v>86</v>
      </c>
      <c r="P11" s="11">
        <v>500</v>
      </c>
      <c r="W11" s="29"/>
      <c r="X11" s="29"/>
    </row>
    <row r="12" spans="1:24" x14ac:dyDescent="0.35">
      <c r="A12" s="7">
        <v>44534.724305555559</v>
      </c>
      <c r="B12" t="s">
        <v>19</v>
      </c>
      <c r="C12" t="s">
        <v>34</v>
      </c>
      <c r="D12">
        <v>198459.95078193001</v>
      </c>
      <c r="E12">
        <v>1.2597000000000001E-2</v>
      </c>
      <c r="F12">
        <v>1.24722772277229E-2</v>
      </c>
      <c r="G12" t="s">
        <v>97</v>
      </c>
      <c r="H12">
        <v>24.75</v>
      </c>
      <c r="I12">
        <v>2.25</v>
      </c>
      <c r="J12">
        <v>2500</v>
      </c>
      <c r="K12" t="s">
        <v>61</v>
      </c>
      <c r="L12" s="5">
        <f>VALUE(IF(Crypto_Dataset[[#This Row],[Type]]="Sell", _xlfn.CONCAT("-", Crypto_Dataset[[#This Row],[Total AUD]]), Crypto_Dataset[[#This Row],[Total AUD]]))</f>
        <v>2500</v>
      </c>
      <c r="M12" s="3">
        <f>VALUE(IF(Crypto_Dataset[[#This Row],[Type]]="Sell", _xlfn.CONCAT("-", Crypto_Dataset[[#This Row],[Amount]]), Crypto_Dataset[[#This Row],[Amount]]))</f>
        <v>198459.95078193001</v>
      </c>
      <c r="O12" s="3" t="s">
        <v>23</v>
      </c>
      <c r="P12" s="11">
        <v>350</v>
      </c>
      <c r="W12" s="29"/>
      <c r="X12" s="29"/>
    </row>
    <row r="13" spans="1:24" x14ac:dyDescent="0.35">
      <c r="A13" s="7">
        <v>44460.287499999999</v>
      </c>
      <c r="B13" t="s">
        <v>19</v>
      </c>
      <c r="C13" t="s">
        <v>34</v>
      </c>
      <c r="D13">
        <v>56068.317087889998</v>
      </c>
      <c r="E13">
        <v>1.1592999999999999E-2</v>
      </c>
      <c r="F13">
        <v>1.1478217821783701E-2</v>
      </c>
      <c r="G13" t="s">
        <v>98</v>
      </c>
      <c r="H13">
        <v>6.44</v>
      </c>
      <c r="I13">
        <v>0.59</v>
      </c>
      <c r="J13">
        <v>650</v>
      </c>
      <c r="K13" t="s">
        <v>99</v>
      </c>
      <c r="L13" s="5">
        <f>VALUE(IF(Crypto_Dataset[[#This Row],[Type]]="Sell", _xlfn.CONCAT("-", Crypto_Dataset[[#This Row],[Total AUD]]), Crypto_Dataset[[#This Row],[Total AUD]]))</f>
        <v>650</v>
      </c>
      <c r="M13" s="3">
        <f>VALUE(IF(Crypto_Dataset[[#This Row],[Type]]="Sell", _xlfn.CONCAT("-", Crypto_Dataset[[#This Row],[Amount]]), Crypto_Dataset[[#This Row],[Amount]]))</f>
        <v>56068.317087889998</v>
      </c>
      <c r="O13" s="3" t="s">
        <v>20</v>
      </c>
      <c r="P13" s="11">
        <v>316.24</v>
      </c>
      <c r="W13" s="29"/>
      <c r="X13" s="29"/>
    </row>
    <row r="14" spans="1:24" x14ac:dyDescent="0.35">
      <c r="A14" s="7">
        <v>44447.30972222222</v>
      </c>
      <c r="B14" t="s">
        <v>19</v>
      </c>
      <c r="C14" t="s">
        <v>34</v>
      </c>
      <c r="D14">
        <v>43722.21817385</v>
      </c>
      <c r="E14">
        <v>1.3723000000000001E-2</v>
      </c>
      <c r="F14">
        <v>1.3587128712876999E-2</v>
      </c>
      <c r="G14" t="s">
        <v>100</v>
      </c>
      <c r="H14">
        <v>5.94</v>
      </c>
      <c r="I14">
        <v>0.54</v>
      </c>
      <c r="J14">
        <v>600</v>
      </c>
      <c r="K14" t="s">
        <v>75</v>
      </c>
      <c r="L14" s="5">
        <f>VALUE(IF(Crypto_Dataset[[#This Row],[Type]]="Sell", _xlfn.CONCAT("-", Crypto_Dataset[[#This Row],[Total AUD]]), Crypto_Dataset[[#This Row],[Total AUD]]))</f>
        <v>600</v>
      </c>
      <c r="M14" s="3">
        <f>VALUE(IF(Crypto_Dataset[[#This Row],[Type]]="Sell", _xlfn.CONCAT("-", Crypto_Dataset[[#This Row],[Amount]]), Crypto_Dataset[[#This Row],[Amount]]))</f>
        <v>43722.21817385</v>
      </c>
      <c r="O14" s="3" t="s">
        <v>73</v>
      </c>
      <c r="P14" s="11">
        <v>141.22</v>
      </c>
      <c r="W14" s="29"/>
      <c r="X14" s="29"/>
    </row>
    <row r="15" spans="1:24" x14ac:dyDescent="0.35">
      <c r="A15" s="7">
        <v>44435.740277777775</v>
      </c>
      <c r="B15" t="s">
        <v>19</v>
      </c>
      <c r="C15" t="s">
        <v>34</v>
      </c>
      <c r="D15">
        <v>17356.28991946</v>
      </c>
      <c r="E15">
        <v>1.4404E-2</v>
      </c>
      <c r="F15">
        <v>1.42613861386194E-2</v>
      </c>
      <c r="G15" t="s">
        <v>101</v>
      </c>
      <c r="H15">
        <v>2.48</v>
      </c>
      <c r="I15">
        <v>0.23</v>
      </c>
      <c r="J15">
        <v>250</v>
      </c>
      <c r="K15" t="s">
        <v>33</v>
      </c>
      <c r="L15" s="5">
        <f>VALUE(IF(Crypto_Dataset[[#This Row],[Type]]="Sell", _xlfn.CONCAT("-", Crypto_Dataset[[#This Row],[Total AUD]]), Crypto_Dataset[[#This Row],[Total AUD]]))</f>
        <v>250</v>
      </c>
      <c r="M15" s="3">
        <f>VALUE(IF(Crypto_Dataset[[#This Row],[Type]]="Sell", _xlfn.CONCAT("-", Crypto_Dataset[[#This Row],[Amount]]), Crypto_Dataset[[#This Row],[Amount]]))</f>
        <v>17356.28991946</v>
      </c>
      <c r="O15" s="3" t="s">
        <v>81</v>
      </c>
      <c r="P15" s="11">
        <v>74.259999999999991</v>
      </c>
      <c r="W15" s="29"/>
      <c r="X15" s="29"/>
    </row>
    <row r="16" spans="1:24" x14ac:dyDescent="0.35">
      <c r="A16" s="7">
        <v>44428.816666666666</v>
      </c>
      <c r="B16" t="s">
        <v>19</v>
      </c>
      <c r="C16" t="s">
        <v>34</v>
      </c>
      <c r="D16">
        <v>31316.547663779998</v>
      </c>
      <c r="E16">
        <v>1.5966000000000001E-2</v>
      </c>
      <c r="F16">
        <v>1.5807920792082E-2</v>
      </c>
      <c r="G16" t="s">
        <v>102</v>
      </c>
      <c r="H16">
        <v>4.95</v>
      </c>
      <c r="I16">
        <v>0.45</v>
      </c>
      <c r="J16">
        <v>500</v>
      </c>
      <c r="K16" t="s">
        <v>29</v>
      </c>
      <c r="L16" s="5">
        <f>VALUE(IF(Crypto_Dataset[[#This Row],[Type]]="Sell", _xlfn.CONCAT("-", Crypto_Dataset[[#This Row],[Total AUD]]), Crypto_Dataset[[#This Row],[Total AUD]]))</f>
        <v>500</v>
      </c>
      <c r="M16" s="3">
        <f>VALUE(IF(Crypto_Dataset[[#This Row],[Type]]="Sell", _xlfn.CONCAT("-", Crypto_Dataset[[#This Row],[Amount]]), Crypto_Dataset[[#This Row],[Amount]]))</f>
        <v>31316.547663779998</v>
      </c>
      <c r="O16" s="3" t="s">
        <v>87</v>
      </c>
      <c r="P16" s="11">
        <v>47</v>
      </c>
      <c r="W16" s="29"/>
      <c r="X16" s="29"/>
    </row>
    <row r="17" spans="1:16" x14ac:dyDescent="0.35">
      <c r="A17" s="7">
        <v>44417.075694444444</v>
      </c>
      <c r="B17" t="s">
        <v>19</v>
      </c>
      <c r="C17" t="s">
        <v>34</v>
      </c>
      <c r="D17">
        <v>33675.70298029</v>
      </c>
      <c r="E17">
        <v>1.1878E-2</v>
      </c>
      <c r="F17">
        <v>1.1760396039607299E-2</v>
      </c>
      <c r="G17" t="s">
        <v>103</v>
      </c>
      <c r="H17">
        <v>3.96</v>
      </c>
      <c r="I17">
        <v>0.36</v>
      </c>
      <c r="J17">
        <v>400</v>
      </c>
      <c r="K17" t="s">
        <v>83</v>
      </c>
      <c r="L17" s="5">
        <f>VALUE(IF(Crypto_Dataset[[#This Row],[Type]]="Sell", _xlfn.CONCAT("-", Crypto_Dataset[[#This Row],[Total AUD]]), Crypto_Dataset[[#This Row],[Total AUD]]))</f>
        <v>400</v>
      </c>
      <c r="M17" s="3">
        <f>VALUE(IF(Crypto_Dataset[[#This Row],[Type]]="Sell", _xlfn.CONCAT("-", Crypto_Dataset[[#This Row],[Amount]]), Crypto_Dataset[[#This Row],[Amount]]))</f>
        <v>33675.70298029</v>
      </c>
      <c r="O17" s="3" t="s">
        <v>80</v>
      </c>
      <c r="P17" s="11">
        <v>-6.7799999999999727</v>
      </c>
    </row>
    <row r="18" spans="1:16" x14ac:dyDescent="0.35">
      <c r="A18" s="7">
        <v>44417.070138888892</v>
      </c>
      <c r="B18" t="s">
        <v>19</v>
      </c>
      <c r="C18" t="s">
        <v>34</v>
      </c>
      <c r="D18">
        <v>101377.03810087001</v>
      </c>
      <c r="E18">
        <v>1.1837E-2</v>
      </c>
      <c r="F18">
        <v>1.1719801980197999E-2</v>
      </c>
      <c r="G18" t="s">
        <v>104</v>
      </c>
      <c r="H18">
        <v>11.88</v>
      </c>
      <c r="I18">
        <v>1.08</v>
      </c>
      <c r="J18">
        <v>1200</v>
      </c>
      <c r="K18" t="s">
        <v>105</v>
      </c>
      <c r="L18" s="5">
        <f>VALUE(IF(Crypto_Dataset[[#This Row],[Type]]="Sell", _xlfn.CONCAT("-", Crypto_Dataset[[#This Row],[Total AUD]]), Crypto_Dataset[[#This Row],[Total AUD]]))</f>
        <v>1200</v>
      </c>
      <c r="M18" s="3">
        <f>VALUE(IF(Crypto_Dataset[[#This Row],[Type]]="Sell", _xlfn.CONCAT("-", Crypto_Dataset[[#This Row],[Amount]]), Crypto_Dataset[[#This Row],[Amount]]))</f>
        <v>101377.03810087001</v>
      </c>
      <c r="O18" s="3" t="s">
        <v>269</v>
      </c>
      <c r="P18" s="11">
        <v>-20</v>
      </c>
    </row>
    <row r="19" spans="1:16" x14ac:dyDescent="0.35">
      <c r="A19" s="7">
        <v>44304.574999999997</v>
      </c>
      <c r="B19" t="s">
        <v>19</v>
      </c>
      <c r="C19" t="s">
        <v>34</v>
      </c>
      <c r="D19">
        <v>46829.63379226</v>
      </c>
      <c r="E19">
        <v>2.1354000000000001E-2</v>
      </c>
      <c r="F19">
        <v>2.11425742574274E-2</v>
      </c>
      <c r="G19" t="s">
        <v>106</v>
      </c>
      <c r="H19">
        <v>9.9</v>
      </c>
      <c r="I19">
        <v>0.9</v>
      </c>
      <c r="J19">
        <v>1000</v>
      </c>
      <c r="K19" t="s">
        <v>70</v>
      </c>
      <c r="L19" s="5">
        <f>VALUE(IF(Crypto_Dataset[[#This Row],[Type]]="Sell", _xlfn.CONCAT("-", Crypto_Dataset[[#This Row],[Total AUD]]), Crypto_Dataset[[#This Row],[Total AUD]]))</f>
        <v>1000</v>
      </c>
      <c r="M19" s="3">
        <f>VALUE(IF(Crypto_Dataset[[#This Row],[Type]]="Sell", _xlfn.CONCAT("-", Crypto_Dataset[[#This Row],[Amount]]), Crypto_Dataset[[#This Row],[Amount]]))</f>
        <v>46829.63379226</v>
      </c>
      <c r="O19" s="3" t="s">
        <v>24</v>
      </c>
      <c r="P19" s="11">
        <v>-50.059999999999945</v>
      </c>
    </row>
    <row r="20" spans="1:16" x14ac:dyDescent="0.35">
      <c r="A20" s="7">
        <v>44300.32708333333</v>
      </c>
      <c r="B20" t="s">
        <v>19</v>
      </c>
      <c r="C20" t="s">
        <v>34</v>
      </c>
      <c r="D20">
        <v>38396.559668250004</v>
      </c>
      <c r="E20">
        <v>2.6044000000000001E-2</v>
      </c>
      <c r="F20">
        <v>2.57861386138638E-2</v>
      </c>
      <c r="G20" t="s">
        <v>106</v>
      </c>
      <c r="H20">
        <v>9.9</v>
      </c>
      <c r="I20">
        <v>0.9</v>
      </c>
      <c r="J20">
        <v>1000</v>
      </c>
      <c r="K20" t="s">
        <v>70</v>
      </c>
      <c r="L20" s="5">
        <f>VALUE(IF(Crypto_Dataset[[#This Row],[Type]]="Sell", _xlfn.CONCAT("-", Crypto_Dataset[[#This Row],[Total AUD]]), Crypto_Dataset[[#This Row],[Total AUD]]))</f>
        <v>1000</v>
      </c>
      <c r="M20" s="3">
        <f>VALUE(IF(Crypto_Dataset[[#This Row],[Type]]="Sell", _xlfn.CONCAT("-", Crypto_Dataset[[#This Row],[Amount]]), Crypto_Dataset[[#This Row],[Amount]]))</f>
        <v>38396.559668250004</v>
      </c>
      <c r="O20" s="3" t="s">
        <v>25</v>
      </c>
      <c r="P20" s="11">
        <v>-89.309999999999945</v>
      </c>
    </row>
    <row r="21" spans="1:16" x14ac:dyDescent="0.35">
      <c r="A21" s="7">
        <v>44298.068055555559</v>
      </c>
      <c r="B21" t="s">
        <v>19</v>
      </c>
      <c r="C21" t="s">
        <v>34</v>
      </c>
      <c r="D21">
        <v>53466.396840419999</v>
      </c>
      <c r="E21">
        <v>3.0637000000000001E-2</v>
      </c>
      <c r="F21">
        <v>3.0333663366337599E-2</v>
      </c>
      <c r="G21" t="s">
        <v>107</v>
      </c>
      <c r="H21">
        <v>16.22</v>
      </c>
      <c r="I21">
        <v>1.47</v>
      </c>
      <c r="J21">
        <v>1638.05</v>
      </c>
      <c r="K21" t="s">
        <v>76</v>
      </c>
      <c r="L21" s="5">
        <f>VALUE(IF(Crypto_Dataset[[#This Row],[Type]]="Sell", _xlfn.CONCAT("-", Crypto_Dataset[[#This Row],[Total AUD]]), Crypto_Dataset[[#This Row],[Total AUD]]))</f>
        <v>1638.05</v>
      </c>
      <c r="M21" s="3">
        <f>VALUE(IF(Crypto_Dataset[[#This Row],[Type]]="Sell", _xlfn.CONCAT("-", Crypto_Dataset[[#This Row],[Amount]]), Crypto_Dataset[[#This Row],[Amount]]))</f>
        <v>53466.396840419999</v>
      </c>
      <c r="O21" s="3" t="s">
        <v>258</v>
      </c>
      <c r="P21" s="11">
        <v>-158.13999999999999</v>
      </c>
    </row>
    <row r="22" spans="1:16" x14ac:dyDescent="0.35">
      <c r="A22" s="7">
        <v>44298.067361111112</v>
      </c>
      <c r="B22" t="s">
        <v>55</v>
      </c>
      <c r="C22" t="s">
        <v>28</v>
      </c>
      <c r="D22">
        <v>19.244014679999999</v>
      </c>
      <c r="E22">
        <v>85.12</v>
      </c>
      <c r="F22">
        <v>85.979797979797993</v>
      </c>
      <c r="G22" t="s">
        <v>108</v>
      </c>
      <c r="H22">
        <v>16.55</v>
      </c>
      <c r="I22">
        <v>1.5</v>
      </c>
      <c r="J22">
        <v>1638.05</v>
      </c>
      <c r="K22" t="s">
        <v>109</v>
      </c>
      <c r="L22" s="5">
        <f>VALUE(IF(Crypto_Dataset[[#This Row],[Type]]="Sell", _xlfn.CONCAT("-", Crypto_Dataset[[#This Row],[Total AUD]]), Crypto_Dataset[[#This Row],[Total AUD]]))</f>
        <v>-1638.05</v>
      </c>
      <c r="M22" s="3">
        <f>VALUE(IF(Crypto_Dataset[[#This Row],[Type]]="Sell", _xlfn.CONCAT("-", Crypto_Dataset[[#This Row],[Amount]]), Crypto_Dataset[[#This Row],[Amount]]))</f>
        <v>-19.244014679999999</v>
      </c>
      <c r="O22" s="3" t="s">
        <v>78</v>
      </c>
      <c r="P22" s="11">
        <v>-339.99</v>
      </c>
    </row>
    <row r="23" spans="1:16" x14ac:dyDescent="0.35">
      <c r="A23" s="7">
        <v>44298.067361111112</v>
      </c>
      <c r="B23" t="s">
        <v>19</v>
      </c>
      <c r="C23" t="s">
        <v>34</v>
      </c>
      <c r="D23">
        <v>74807.181069280006</v>
      </c>
      <c r="E23">
        <v>3.0469E-2</v>
      </c>
      <c r="F23">
        <v>3.0167326732674599E-2</v>
      </c>
      <c r="G23" t="s">
        <v>110</v>
      </c>
      <c r="H23">
        <v>22.57</v>
      </c>
      <c r="I23">
        <v>2.0499999999999998</v>
      </c>
      <c r="J23">
        <v>2279.3000000000002</v>
      </c>
      <c r="K23" t="s">
        <v>77</v>
      </c>
      <c r="L23" s="5">
        <f>VALUE(IF(Crypto_Dataset[[#This Row],[Type]]="Sell", _xlfn.CONCAT("-", Crypto_Dataset[[#This Row],[Total AUD]]), Crypto_Dataset[[#This Row],[Total AUD]]))</f>
        <v>2279.3000000000002</v>
      </c>
      <c r="M23" s="3">
        <f>VALUE(IF(Crypto_Dataset[[#This Row],[Type]]="Sell", _xlfn.CONCAT("-", Crypto_Dataset[[#This Row],[Amount]]), Crypto_Dataset[[#This Row],[Amount]]))</f>
        <v>74807.181069280006</v>
      </c>
      <c r="O23" s="3" t="s">
        <v>28</v>
      </c>
      <c r="P23" s="11">
        <v>-538.04999999999984</v>
      </c>
    </row>
    <row r="24" spans="1:16" x14ac:dyDescent="0.35">
      <c r="A24" s="7">
        <v>44298.066666666666</v>
      </c>
      <c r="B24" t="s">
        <v>55</v>
      </c>
      <c r="C24" t="s">
        <v>25</v>
      </c>
      <c r="D24">
        <v>17.756302059999999</v>
      </c>
      <c r="E24">
        <v>52.9</v>
      </c>
      <c r="F24">
        <v>53.434343434343397</v>
      </c>
      <c r="G24" t="s">
        <v>111</v>
      </c>
      <c r="H24">
        <v>9.49</v>
      </c>
      <c r="I24">
        <v>0.86</v>
      </c>
      <c r="J24">
        <v>939.31</v>
      </c>
      <c r="K24" t="s">
        <v>112</v>
      </c>
      <c r="L24" s="5">
        <f>VALUE(IF(Crypto_Dataset[[#This Row],[Type]]="Sell", _xlfn.CONCAT("-", Crypto_Dataset[[#This Row],[Total AUD]]), Crypto_Dataset[[#This Row],[Total AUD]]))</f>
        <v>-939.31</v>
      </c>
      <c r="M24" s="3">
        <f>VALUE(IF(Crypto_Dataset[[#This Row],[Type]]="Sell", _xlfn.CONCAT("-", Crypto_Dataset[[#This Row],[Amount]]), Crypto_Dataset[[#This Row],[Amount]]))</f>
        <v>-17.756302059999999</v>
      </c>
      <c r="O24" s="3" t="s">
        <v>5</v>
      </c>
      <c r="P24">
        <v>49650.859999999993</v>
      </c>
    </row>
    <row r="25" spans="1:16" x14ac:dyDescent="0.35">
      <c r="A25" s="7">
        <v>44298.065972222219</v>
      </c>
      <c r="B25" t="s">
        <v>55</v>
      </c>
      <c r="C25" t="s">
        <v>78</v>
      </c>
      <c r="D25">
        <v>67.885897380000003</v>
      </c>
      <c r="E25">
        <v>19.738900000000001</v>
      </c>
      <c r="F25">
        <v>19.938282828282802</v>
      </c>
      <c r="G25" t="s">
        <v>113</v>
      </c>
      <c r="H25">
        <v>13.54</v>
      </c>
      <c r="I25">
        <v>1.23</v>
      </c>
      <c r="J25">
        <v>1339.99</v>
      </c>
      <c r="K25" t="s">
        <v>114</v>
      </c>
      <c r="L25" s="5">
        <f>VALUE(IF(Crypto_Dataset[[#This Row],[Type]]="Sell", _xlfn.CONCAT("-", Crypto_Dataset[[#This Row],[Total AUD]]), Crypto_Dataset[[#This Row],[Total AUD]]))</f>
        <v>-1339.99</v>
      </c>
      <c r="M25" s="3">
        <f>VALUE(IF(Crypto_Dataset[[#This Row],[Type]]="Sell", _xlfn.CONCAT("-", Crypto_Dataset[[#This Row],[Amount]]), Crypto_Dataset[[#This Row],[Amount]]))</f>
        <v>-67.885897380000003</v>
      </c>
    </row>
    <row r="26" spans="1:16" x14ac:dyDescent="0.35">
      <c r="A26" s="7">
        <v>44298.057638888888</v>
      </c>
      <c r="B26" t="s">
        <v>19</v>
      </c>
      <c r="C26" t="s">
        <v>34</v>
      </c>
      <c r="D26">
        <v>76638.241695489996</v>
      </c>
      <c r="E26">
        <v>2.8027E-2</v>
      </c>
      <c r="F26">
        <v>2.7749504950501502E-2</v>
      </c>
      <c r="G26" t="s">
        <v>115</v>
      </c>
      <c r="H26">
        <v>21.27</v>
      </c>
      <c r="I26">
        <v>1.93</v>
      </c>
      <c r="J26">
        <v>2147.94</v>
      </c>
      <c r="K26" t="s">
        <v>79</v>
      </c>
      <c r="L26" s="5">
        <f>VALUE(IF(Crypto_Dataset[[#This Row],[Type]]="Sell", _xlfn.CONCAT("-", Crypto_Dataset[[#This Row],[Total AUD]]), Crypto_Dataset[[#This Row],[Total AUD]]))</f>
        <v>2147.94</v>
      </c>
      <c r="M26" s="3">
        <f>VALUE(IF(Crypto_Dataset[[#This Row],[Type]]="Sell", _xlfn.CONCAT("-", Crypto_Dataset[[#This Row],[Amount]]), Crypto_Dataset[[#This Row],[Amount]]))</f>
        <v>76638.241695489996</v>
      </c>
    </row>
    <row r="27" spans="1:16" x14ac:dyDescent="0.35">
      <c r="A27" s="7">
        <v>44298.056944444441</v>
      </c>
      <c r="B27" t="s">
        <v>55</v>
      </c>
      <c r="C27" t="s">
        <v>80</v>
      </c>
      <c r="D27">
        <v>39.822867870000003</v>
      </c>
      <c r="E27">
        <v>12.725899999999999</v>
      </c>
      <c r="F27">
        <v>12.8544444444444</v>
      </c>
      <c r="G27" t="s">
        <v>116</v>
      </c>
      <c r="H27">
        <v>5.12</v>
      </c>
      <c r="I27">
        <v>0.47</v>
      </c>
      <c r="J27">
        <v>506.78</v>
      </c>
      <c r="K27" t="s">
        <v>117</v>
      </c>
      <c r="L27" s="5">
        <f>VALUE(IF(Crypto_Dataset[[#This Row],[Type]]="Sell", _xlfn.CONCAT("-", Crypto_Dataset[[#This Row],[Total AUD]]), Crypto_Dataset[[#This Row],[Total AUD]]))</f>
        <v>-506.78</v>
      </c>
      <c r="M27" s="3">
        <f>VALUE(IF(Crypto_Dataset[[#This Row],[Type]]="Sell", _xlfn.CONCAT("-", Crypto_Dataset[[#This Row],[Amount]]), Crypto_Dataset[[#This Row],[Amount]]))</f>
        <v>-39.822867870000003</v>
      </c>
    </row>
    <row r="28" spans="1:16" x14ac:dyDescent="0.35">
      <c r="A28" s="7">
        <v>44298.056250000001</v>
      </c>
      <c r="B28" t="s">
        <v>55</v>
      </c>
      <c r="C28" t="s">
        <v>20</v>
      </c>
      <c r="D28">
        <v>0.19064417</v>
      </c>
      <c r="E28">
        <v>2797.88</v>
      </c>
      <c r="F28">
        <v>2826.1414141414102</v>
      </c>
      <c r="G28" t="s">
        <v>118</v>
      </c>
      <c r="H28">
        <v>5.39</v>
      </c>
      <c r="I28">
        <v>0.49</v>
      </c>
      <c r="J28">
        <v>533.4</v>
      </c>
      <c r="K28" t="s">
        <v>119</v>
      </c>
      <c r="L28" s="5">
        <f>VALUE(IF(Crypto_Dataset[[#This Row],[Type]]="Sell", _xlfn.CONCAT("-", Crypto_Dataset[[#This Row],[Total AUD]]), Crypto_Dataset[[#This Row],[Total AUD]]))</f>
        <v>-533.4</v>
      </c>
      <c r="M28" s="3">
        <f>VALUE(IF(Crypto_Dataset[[#This Row],[Type]]="Sell", _xlfn.CONCAT("-", Crypto_Dataset[[#This Row],[Amount]]), Crypto_Dataset[[#This Row],[Amount]]))</f>
        <v>-0.19064417</v>
      </c>
    </row>
    <row r="29" spans="1:16" x14ac:dyDescent="0.35">
      <c r="A29" s="7">
        <v>44298.055555555555</v>
      </c>
      <c r="B29" t="s">
        <v>55</v>
      </c>
      <c r="C29" t="s">
        <v>24</v>
      </c>
      <c r="D29">
        <v>406.33121201</v>
      </c>
      <c r="E29">
        <v>1.6121449999999999</v>
      </c>
      <c r="F29">
        <v>1.6284292929292901</v>
      </c>
      <c r="G29" t="s">
        <v>120</v>
      </c>
      <c r="H29">
        <v>6.62</v>
      </c>
      <c r="I29">
        <v>0.6</v>
      </c>
      <c r="J29">
        <v>655.05999999999995</v>
      </c>
      <c r="K29" t="s">
        <v>121</v>
      </c>
      <c r="L29" s="5">
        <f>VALUE(IF(Crypto_Dataset[[#This Row],[Type]]="Sell", _xlfn.CONCAT("-", Crypto_Dataset[[#This Row],[Total AUD]]), Crypto_Dataset[[#This Row],[Total AUD]]))</f>
        <v>-655.05999999999995</v>
      </c>
      <c r="M29" s="3">
        <f>VALUE(IF(Crypto_Dataset[[#This Row],[Type]]="Sell", _xlfn.CONCAT("-", Crypto_Dataset[[#This Row],[Amount]]), Crypto_Dataset[[#This Row],[Amount]]))</f>
        <v>-406.33121201</v>
      </c>
    </row>
    <row r="30" spans="1:16" x14ac:dyDescent="0.35">
      <c r="A30" s="7">
        <v>44298.055555555555</v>
      </c>
      <c r="B30" t="s">
        <v>55</v>
      </c>
      <c r="C30" t="s">
        <v>81</v>
      </c>
      <c r="D30">
        <v>153.50862380000001</v>
      </c>
      <c r="E30">
        <v>2.773425</v>
      </c>
      <c r="F30">
        <v>2.8014393939393898</v>
      </c>
      <c r="G30" t="s">
        <v>122</v>
      </c>
      <c r="H30">
        <v>4.3</v>
      </c>
      <c r="I30">
        <v>0.39</v>
      </c>
      <c r="J30">
        <v>425.74</v>
      </c>
      <c r="K30" t="s">
        <v>123</v>
      </c>
      <c r="L30" s="5">
        <f>VALUE(IF(Crypto_Dataset[[#This Row],[Type]]="Sell", _xlfn.CONCAT("-", Crypto_Dataset[[#This Row],[Total AUD]]), Crypto_Dataset[[#This Row],[Total AUD]]))</f>
        <v>-425.74</v>
      </c>
      <c r="M30" s="3">
        <f>VALUE(IF(Crypto_Dataset[[#This Row],[Type]]="Sell", _xlfn.CONCAT("-", Crypto_Dataset[[#This Row],[Amount]]), Crypto_Dataset[[#This Row],[Amount]]))</f>
        <v>-153.50862380000001</v>
      </c>
    </row>
    <row r="31" spans="1:16" x14ac:dyDescent="0.35">
      <c r="A31" s="7">
        <v>44297.645833333336</v>
      </c>
      <c r="B31" t="s">
        <v>19</v>
      </c>
      <c r="C31" t="s">
        <v>22</v>
      </c>
      <c r="D31">
        <v>480</v>
      </c>
      <c r="E31">
        <v>2.0273110000000001</v>
      </c>
      <c r="F31">
        <v>2.0072400990099002</v>
      </c>
      <c r="G31" t="s">
        <v>124</v>
      </c>
      <c r="H31">
        <v>9.6300000000000008</v>
      </c>
      <c r="I31">
        <v>0.88</v>
      </c>
      <c r="J31">
        <v>973.11</v>
      </c>
      <c r="K31" t="s">
        <v>82</v>
      </c>
      <c r="L31" s="5">
        <f>VALUE(IF(Crypto_Dataset[[#This Row],[Type]]="Sell", _xlfn.CONCAT("-", Crypto_Dataset[[#This Row],[Total AUD]]), Crypto_Dataset[[#This Row],[Total AUD]]))</f>
        <v>973.11</v>
      </c>
      <c r="M31" s="3">
        <f>VALUE(IF(Crypto_Dataset[[#This Row],[Type]]="Sell", _xlfn.CONCAT("-", Crypto_Dataset[[#This Row],[Amount]]), Crypto_Dataset[[#This Row],[Amount]]))</f>
        <v>480</v>
      </c>
    </row>
    <row r="32" spans="1:16" x14ac:dyDescent="0.35">
      <c r="A32" s="7">
        <v>44297.637499999997</v>
      </c>
      <c r="B32" t="s">
        <v>19</v>
      </c>
      <c r="C32" t="s">
        <v>22</v>
      </c>
      <c r="D32">
        <v>499.99975000000001</v>
      </c>
      <c r="E32">
        <v>2.0000010000000001</v>
      </c>
      <c r="F32">
        <v>1.9801990099014799</v>
      </c>
      <c r="G32" t="s">
        <v>106</v>
      </c>
      <c r="H32">
        <v>9.9</v>
      </c>
      <c r="I32">
        <v>0.9</v>
      </c>
      <c r="J32">
        <v>1000</v>
      </c>
      <c r="K32" t="s">
        <v>70</v>
      </c>
      <c r="L32" s="5">
        <f>VALUE(IF(Crypto_Dataset[[#This Row],[Type]]="Sell", _xlfn.CONCAT("-", Crypto_Dataset[[#This Row],[Total AUD]]), Crypto_Dataset[[#This Row],[Total AUD]]))</f>
        <v>1000</v>
      </c>
      <c r="M32" s="3">
        <f>VALUE(IF(Crypto_Dataset[[#This Row],[Type]]="Sell", _xlfn.CONCAT("-", Crypto_Dataset[[#This Row],[Amount]]), Crypto_Dataset[[#This Row],[Amount]]))</f>
        <v>499.99975000000001</v>
      </c>
    </row>
    <row r="33" spans="1:13" x14ac:dyDescent="0.35">
      <c r="A33" s="7">
        <v>44297.136111111111</v>
      </c>
      <c r="B33" t="s">
        <v>19</v>
      </c>
      <c r="C33" t="s">
        <v>34</v>
      </c>
      <c r="D33">
        <v>14808.233377750001</v>
      </c>
      <c r="E33">
        <v>2.7012000000000001E-2</v>
      </c>
      <c r="F33">
        <v>2.674455445546E-2</v>
      </c>
      <c r="G33" t="s">
        <v>103</v>
      </c>
      <c r="H33">
        <v>3.96</v>
      </c>
      <c r="I33">
        <v>0.36</v>
      </c>
      <c r="J33">
        <v>400</v>
      </c>
      <c r="K33" t="s">
        <v>83</v>
      </c>
      <c r="L33" s="5">
        <f>VALUE(IF(Crypto_Dataset[[#This Row],[Type]]="Sell", _xlfn.CONCAT("-", Crypto_Dataset[[#This Row],[Total AUD]]), Crypto_Dataset[[#This Row],[Total AUD]]))</f>
        <v>400</v>
      </c>
      <c r="M33" s="3">
        <f>VALUE(IF(Crypto_Dataset[[#This Row],[Type]]="Sell", _xlfn.CONCAT("-", Crypto_Dataset[[#This Row],[Amount]]), Crypto_Dataset[[#This Row],[Amount]]))</f>
        <v>14808.233377750001</v>
      </c>
    </row>
    <row r="34" spans="1:13" x14ac:dyDescent="0.35">
      <c r="A34" s="7">
        <v>44296.999305555553</v>
      </c>
      <c r="B34" t="s">
        <v>19</v>
      </c>
      <c r="C34" t="s">
        <v>34</v>
      </c>
      <c r="D34">
        <v>13046.07126882</v>
      </c>
      <c r="E34">
        <v>2.6828000000000001E-2</v>
      </c>
      <c r="F34">
        <v>2.6562376237631101E-2</v>
      </c>
      <c r="G34" t="s">
        <v>125</v>
      </c>
      <c r="H34">
        <v>3.47</v>
      </c>
      <c r="I34">
        <v>0.32</v>
      </c>
      <c r="J34">
        <v>350</v>
      </c>
      <c r="K34" t="s">
        <v>84</v>
      </c>
      <c r="L34" s="5">
        <f>VALUE(IF(Crypto_Dataset[[#This Row],[Type]]="Sell", _xlfn.CONCAT("-", Crypto_Dataset[[#This Row],[Total AUD]]), Crypto_Dataset[[#This Row],[Total AUD]]))</f>
        <v>350</v>
      </c>
      <c r="M34" s="3">
        <f>VALUE(IF(Crypto_Dataset[[#This Row],[Type]]="Sell", _xlfn.CONCAT("-", Crypto_Dataset[[#This Row],[Amount]]), Crypto_Dataset[[#This Row],[Amount]]))</f>
        <v>13046.07126882</v>
      </c>
    </row>
    <row r="35" spans="1:13" x14ac:dyDescent="0.35">
      <c r="A35" s="7">
        <v>44294.709722222222</v>
      </c>
      <c r="B35" t="s">
        <v>19</v>
      </c>
      <c r="C35" t="s">
        <v>34</v>
      </c>
      <c r="D35">
        <v>15718.32756994</v>
      </c>
      <c r="E35">
        <v>3.1809999999999998E-2</v>
      </c>
      <c r="F35">
        <v>3.1495049504963603E-2</v>
      </c>
      <c r="G35" t="s">
        <v>102</v>
      </c>
      <c r="H35">
        <v>4.95</v>
      </c>
      <c r="I35">
        <v>0.45</v>
      </c>
      <c r="J35">
        <v>500</v>
      </c>
      <c r="K35" t="s">
        <v>29</v>
      </c>
      <c r="L35" s="5">
        <f>VALUE(IF(Crypto_Dataset[[#This Row],[Type]]="Sell", _xlfn.CONCAT("-", Crypto_Dataset[[#This Row],[Total AUD]]), Crypto_Dataset[[#This Row],[Total AUD]]))</f>
        <v>500</v>
      </c>
      <c r="M35" s="3">
        <f>VALUE(IF(Crypto_Dataset[[#This Row],[Type]]="Sell", _xlfn.CONCAT("-", Crypto_Dataset[[#This Row],[Amount]]), Crypto_Dataset[[#This Row],[Amount]]))</f>
        <v>15718.32756994</v>
      </c>
    </row>
    <row r="36" spans="1:13" x14ac:dyDescent="0.35">
      <c r="A36" s="7">
        <v>44293.551388888889</v>
      </c>
      <c r="B36" t="s">
        <v>19</v>
      </c>
      <c r="C36" t="s">
        <v>81</v>
      </c>
      <c r="D36">
        <v>153.50862380000001</v>
      </c>
      <c r="E36">
        <v>3.2571460000000001</v>
      </c>
      <c r="F36">
        <v>3.2248970298598598</v>
      </c>
      <c r="G36" t="s">
        <v>102</v>
      </c>
      <c r="H36">
        <v>4.95</v>
      </c>
      <c r="I36">
        <v>0.45</v>
      </c>
      <c r="J36">
        <v>500</v>
      </c>
      <c r="K36" t="s">
        <v>29</v>
      </c>
      <c r="L36" s="5">
        <f>VALUE(IF(Crypto_Dataset[[#This Row],[Type]]="Sell", _xlfn.CONCAT("-", Crypto_Dataset[[#This Row],[Total AUD]]), Crypto_Dataset[[#This Row],[Total AUD]]))</f>
        <v>500</v>
      </c>
      <c r="M36" s="3">
        <f>VALUE(IF(Crypto_Dataset[[#This Row],[Type]]="Sell", _xlfn.CONCAT("-", Crypto_Dataset[[#This Row],[Amount]]), Crypto_Dataset[[#This Row],[Amount]]))</f>
        <v>153.50862380000001</v>
      </c>
    </row>
    <row r="37" spans="1:13" x14ac:dyDescent="0.35">
      <c r="A37" s="7">
        <v>44293.289583333331</v>
      </c>
      <c r="B37" t="s">
        <v>19</v>
      </c>
      <c r="C37" t="s">
        <v>80</v>
      </c>
      <c r="D37">
        <v>39.822867870000003</v>
      </c>
      <c r="E37">
        <v>12.5556</v>
      </c>
      <c r="F37">
        <v>12.431287132974999</v>
      </c>
      <c r="G37" t="s">
        <v>102</v>
      </c>
      <c r="H37">
        <v>4.95</v>
      </c>
      <c r="I37">
        <v>0.45</v>
      </c>
      <c r="J37">
        <v>500</v>
      </c>
      <c r="K37" t="s">
        <v>29</v>
      </c>
      <c r="L37" s="5">
        <f>VALUE(IF(Crypto_Dataset[[#This Row],[Type]]="Sell", _xlfn.CONCAT("-", Crypto_Dataset[[#This Row],[Total AUD]]), Crypto_Dataset[[#This Row],[Total AUD]]))</f>
        <v>500</v>
      </c>
      <c r="M37" s="3">
        <f>VALUE(IF(Crypto_Dataset[[#This Row],[Type]]="Sell", _xlfn.CONCAT("-", Crypto_Dataset[[#This Row],[Amount]]), Crypto_Dataset[[#This Row],[Amount]]))</f>
        <v>39.822867870000003</v>
      </c>
    </row>
    <row r="38" spans="1:13" x14ac:dyDescent="0.35">
      <c r="A38" s="7">
        <v>44292.968055555553</v>
      </c>
      <c r="B38" t="s">
        <v>19</v>
      </c>
      <c r="C38" t="s">
        <v>74</v>
      </c>
      <c r="D38">
        <v>1.5645045200000001</v>
      </c>
      <c r="E38">
        <v>319.58999999999997</v>
      </c>
      <c r="F38">
        <v>316.42574286106498</v>
      </c>
      <c r="G38" t="s">
        <v>102</v>
      </c>
      <c r="H38">
        <v>4.95</v>
      </c>
      <c r="I38">
        <v>0.45</v>
      </c>
      <c r="J38">
        <v>500</v>
      </c>
      <c r="K38" t="s">
        <v>29</v>
      </c>
      <c r="L38" s="5">
        <f>VALUE(IF(Crypto_Dataset[[#This Row],[Type]]="Sell", _xlfn.CONCAT("-", Crypto_Dataset[[#This Row],[Total AUD]]), Crypto_Dataset[[#This Row],[Total AUD]]))</f>
        <v>500</v>
      </c>
      <c r="M38" s="3">
        <f>VALUE(IF(Crypto_Dataset[[#This Row],[Type]]="Sell", _xlfn.CONCAT("-", Crypto_Dataset[[#This Row],[Amount]]), Crypto_Dataset[[#This Row],[Amount]]))</f>
        <v>1.5645045200000001</v>
      </c>
    </row>
    <row r="39" spans="1:13" x14ac:dyDescent="0.35">
      <c r="A39" s="7">
        <v>44292.967361111114</v>
      </c>
      <c r="B39" t="s">
        <v>19</v>
      </c>
      <c r="C39" t="s">
        <v>85</v>
      </c>
      <c r="D39">
        <v>285.92390877000003</v>
      </c>
      <c r="E39">
        <v>1.7487170000000001</v>
      </c>
      <c r="F39">
        <v>1.7314029703920899</v>
      </c>
      <c r="G39" t="s">
        <v>102</v>
      </c>
      <c r="H39">
        <v>4.95</v>
      </c>
      <c r="I39">
        <v>0.45</v>
      </c>
      <c r="J39">
        <v>500</v>
      </c>
      <c r="K39" t="s">
        <v>29</v>
      </c>
      <c r="L39" s="5">
        <f>VALUE(IF(Crypto_Dataset[[#This Row],[Type]]="Sell", _xlfn.CONCAT("-", Crypto_Dataset[[#This Row],[Total AUD]]), Crypto_Dataset[[#This Row],[Total AUD]]))</f>
        <v>500</v>
      </c>
      <c r="M39" s="3">
        <f>VALUE(IF(Crypto_Dataset[[#This Row],[Type]]="Sell", _xlfn.CONCAT("-", Crypto_Dataset[[#This Row],[Amount]]), Crypto_Dataset[[#This Row],[Amount]]))</f>
        <v>285.92390877000003</v>
      </c>
    </row>
    <row r="40" spans="1:13" x14ac:dyDescent="0.35">
      <c r="A40" s="7">
        <v>44291.600694444445</v>
      </c>
      <c r="B40" t="s">
        <v>19</v>
      </c>
      <c r="C40" t="s">
        <v>86</v>
      </c>
      <c r="D40">
        <v>935.39069398000004</v>
      </c>
      <c r="E40">
        <v>0.53453600000000001</v>
      </c>
      <c r="F40">
        <v>0.52924356435929998</v>
      </c>
      <c r="G40" t="s">
        <v>102</v>
      </c>
      <c r="H40">
        <v>4.95</v>
      </c>
      <c r="I40">
        <v>0.45</v>
      </c>
      <c r="J40">
        <v>500</v>
      </c>
      <c r="K40" t="s">
        <v>29</v>
      </c>
      <c r="L40" s="5">
        <f>VALUE(IF(Crypto_Dataset[[#This Row],[Type]]="Sell", _xlfn.CONCAT("-", Crypto_Dataset[[#This Row],[Total AUD]]), Crypto_Dataset[[#This Row],[Total AUD]]))</f>
        <v>500</v>
      </c>
      <c r="M40" s="3">
        <f>VALUE(IF(Crypto_Dataset[[#This Row],[Type]]="Sell", _xlfn.CONCAT("-", Crypto_Dataset[[#This Row],[Amount]]), Crypto_Dataset[[#This Row],[Amount]]))</f>
        <v>935.39069398000004</v>
      </c>
    </row>
    <row r="41" spans="1:13" x14ac:dyDescent="0.35">
      <c r="A41" s="7">
        <v>44291.550694444442</v>
      </c>
      <c r="B41" t="s">
        <v>19</v>
      </c>
      <c r="C41" t="s">
        <v>126</v>
      </c>
      <c r="D41">
        <v>30954.0023525</v>
      </c>
      <c r="E41">
        <v>1.6153000000000001E-2</v>
      </c>
      <c r="F41">
        <v>1.5993069306932801E-2</v>
      </c>
      <c r="G41" t="s">
        <v>102</v>
      </c>
      <c r="H41">
        <v>4.95</v>
      </c>
      <c r="I41">
        <v>0.45</v>
      </c>
      <c r="J41">
        <v>500</v>
      </c>
      <c r="K41" t="s">
        <v>29</v>
      </c>
      <c r="L41" s="5">
        <f>VALUE(IF(Crypto_Dataset[[#This Row],[Type]]="Sell", _xlfn.CONCAT("-", Crypto_Dataset[[#This Row],[Total AUD]]), Crypto_Dataset[[#This Row],[Total AUD]]))</f>
        <v>500</v>
      </c>
      <c r="M41" s="3">
        <f>VALUE(IF(Crypto_Dataset[[#This Row],[Type]]="Sell", _xlfn.CONCAT("-", Crypto_Dataset[[#This Row],[Amount]]), Crypto_Dataset[[#This Row],[Amount]]))</f>
        <v>30954.0023525</v>
      </c>
    </row>
    <row r="42" spans="1:13" x14ac:dyDescent="0.35">
      <c r="A42" s="7">
        <v>44291.546527777777</v>
      </c>
      <c r="B42" t="s">
        <v>55</v>
      </c>
      <c r="C42" t="s">
        <v>27</v>
      </c>
      <c r="D42">
        <v>1.32375061438575E-2</v>
      </c>
      <c r="E42">
        <v>75542.929999999993</v>
      </c>
      <c r="F42">
        <v>76305.989898989894</v>
      </c>
      <c r="G42" t="s">
        <v>127</v>
      </c>
      <c r="H42">
        <v>10.1</v>
      </c>
      <c r="I42">
        <v>0.92</v>
      </c>
      <c r="J42">
        <v>1000</v>
      </c>
      <c r="K42" t="s">
        <v>128</v>
      </c>
      <c r="L42" s="5">
        <f>VALUE(IF(Crypto_Dataset[[#This Row],[Type]]="Sell", _xlfn.CONCAT("-", Crypto_Dataset[[#This Row],[Total AUD]]), Crypto_Dataset[[#This Row],[Total AUD]]))</f>
        <v>-1000</v>
      </c>
      <c r="M42" s="3">
        <f>VALUE(IF(Crypto_Dataset[[#This Row],[Type]]="Sell", _xlfn.CONCAT("-", Crypto_Dataset[[#This Row],[Amount]]), Crypto_Dataset[[#This Row],[Amount]]))</f>
        <v>-1.32375061438575E-2</v>
      </c>
    </row>
    <row r="43" spans="1:13" x14ac:dyDescent="0.35">
      <c r="A43" s="7">
        <v>44291.302083333336</v>
      </c>
      <c r="B43" t="s">
        <v>19</v>
      </c>
      <c r="C43" t="s">
        <v>78</v>
      </c>
      <c r="D43">
        <v>67.885897380000003</v>
      </c>
      <c r="E43">
        <v>14.730600000000001</v>
      </c>
      <c r="F43">
        <v>14.5847524760376</v>
      </c>
      <c r="G43" t="s">
        <v>106</v>
      </c>
      <c r="H43">
        <v>9.9</v>
      </c>
      <c r="I43">
        <v>0.9</v>
      </c>
      <c r="J43">
        <v>1000</v>
      </c>
      <c r="K43" t="s">
        <v>70</v>
      </c>
      <c r="L43" s="5">
        <f>VALUE(IF(Crypto_Dataset[[#This Row],[Type]]="Sell", _xlfn.CONCAT("-", Crypto_Dataset[[#This Row],[Total AUD]]), Crypto_Dataset[[#This Row],[Total AUD]]))</f>
        <v>1000</v>
      </c>
      <c r="M43" s="3">
        <f>VALUE(IF(Crypto_Dataset[[#This Row],[Type]]="Sell", _xlfn.CONCAT("-", Crypto_Dataset[[#This Row],[Amount]]), Crypto_Dataset[[#This Row],[Amount]]))</f>
        <v>67.885897380000003</v>
      </c>
    </row>
    <row r="44" spans="1:13" x14ac:dyDescent="0.35">
      <c r="A44" s="7">
        <v>44291.297222222223</v>
      </c>
      <c r="B44" t="s">
        <v>55</v>
      </c>
      <c r="C44" t="s">
        <v>27</v>
      </c>
      <c r="D44">
        <v>1.31407115274789E-2</v>
      </c>
      <c r="E44">
        <v>76099.38</v>
      </c>
      <c r="F44">
        <v>76868.060606060593</v>
      </c>
      <c r="G44" t="s">
        <v>127</v>
      </c>
      <c r="H44">
        <v>10.1</v>
      </c>
      <c r="I44">
        <v>0.92</v>
      </c>
      <c r="J44">
        <v>1000</v>
      </c>
      <c r="K44" t="s">
        <v>128</v>
      </c>
      <c r="L44" s="5">
        <f>VALUE(IF(Crypto_Dataset[[#This Row],[Type]]="Sell", _xlfn.CONCAT("-", Crypto_Dataset[[#This Row],[Total AUD]]), Crypto_Dataset[[#This Row],[Total AUD]]))</f>
        <v>-1000</v>
      </c>
      <c r="M44" s="3">
        <f>VALUE(IF(Crypto_Dataset[[#This Row],[Type]]="Sell", _xlfn.CONCAT("-", Crypto_Dataset[[#This Row],[Amount]]), Crypto_Dataset[[#This Row],[Amount]]))</f>
        <v>-1.31407115274789E-2</v>
      </c>
    </row>
    <row r="45" spans="1:13" x14ac:dyDescent="0.35">
      <c r="A45" s="7">
        <v>44290.675694444442</v>
      </c>
      <c r="B45" t="s">
        <v>19</v>
      </c>
      <c r="C45" t="s">
        <v>87</v>
      </c>
      <c r="D45">
        <v>0.18429203999999999</v>
      </c>
      <c r="E45">
        <v>255.03</v>
      </c>
      <c r="F45">
        <v>252.50495607594601</v>
      </c>
      <c r="G45" t="s">
        <v>129</v>
      </c>
      <c r="H45">
        <v>0.47</v>
      </c>
      <c r="I45">
        <v>0.04</v>
      </c>
      <c r="J45">
        <v>47</v>
      </c>
      <c r="K45" t="s">
        <v>88</v>
      </c>
      <c r="L45" s="5">
        <f>VALUE(IF(Crypto_Dataset[[#This Row],[Type]]="Sell", _xlfn.CONCAT("-", Crypto_Dataset[[#This Row],[Total AUD]]), Crypto_Dataset[[#This Row],[Total AUD]]))</f>
        <v>47</v>
      </c>
      <c r="M45" s="3">
        <f>VALUE(IF(Crypto_Dataset[[#This Row],[Type]]="Sell", _xlfn.CONCAT("-", Crypto_Dataset[[#This Row],[Amount]]), Crypto_Dataset[[#This Row],[Amount]]))</f>
        <v>0.18429203999999999</v>
      </c>
    </row>
    <row r="46" spans="1:13" x14ac:dyDescent="0.35">
      <c r="A46" s="7">
        <v>44290.675694444442</v>
      </c>
      <c r="B46" t="s">
        <v>19</v>
      </c>
      <c r="C46" t="s">
        <v>126</v>
      </c>
      <c r="D46">
        <v>4632.4269889200004</v>
      </c>
      <c r="E46">
        <v>9.9299999999999996E-3</v>
      </c>
      <c r="F46">
        <v>9.8316831683220394E-3</v>
      </c>
      <c r="G46" t="s">
        <v>130</v>
      </c>
      <c r="H46">
        <v>0.46</v>
      </c>
      <c r="I46">
        <v>0.04</v>
      </c>
      <c r="J46">
        <v>46</v>
      </c>
      <c r="K46" t="s">
        <v>89</v>
      </c>
      <c r="L46" s="5">
        <f>VALUE(IF(Crypto_Dataset[[#This Row],[Type]]="Sell", _xlfn.CONCAT("-", Crypto_Dataset[[#This Row],[Total AUD]]), Crypto_Dataset[[#This Row],[Total AUD]]))</f>
        <v>46</v>
      </c>
      <c r="M46" s="3">
        <f>VALUE(IF(Crypto_Dataset[[#This Row],[Type]]="Sell", _xlfn.CONCAT("-", Crypto_Dataset[[#This Row],[Amount]]), Crypto_Dataset[[#This Row],[Amount]]))</f>
        <v>4632.4269889200004</v>
      </c>
    </row>
    <row r="47" spans="1:13" x14ac:dyDescent="0.35">
      <c r="A47" s="7">
        <v>44289.720138888886</v>
      </c>
      <c r="B47" t="s">
        <v>19</v>
      </c>
      <c r="C47" t="s">
        <v>34</v>
      </c>
      <c r="D47">
        <v>16788.38243935</v>
      </c>
      <c r="E47">
        <v>3.5739E-2</v>
      </c>
      <c r="F47">
        <v>3.5385148514855601E-2</v>
      </c>
      <c r="G47" t="s">
        <v>100</v>
      </c>
      <c r="H47">
        <v>5.94</v>
      </c>
      <c r="I47">
        <v>0.54</v>
      </c>
      <c r="J47">
        <v>600</v>
      </c>
      <c r="K47" t="s">
        <v>75</v>
      </c>
      <c r="L47" s="5">
        <f>VALUE(IF(Crypto_Dataset[[#This Row],[Type]]="Sell", _xlfn.CONCAT("-", Crypto_Dataset[[#This Row],[Total AUD]]), Crypto_Dataset[[#This Row],[Total AUD]]))</f>
        <v>600</v>
      </c>
      <c r="M47" s="3">
        <f>VALUE(IF(Crypto_Dataset[[#This Row],[Type]]="Sell", _xlfn.CONCAT("-", Crypto_Dataset[[#This Row],[Amount]]), Crypto_Dataset[[#This Row],[Amount]]))</f>
        <v>16788.38243935</v>
      </c>
    </row>
    <row r="48" spans="1:13" x14ac:dyDescent="0.35">
      <c r="A48" s="7">
        <v>44289.691666666666</v>
      </c>
      <c r="B48" t="s">
        <v>19</v>
      </c>
      <c r="C48" t="s">
        <v>34</v>
      </c>
      <c r="D48">
        <v>17451.49937465</v>
      </c>
      <c r="E48">
        <v>3.4381000000000002E-2</v>
      </c>
      <c r="F48">
        <v>3.4040594059414897E-2</v>
      </c>
      <c r="G48" t="s">
        <v>100</v>
      </c>
      <c r="H48">
        <v>5.94</v>
      </c>
      <c r="I48">
        <v>0.54</v>
      </c>
      <c r="J48">
        <v>600</v>
      </c>
      <c r="K48" t="s">
        <v>75</v>
      </c>
      <c r="L48" s="5">
        <f>VALUE(IF(Crypto_Dataset[[#This Row],[Type]]="Sell", _xlfn.CONCAT("-", Crypto_Dataset[[#This Row],[Total AUD]]), Crypto_Dataset[[#This Row],[Total AUD]]))</f>
        <v>600</v>
      </c>
      <c r="M48" s="3">
        <f>VALUE(IF(Crypto_Dataset[[#This Row],[Type]]="Sell", _xlfn.CONCAT("-", Crypto_Dataset[[#This Row],[Amount]]), Crypto_Dataset[[#This Row],[Amount]]))</f>
        <v>17451.49937465</v>
      </c>
    </row>
    <row r="49" spans="1:13" x14ac:dyDescent="0.35">
      <c r="A49" s="7">
        <v>44285.774305555555</v>
      </c>
      <c r="B49" t="s">
        <v>19</v>
      </c>
      <c r="C49" t="s">
        <v>20</v>
      </c>
      <c r="D49">
        <v>6.0650660000000002E-2</v>
      </c>
      <c r="E49">
        <v>2473.1799999999998</v>
      </c>
      <c r="F49">
        <v>2448.6930807537501</v>
      </c>
      <c r="G49" t="s">
        <v>131</v>
      </c>
      <c r="H49">
        <v>1.49</v>
      </c>
      <c r="I49">
        <v>0.14000000000000001</v>
      </c>
      <c r="J49">
        <v>150</v>
      </c>
      <c r="K49" t="s">
        <v>21</v>
      </c>
      <c r="L49" s="5">
        <f>VALUE(IF(Crypto_Dataset[[#This Row],[Type]]="Sell", _xlfn.CONCAT("-", Crypto_Dataset[[#This Row],[Total AUD]]), Crypto_Dataset[[#This Row],[Total AUD]]))</f>
        <v>150</v>
      </c>
      <c r="M49" s="3">
        <f>VALUE(IF(Crypto_Dataset[[#This Row],[Type]]="Sell", _xlfn.CONCAT("-", Crypto_Dataset[[#This Row],[Amount]]), Crypto_Dataset[[#This Row],[Amount]]))</f>
        <v>6.0650660000000002E-2</v>
      </c>
    </row>
    <row r="50" spans="1:13" x14ac:dyDescent="0.35">
      <c r="A50" s="7">
        <v>44285.774305555555</v>
      </c>
      <c r="B50" t="s">
        <v>19</v>
      </c>
      <c r="C50" t="s">
        <v>22</v>
      </c>
      <c r="D50">
        <v>190.81226235</v>
      </c>
      <c r="E50">
        <v>0.78611299999999995</v>
      </c>
      <c r="F50">
        <v>0.77832970300793902</v>
      </c>
      <c r="G50" t="s">
        <v>131</v>
      </c>
      <c r="H50">
        <v>1.49</v>
      </c>
      <c r="I50">
        <v>0.14000000000000001</v>
      </c>
      <c r="J50">
        <v>150</v>
      </c>
      <c r="K50" t="s">
        <v>21</v>
      </c>
      <c r="L50" s="5">
        <f>VALUE(IF(Crypto_Dataset[[#This Row],[Type]]="Sell", _xlfn.CONCAT("-", Crypto_Dataset[[#This Row],[Total AUD]]), Crypto_Dataset[[#This Row],[Total AUD]]))</f>
        <v>150</v>
      </c>
      <c r="M50" s="3">
        <f>VALUE(IF(Crypto_Dataset[[#This Row],[Type]]="Sell", _xlfn.CONCAT("-", Crypto_Dataset[[#This Row],[Amount]]), Crypto_Dataset[[#This Row],[Amount]]))</f>
        <v>190.81226235</v>
      </c>
    </row>
    <row r="51" spans="1:13" x14ac:dyDescent="0.35">
      <c r="A51" s="7">
        <v>44282.60833333333</v>
      </c>
      <c r="B51" t="s">
        <v>19</v>
      </c>
      <c r="C51" t="s">
        <v>20</v>
      </c>
      <c r="D51">
        <v>6.4954460000000006E-2</v>
      </c>
      <c r="E51">
        <v>2309.31</v>
      </c>
      <c r="F51">
        <v>2286.4457880975101</v>
      </c>
      <c r="G51" t="s">
        <v>131</v>
      </c>
      <c r="H51">
        <v>1.49</v>
      </c>
      <c r="I51">
        <v>0.14000000000000001</v>
      </c>
      <c r="J51">
        <v>150</v>
      </c>
      <c r="K51" t="s">
        <v>21</v>
      </c>
      <c r="L51" s="5">
        <f>VALUE(IF(Crypto_Dataset[[#This Row],[Type]]="Sell", _xlfn.CONCAT("-", Crypto_Dataset[[#This Row],[Total AUD]]), Crypto_Dataset[[#This Row],[Total AUD]]))</f>
        <v>150</v>
      </c>
      <c r="M51" s="3">
        <f>VALUE(IF(Crypto_Dataset[[#This Row],[Type]]="Sell", _xlfn.CONCAT("-", Crypto_Dataset[[#This Row],[Amount]]), Crypto_Dataset[[#This Row],[Amount]]))</f>
        <v>6.4954460000000006E-2</v>
      </c>
    </row>
    <row r="52" spans="1:13" x14ac:dyDescent="0.35">
      <c r="A52" s="7">
        <v>44282.607638888891</v>
      </c>
      <c r="B52" t="s">
        <v>19</v>
      </c>
      <c r="C52" t="s">
        <v>23</v>
      </c>
      <c r="D52">
        <v>271.01935800000001</v>
      </c>
      <c r="E52">
        <v>0.55346600000000001</v>
      </c>
      <c r="F52">
        <v>0.54798613863275503</v>
      </c>
      <c r="G52" t="s">
        <v>131</v>
      </c>
      <c r="H52">
        <v>1.49</v>
      </c>
      <c r="I52">
        <v>0.14000000000000001</v>
      </c>
      <c r="J52">
        <v>150</v>
      </c>
      <c r="K52" t="s">
        <v>21</v>
      </c>
      <c r="L52" s="5">
        <f>VALUE(IF(Crypto_Dataset[[#This Row],[Type]]="Sell", _xlfn.CONCAT("-", Crypto_Dataset[[#This Row],[Total AUD]]), Crypto_Dataset[[#This Row],[Total AUD]]))</f>
        <v>150</v>
      </c>
      <c r="M52" s="3">
        <f>VALUE(IF(Crypto_Dataset[[#This Row],[Type]]="Sell", _xlfn.CONCAT("-", Crypto_Dataset[[#This Row],[Amount]]), Crypto_Dataset[[#This Row],[Amount]]))</f>
        <v>271.01935800000001</v>
      </c>
    </row>
    <row r="53" spans="1:13" x14ac:dyDescent="0.35">
      <c r="A53" s="7">
        <v>44282.607638888891</v>
      </c>
      <c r="B53" t="s">
        <v>19</v>
      </c>
      <c r="C53" t="s">
        <v>24</v>
      </c>
      <c r="D53">
        <v>92.882477649999998</v>
      </c>
      <c r="E53">
        <v>1.6149439999999999</v>
      </c>
      <c r="F53">
        <v>1.5989544555947599</v>
      </c>
      <c r="G53" t="s">
        <v>131</v>
      </c>
      <c r="H53">
        <v>1.49</v>
      </c>
      <c r="I53">
        <v>0.14000000000000001</v>
      </c>
      <c r="J53">
        <v>150</v>
      </c>
      <c r="K53" t="s">
        <v>21</v>
      </c>
      <c r="L53" s="5">
        <f>VALUE(IF(Crypto_Dataset[[#This Row],[Type]]="Sell", _xlfn.CONCAT("-", Crypto_Dataset[[#This Row],[Total AUD]]), Crypto_Dataset[[#This Row],[Total AUD]]))</f>
        <v>150</v>
      </c>
      <c r="M53" s="3">
        <f>VALUE(IF(Crypto_Dataset[[#This Row],[Type]]="Sell", _xlfn.CONCAT("-", Crypto_Dataset[[#This Row],[Amount]]), Crypto_Dataset[[#This Row],[Amount]]))</f>
        <v>92.882477649999998</v>
      </c>
    </row>
    <row r="54" spans="1:13" x14ac:dyDescent="0.35">
      <c r="A54" s="7">
        <v>44282.607638888891</v>
      </c>
      <c r="B54" t="s">
        <v>19</v>
      </c>
      <c r="C54" t="s">
        <v>132</v>
      </c>
      <c r="D54">
        <v>24.543892660000001</v>
      </c>
      <c r="E54">
        <v>6.1115000000000004</v>
      </c>
      <c r="F54">
        <v>6.0509900993491597</v>
      </c>
      <c r="G54" t="s">
        <v>131</v>
      </c>
      <c r="H54">
        <v>1.49</v>
      </c>
      <c r="I54">
        <v>0.14000000000000001</v>
      </c>
      <c r="J54">
        <v>150</v>
      </c>
      <c r="K54" t="s">
        <v>21</v>
      </c>
      <c r="L54" s="5">
        <f>VALUE(IF(Crypto_Dataset[[#This Row],[Type]]="Sell", _xlfn.CONCAT("-", Crypto_Dataset[[#This Row],[Total AUD]]), Crypto_Dataset[[#This Row],[Total AUD]]))</f>
        <v>150</v>
      </c>
      <c r="M54" s="3">
        <f>VALUE(IF(Crypto_Dataset[[#This Row],[Type]]="Sell", _xlfn.CONCAT("-", Crypto_Dataset[[#This Row],[Amount]]), Crypto_Dataset[[#This Row],[Amount]]))</f>
        <v>24.543892660000001</v>
      </c>
    </row>
    <row r="55" spans="1:13" x14ac:dyDescent="0.35">
      <c r="A55" s="7">
        <v>44282.607638888891</v>
      </c>
      <c r="B55" t="s">
        <v>19</v>
      </c>
      <c r="C55" t="s">
        <v>25</v>
      </c>
      <c r="D55">
        <v>3.3990482599999998</v>
      </c>
      <c r="E55">
        <v>44.13</v>
      </c>
      <c r="F55">
        <v>43.693069390296998</v>
      </c>
      <c r="G55" t="s">
        <v>131</v>
      </c>
      <c r="H55">
        <v>1.49</v>
      </c>
      <c r="I55">
        <v>0.14000000000000001</v>
      </c>
      <c r="J55">
        <v>150</v>
      </c>
      <c r="K55" t="s">
        <v>21</v>
      </c>
      <c r="L55" s="5">
        <f>VALUE(IF(Crypto_Dataset[[#This Row],[Type]]="Sell", _xlfn.CONCAT("-", Crypto_Dataset[[#This Row],[Total AUD]]), Crypto_Dataset[[#This Row],[Total AUD]]))</f>
        <v>150</v>
      </c>
      <c r="M55" s="3">
        <f>VALUE(IF(Crypto_Dataset[[#This Row],[Type]]="Sell", _xlfn.CONCAT("-", Crypto_Dataset[[#This Row],[Amount]]), Crypto_Dataset[[#This Row],[Amount]]))</f>
        <v>3.3990482599999998</v>
      </c>
    </row>
    <row r="56" spans="1:13" x14ac:dyDescent="0.35">
      <c r="A56" s="7">
        <v>44282.606944444444</v>
      </c>
      <c r="B56" t="s">
        <v>19</v>
      </c>
      <c r="C56" t="s">
        <v>26</v>
      </c>
      <c r="D56">
        <v>662.10257291999994</v>
      </c>
      <c r="E56">
        <v>0.226551</v>
      </c>
      <c r="F56">
        <v>0.224307920795669</v>
      </c>
      <c r="G56" t="s">
        <v>131</v>
      </c>
      <c r="H56">
        <v>1.49</v>
      </c>
      <c r="I56">
        <v>0.14000000000000001</v>
      </c>
      <c r="J56">
        <v>150</v>
      </c>
      <c r="K56" t="s">
        <v>21</v>
      </c>
      <c r="L56" s="5">
        <f>VALUE(IF(Crypto_Dataset[[#This Row],[Type]]="Sell", _xlfn.CONCAT("-", Crypto_Dataset[[#This Row],[Total AUD]]), Crypto_Dataset[[#This Row],[Total AUD]]))</f>
        <v>150</v>
      </c>
      <c r="M56" s="3">
        <f>VALUE(IF(Crypto_Dataset[[#This Row],[Type]]="Sell", _xlfn.CONCAT("-", Crypto_Dataset[[#This Row],[Amount]]), Crypto_Dataset[[#This Row],[Amount]]))</f>
        <v>662.10257291999994</v>
      </c>
    </row>
    <row r="57" spans="1:13" x14ac:dyDescent="0.35">
      <c r="A57" s="7">
        <v>44282.606944444444</v>
      </c>
      <c r="B57" t="s">
        <v>19</v>
      </c>
      <c r="C57" t="s">
        <v>27</v>
      </c>
      <c r="D57">
        <v>2.03958E-3</v>
      </c>
      <c r="E57">
        <v>73544.210000010004</v>
      </c>
      <c r="F57">
        <v>72816.389396419094</v>
      </c>
      <c r="G57" t="s">
        <v>131</v>
      </c>
      <c r="H57">
        <v>1.49</v>
      </c>
      <c r="I57">
        <v>0.14000000000000001</v>
      </c>
      <c r="J57">
        <v>150</v>
      </c>
      <c r="K57" t="s">
        <v>21</v>
      </c>
      <c r="L57" s="5">
        <f>VALUE(IF(Crypto_Dataset[[#This Row],[Type]]="Sell", _xlfn.CONCAT("-", Crypto_Dataset[[#This Row],[Total AUD]]), Crypto_Dataset[[#This Row],[Total AUD]]))</f>
        <v>150</v>
      </c>
      <c r="M57" s="3">
        <f>VALUE(IF(Crypto_Dataset[[#This Row],[Type]]="Sell", _xlfn.CONCAT("-", Crypto_Dataset[[#This Row],[Amount]]), Crypto_Dataset[[#This Row],[Amount]]))</f>
        <v>2.03958E-3</v>
      </c>
    </row>
    <row r="58" spans="1:13" x14ac:dyDescent="0.35">
      <c r="A58" s="7">
        <v>44282.606944444444</v>
      </c>
      <c r="B58" t="s">
        <v>19</v>
      </c>
      <c r="C58" t="s">
        <v>22</v>
      </c>
      <c r="D58">
        <v>196.42120563</v>
      </c>
      <c r="E58">
        <v>0.76366500000000004</v>
      </c>
      <c r="F58">
        <v>0.75610396040897399</v>
      </c>
      <c r="G58" t="s">
        <v>131</v>
      </c>
      <c r="H58">
        <v>1.49</v>
      </c>
      <c r="I58">
        <v>0.14000000000000001</v>
      </c>
      <c r="J58">
        <v>150</v>
      </c>
      <c r="K58" t="s">
        <v>21</v>
      </c>
      <c r="L58" s="5">
        <f>VALUE(IF(Crypto_Dataset[[#This Row],[Type]]="Sell", _xlfn.CONCAT("-", Crypto_Dataset[[#This Row],[Total AUD]]), Crypto_Dataset[[#This Row],[Total AUD]]))</f>
        <v>150</v>
      </c>
      <c r="M58" s="3">
        <f>VALUE(IF(Crypto_Dataset[[#This Row],[Type]]="Sell", _xlfn.CONCAT("-", Crypto_Dataset[[#This Row],[Amount]]), Crypto_Dataset[[#This Row],[Amount]]))</f>
        <v>196.42120563</v>
      </c>
    </row>
    <row r="59" spans="1:13" x14ac:dyDescent="0.35">
      <c r="A59" s="7">
        <v>44282.602777777778</v>
      </c>
      <c r="B59" t="s">
        <v>19</v>
      </c>
      <c r="C59" t="s">
        <v>28</v>
      </c>
      <c r="D59">
        <v>8.8276836000000003</v>
      </c>
      <c r="E59">
        <v>56.64</v>
      </c>
      <c r="F59">
        <v>56.079208021286</v>
      </c>
      <c r="G59" t="s">
        <v>102</v>
      </c>
      <c r="H59">
        <v>4.95</v>
      </c>
      <c r="I59">
        <v>0.45</v>
      </c>
      <c r="J59">
        <v>500</v>
      </c>
      <c r="K59" t="s">
        <v>29</v>
      </c>
      <c r="L59" s="5">
        <f>VALUE(IF(Crypto_Dataset[[#This Row],[Type]]="Sell", _xlfn.CONCAT("-", Crypto_Dataset[[#This Row],[Total AUD]]), Crypto_Dataset[[#This Row],[Total AUD]]))</f>
        <v>500</v>
      </c>
      <c r="M59" s="3">
        <f>VALUE(IF(Crypto_Dataset[[#This Row],[Type]]="Sell", _xlfn.CONCAT("-", Crypto_Dataset[[#This Row],[Amount]]), Crypto_Dataset[[#This Row],[Amount]]))</f>
        <v>8.8276836000000003</v>
      </c>
    </row>
    <row r="60" spans="1:13" x14ac:dyDescent="0.35">
      <c r="A60" s="7">
        <v>44282.425694444442</v>
      </c>
      <c r="B60" t="s">
        <v>19</v>
      </c>
      <c r="C60" t="s">
        <v>27</v>
      </c>
      <c r="D60">
        <v>4.1050699999999997E-3</v>
      </c>
      <c r="E60">
        <v>73080.210000010004</v>
      </c>
      <c r="F60">
        <v>72356.793664979399</v>
      </c>
      <c r="G60" t="s">
        <v>133</v>
      </c>
      <c r="H60">
        <v>2.97</v>
      </c>
      <c r="I60">
        <v>0.27</v>
      </c>
      <c r="J60">
        <v>300</v>
      </c>
      <c r="K60" t="s">
        <v>30</v>
      </c>
      <c r="L60" s="5">
        <f>VALUE(IF(Crypto_Dataset[[#This Row],[Type]]="Sell", _xlfn.CONCAT("-", Crypto_Dataset[[#This Row],[Total AUD]]), Crypto_Dataset[[#This Row],[Total AUD]]))</f>
        <v>300</v>
      </c>
      <c r="M60" s="3">
        <f>VALUE(IF(Crypto_Dataset[[#This Row],[Type]]="Sell", _xlfn.CONCAT("-", Crypto_Dataset[[#This Row],[Amount]]), Crypto_Dataset[[#This Row],[Amount]]))</f>
        <v>4.1050699999999997E-3</v>
      </c>
    </row>
    <row r="61" spans="1:13" x14ac:dyDescent="0.35">
      <c r="A61" s="7">
        <v>44279.23541666667</v>
      </c>
      <c r="B61" t="s">
        <v>19</v>
      </c>
      <c r="C61" t="s">
        <v>26</v>
      </c>
      <c r="D61">
        <v>1326.16614209</v>
      </c>
      <c r="E61">
        <v>0.226216</v>
      </c>
      <c r="F61">
        <v>0.22397623762448499</v>
      </c>
      <c r="G61" t="s">
        <v>133</v>
      </c>
      <c r="H61">
        <v>2.97</v>
      </c>
      <c r="I61">
        <v>0.27</v>
      </c>
      <c r="J61">
        <v>300</v>
      </c>
      <c r="K61" t="s">
        <v>30</v>
      </c>
      <c r="L61" s="5">
        <f>VALUE(IF(Crypto_Dataset[[#This Row],[Type]]="Sell", _xlfn.CONCAT("-", Crypto_Dataset[[#This Row],[Total AUD]]), Crypto_Dataset[[#This Row],[Total AUD]]))</f>
        <v>300</v>
      </c>
      <c r="M61" s="3">
        <f>VALUE(IF(Crypto_Dataset[[#This Row],[Type]]="Sell", _xlfn.CONCAT("-", Crypto_Dataset[[#This Row],[Amount]]), Crypto_Dataset[[#This Row],[Amount]]))</f>
        <v>1326.16614209</v>
      </c>
    </row>
    <row r="62" spans="1:13" x14ac:dyDescent="0.35">
      <c r="A62" s="7">
        <v>44279.234722222223</v>
      </c>
      <c r="B62" t="s">
        <v>19</v>
      </c>
      <c r="C62" t="s">
        <v>132</v>
      </c>
      <c r="D62">
        <v>43.652237169999999</v>
      </c>
      <c r="E62">
        <v>6.8724999999999996</v>
      </c>
      <c r="F62">
        <v>6.8044554466599099</v>
      </c>
      <c r="G62" t="s">
        <v>133</v>
      </c>
      <c r="H62">
        <v>2.97</v>
      </c>
      <c r="I62">
        <v>0.27</v>
      </c>
      <c r="J62">
        <v>300</v>
      </c>
      <c r="K62" t="s">
        <v>30</v>
      </c>
      <c r="L62" s="5">
        <f>VALUE(IF(Crypto_Dataset[[#This Row],[Type]]="Sell", _xlfn.CONCAT("-", Crypto_Dataset[[#This Row],[Total AUD]]), Crypto_Dataset[[#This Row],[Total AUD]]))</f>
        <v>300</v>
      </c>
      <c r="M62" s="3">
        <f>VALUE(IF(Crypto_Dataset[[#This Row],[Type]]="Sell", _xlfn.CONCAT("-", Crypto_Dataset[[#This Row],[Amount]]), Crypto_Dataset[[#This Row],[Amount]]))</f>
        <v>43.652237169999999</v>
      </c>
    </row>
    <row r="63" spans="1:13" x14ac:dyDescent="0.35">
      <c r="A63" s="7">
        <v>44278.257638888892</v>
      </c>
      <c r="B63" t="s">
        <v>19</v>
      </c>
      <c r="C63" t="s">
        <v>20</v>
      </c>
      <c r="D63">
        <v>4.1458500000000003E-6</v>
      </c>
      <c r="E63">
        <v>2306.3063063063</v>
      </c>
      <c r="F63">
        <v>2304</v>
      </c>
      <c r="G63" t="s">
        <v>134</v>
      </c>
      <c r="H63">
        <v>0</v>
      </c>
      <c r="I63">
        <v>0</v>
      </c>
      <c r="J63">
        <v>0.01</v>
      </c>
      <c r="K63" t="s">
        <v>31</v>
      </c>
      <c r="L63" s="5">
        <f>VALUE(IF(Crypto_Dataset[[#This Row],[Type]]="Sell", _xlfn.CONCAT("-", Crypto_Dataset[[#This Row],[Total AUD]]), Crypto_Dataset[[#This Row],[Total AUD]]))</f>
        <v>0.01</v>
      </c>
      <c r="M63" s="3">
        <f>VALUE(IF(Crypto_Dataset[[#This Row],[Type]]="Sell", _xlfn.CONCAT("-", Crypto_Dataset[[#This Row],[Amount]]), Crypto_Dataset[[#This Row],[Amount]]))</f>
        <v>4.1458500000000003E-6</v>
      </c>
    </row>
    <row r="64" spans="1:13" x14ac:dyDescent="0.35">
      <c r="A64" s="7">
        <v>44278.257638888892</v>
      </c>
      <c r="B64" t="s">
        <v>19</v>
      </c>
      <c r="C64" t="s">
        <v>20</v>
      </c>
      <c r="D64">
        <v>6.5034900000000007E-2</v>
      </c>
      <c r="E64">
        <v>2306.3063063063</v>
      </c>
      <c r="F64">
        <v>2304</v>
      </c>
      <c r="G64" t="s">
        <v>135</v>
      </c>
      <c r="H64">
        <v>0.15</v>
      </c>
      <c r="I64">
        <v>0.01</v>
      </c>
      <c r="J64">
        <v>149.99</v>
      </c>
      <c r="K64" t="s">
        <v>32</v>
      </c>
      <c r="L64" s="5">
        <f>VALUE(IF(Crypto_Dataset[[#This Row],[Type]]="Sell", _xlfn.CONCAT("-", Crypto_Dataset[[#This Row],[Total AUD]]), Crypto_Dataset[[#This Row],[Total AUD]]))</f>
        <v>149.99</v>
      </c>
      <c r="M64" s="3">
        <f>VALUE(IF(Crypto_Dataset[[#This Row],[Type]]="Sell", _xlfn.CONCAT("-", Crypto_Dataset[[#This Row],[Amount]]), Crypto_Dataset[[#This Row],[Amount]]))</f>
        <v>6.5034900000000007E-2</v>
      </c>
    </row>
    <row r="65" spans="1:13" x14ac:dyDescent="0.35">
      <c r="A65" s="7">
        <v>44277.826388888891</v>
      </c>
      <c r="B65" t="s">
        <v>19</v>
      </c>
      <c r="C65" t="s">
        <v>28</v>
      </c>
      <c r="D65">
        <v>2.6082420399999999</v>
      </c>
      <c r="E65">
        <v>57.51</v>
      </c>
      <c r="F65">
        <v>56.940594165543203</v>
      </c>
      <c r="G65" t="s">
        <v>131</v>
      </c>
      <c r="H65">
        <v>1.49</v>
      </c>
      <c r="I65">
        <v>0.14000000000000001</v>
      </c>
      <c r="J65">
        <v>150</v>
      </c>
      <c r="K65" t="s">
        <v>21</v>
      </c>
      <c r="L65" s="5">
        <f>VALUE(IF(Crypto_Dataset[[#This Row],[Type]]="Sell", _xlfn.CONCAT("-", Crypto_Dataset[[#This Row],[Total AUD]]), Crypto_Dataset[[#This Row],[Total AUD]]))</f>
        <v>150</v>
      </c>
      <c r="M65" s="3">
        <f>VALUE(IF(Crypto_Dataset[[#This Row],[Type]]="Sell", _xlfn.CONCAT("-", Crypto_Dataset[[#This Row],[Amount]]), Crypto_Dataset[[#This Row],[Amount]]))</f>
        <v>2.6082420399999999</v>
      </c>
    </row>
    <row r="66" spans="1:13" x14ac:dyDescent="0.35">
      <c r="A66" s="7">
        <v>44271.48333333333</v>
      </c>
      <c r="B66" t="s">
        <v>19</v>
      </c>
      <c r="C66" t="s">
        <v>27</v>
      </c>
      <c r="D66">
        <v>3.49584066E-3</v>
      </c>
      <c r="E66">
        <v>71513.556913660897</v>
      </c>
      <c r="F66">
        <v>71442</v>
      </c>
      <c r="G66" t="s">
        <v>136</v>
      </c>
      <c r="H66">
        <v>0.25</v>
      </c>
      <c r="I66">
        <v>0.02</v>
      </c>
      <c r="J66">
        <v>250</v>
      </c>
      <c r="K66" t="s">
        <v>33</v>
      </c>
      <c r="L66" s="5">
        <f>VALUE(IF(Crypto_Dataset[[#This Row],[Type]]="Sell", _xlfn.CONCAT("-", Crypto_Dataset[[#This Row],[Total AUD]]), Crypto_Dataset[[#This Row],[Total AUD]]))</f>
        <v>250</v>
      </c>
      <c r="M66" s="3">
        <f>VALUE(IF(Crypto_Dataset[[#This Row],[Type]]="Sell", _xlfn.CONCAT("-", Crypto_Dataset[[#This Row],[Amount]]), Crypto_Dataset[[#This Row],[Amount]]))</f>
        <v>3.49584066E-3</v>
      </c>
    </row>
    <row r="67" spans="1:13" x14ac:dyDescent="0.35">
      <c r="A67" s="7">
        <v>44268.629166666666</v>
      </c>
      <c r="B67" t="s">
        <v>19</v>
      </c>
      <c r="C67" t="s">
        <v>26</v>
      </c>
      <c r="D67">
        <v>699.00415208000004</v>
      </c>
      <c r="E67">
        <v>0.214591</v>
      </c>
      <c r="F67">
        <v>0.21246633663507999</v>
      </c>
      <c r="G67" t="s">
        <v>131</v>
      </c>
      <c r="H67">
        <v>1.49</v>
      </c>
      <c r="I67">
        <v>0.14000000000000001</v>
      </c>
      <c r="J67">
        <v>150</v>
      </c>
      <c r="K67" t="s">
        <v>21</v>
      </c>
      <c r="L67" s="5">
        <f>VALUE(IF(Crypto_Dataset[[#This Row],[Type]]="Sell", _xlfn.CONCAT("-", Crypto_Dataset[[#This Row],[Total AUD]]), Crypto_Dataset[[#This Row],[Total AUD]]))</f>
        <v>150</v>
      </c>
      <c r="M67" s="3">
        <f>VALUE(IF(Crypto_Dataset[[#This Row],[Type]]="Sell", _xlfn.CONCAT("-", Crypto_Dataset[[#This Row],[Amount]]), Crypto_Dataset[[#This Row],[Amount]]))</f>
        <v>699.00415208000004</v>
      </c>
    </row>
    <row r="68" spans="1:13" x14ac:dyDescent="0.35">
      <c r="A68" s="7">
        <v>44268.628472222219</v>
      </c>
      <c r="B68" t="s">
        <v>19</v>
      </c>
      <c r="C68" t="s">
        <v>34</v>
      </c>
      <c r="D68">
        <v>38158.229458150003</v>
      </c>
      <c r="E68">
        <v>3.9309999999999996E-3</v>
      </c>
      <c r="F68">
        <v>3.8920792079211101E-3</v>
      </c>
      <c r="G68" t="s">
        <v>131</v>
      </c>
      <c r="H68">
        <v>1.49</v>
      </c>
      <c r="I68">
        <v>0.14000000000000001</v>
      </c>
      <c r="J68">
        <v>150</v>
      </c>
      <c r="K68" t="s">
        <v>21</v>
      </c>
      <c r="L68" s="5">
        <f>VALUE(IF(Crypto_Dataset[[#This Row],[Type]]="Sell", _xlfn.CONCAT("-", Crypto_Dataset[[#This Row],[Total AUD]]), Crypto_Dataset[[#This Row],[Total AUD]]))</f>
        <v>150</v>
      </c>
      <c r="M68" s="3">
        <f>VALUE(IF(Crypto_Dataset[[#This Row],[Type]]="Sell", _xlfn.CONCAT("-", Crypto_Dataset[[#This Row],[Amount]]), Crypto_Dataset[[#This Row],[Amount]]))</f>
        <v>38158.229458150003</v>
      </c>
    </row>
    <row r="69" spans="1:13" x14ac:dyDescent="0.35">
      <c r="A69" s="7">
        <v>44268.013194444444</v>
      </c>
      <c r="B69" t="s">
        <v>19</v>
      </c>
      <c r="C69" t="s">
        <v>25</v>
      </c>
      <c r="D69">
        <v>3.1652247299999998</v>
      </c>
      <c r="E69">
        <v>47.39</v>
      </c>
      <c r="F69">
        <v>46.920792093377997</v>
      </c>
      <c r="G69" t="s">
        <v>131</v>
      </c>
      <c r="H69">
        <v>1.49</v>
      </c>
      <c r="I69">
        <v>0.14000000000000001</v>
      </c>
      <c r="J69">
        <v>150</v>
      </c>
      <c r="K69" t="s">
        <v>21</v>
      </c>
      <c r="L69" s="5">
        <f>VALUE(IF(Crypto_Dataset[[#This Row],[Type]]="Sell", _xlfn.CONCAT("-", Crypto_Dataset[[#This Row],[Total AUD]]), Crypto_Dataset[[#This Row],[Total AUD]]))</f>
        <v>150</v>
      </c>
      <c r="M69" s="3">
        <f>VALUE(IF(Crypto_Dataset[[#This Row],[Type]]="Sell", _xlfn.CONCAT("-", Crypto_Dataset[[#This Row],[Amount]]), Crypto_Dataset[[#This Row],[Amount]]))</f>
        <v>3.1652247299999998</v>
      </c>
    </row>
    <row r="70" spans="1:13" x14ac:dyDescent="0.35">
      <c r="A70" s="7">
        <v>44265.548611111109</v>
      </c>
      <c r="B70" t="s">
        <v>19</v>
      </c>
      <c r="C70" t="s">
        <v>22</v>
      </c>
      <c r="D70">
        <v>409.42622950443001</v>
      </c>
      <c r="E70">
        <v>0.61061061061622801</v>
      </c>
      <c r="F70">
        <v>0.61</v>
      </c>
      <c r="G70" t="s">
        <v>137</v>
      </c>
      <c r="H70">
        <v>0.25</v>
      </c>
      <c r="I70">
        <v>0.02</v>
      </c>
      <c r="J70">
        <v>250</v>
      </c>
      <c r="K70" t="s">
        <v>33</v>
      </c>
      <c r="L70" s="5">
        <f>VALUE(IF(Crypto_Dataset[[#This Row],[Type]]="Sell", _xlfn.CONCAT("-", Crypto_Dataset[[#This Row],[Total AUD]]), Crypto_Dataset[[#This Row],[Total AUD]]))</f>
        <v>250</v>
      </c>
      <c r="M70" s="3">
        <f>VALUE(IF(Crypto_Dataset[[#This Row],[Type]]="Sell", _xlfn.CONCAT("-", Crypto_Dataset[[#This Row],[Amount]]), Crypto_Dataset[[#This Row],[Amount]]))</f>
        <v>409.42622950443001</v>
      </c>
    </row>
    <row r="71" spans="1:13" x14ac:dyDescent="0.35">
      <c r="A71" s="7">
        <v>44265.344444444447</v>
      </c>
      <c r="B71" t="s">
        <v>19</v>
      </c>
      <c r="C71" t="s">
        <v>34</v>
      </c>
      <c r="D71">
        <v>60081.711127130002</v>
      </c>
      <c r="E71">
        <v>4.1609999999999998E-3</v>
      </c>
      <c r="F71">
        <v>4.1198019801982101E-3</v>
      </c>
      <c r="G71" t="s">
        <v>101</v>
      </c>
      <c r="H71">
        <v>2.48</v>
      </c>
      <c r="I71">
        <v>0.23</v>
      </c>
      <c r="J71">
        <v>250</v>
      </c>
      <c r="K71" t="s">
        <v>33</v>
      </c>
      <c r="L71" s="5">
        <f>VALUE(IF(Crypto_Dataset[[#This Row],[Type]]="Sell", _xlfn.CONCAT("-", Crypto_Dataset[[#This Row],[Total AUD]]), Crypto_Dataset[[#This Row],[Total AUD]]))</f>
        <v>250</v>
      </c>
      <c r="M71" s="3">
        <f>VALUE(IF(Crypto_Dataset[[#This Row],[Type]]="Sell", _xlfn.CONCAT("-", Crypto_Dataset[[#This Row],[Amount]]), Crypto_Dataset[[#This Row],[Amount]]))</f>
        <v>60081.711127130002</v>
      </c>
    </row>
    <row r="72" spans="1:13" x14ac:dyDescent="0.35">
      <c r="A72" s="7">
        <v>44265.343055555553</v>
      </c>
      <c r="B72" t="s">
        <v>19</v>
      </c>
      <c r="C72" t="s">
        <v>28</v>
      </c>
      <c r="D72">
        <v>4.4216483799999997</v>
      </c>
      <c r="E72">
        <v>56.54</v>
      </c>
      <c r="F72">
        <v>55.980198152989999</v>
      </c>
      <c r="G72" t="s">
        <v>101</v>
      </c>
      <c r="H72">
        <v>2.48</v>
      </c>
      <c r="I72">
        <v>0.23</v>
      </c>
      <c r="J72">
        <v>250</v>
      </c>
      <c r="K72" t="s">
        <v>33</v>
      </c>
      <c r="L72" s="5">
        <f>VALUE(IF(Crypto_Dataset[[#This Row],[Type]]="Sell", _xlfn.CONCAT("-", Crypto_Dataset[[#This Row],[Total AUD]]), Crypto_Dataset[[#This Row],[Total AUD]]))</f>
        <v>250</v>
      </c>
      <c r="M72" s="3">
        <f>VALUE(IF(Crypto_Dataset[[#This Row],[Type]]="Sell", _xlfn.CONCAT("-", Crypto_Dataset[[#This Row],[Amount]]), Crypto_Dataset[[#This Row],[Amount]]))</f>
        <v>4.4216483799999997</v>
      </c>
    </row>
    <row r="73" spans="1:13" x14ac:dyDescent="0.35">
      <c r="A73" s="7">
        <v>44265.343055555553</v>
      </c>
      <c r="B73" t="s">
        <v>19</v>
      </c>
      <c r="C73" t="s">
        <v>24</v>
      </c>
      <c r="D73">
        <v>157.33432852000001</v>
      </c>
      <c r="E73">
        <v>1.588973</v>
      </c>
      <c r="F73">
        <v>1.57324059411346</v>
      </c>
      <c r="G73" t="s">
        <v>101</v>
      </c>
      <c r="H73">
        <v>2.48</v>
      </c>
      <c r="I73">
        <v>0.23</v>
      </c>
      <c r="J73">
        <v>250</v>
      </c>
      <c r="K73" t="s">
        <v>33</v>
      </c>
      <c r="L73" s="5">
        <f>VALUE(IF(Crypto_Dataset[[#This Row],[Type]]="Sell", _xlfn.CONCAT("-", Crypto_Dataset[[#This Row],[Total AUD]]), Crypto_Dataset[[#This Row],[Total AUD]]))</f>
        <v>250</v>
      </c>
      <c r="M73" s="3">
        <f>VALUE(IF(Crypto_Dataset[[#This Row],[Type]]="Sell", _xlfn.CONCAT("-", Crypto_Dataset[[#This Row],[Amount]]), Crypto_Dataset[[#This Row],[Amount]]))</f>
        <v>157.33432852000001</v>
      </c>
    </row>
    <row r="74" spans="1:13" x14ac:dyDescent="0.35">
      <c r="A74" s="7">
        <v>44265.342361111114</v>
      </c>
      <c r="B74" t="s">
        <v>19</v>
      </c>
      <c r="C74" t="s">
        <v>25</v>
      </c>
      <c r="D74">
        <v>4.8790007800000001</v>
      </c>
      <c r="E74">
        <v>51.24</v>
      </c>
      <c r="F74">
        <v>50.732673273982797</v>
      </c>
      <c r="G74" t="s">
        <v>101</v>
      </c>
      <c r="H74">
        <v>2.48</v>
      </c>
      <c r="I74">
        <v>0.23</v>
      </c>
      <c r="J74">
        <v>250</v>
      </c>
      <c r="K74" t="s">
        <v>33</v>
      </c>
      <c r="L74" s="5">
        <f>VALUE(IF(Crypto_Dataset[[#This Row],[Type]]="Sell", _xlfn.CONCAT("-", Crypto_Dataset[[#This Row],[Total AUD]]), Crypto_Dataset[[#This Row],[Total AUD]]))</f>
        <v>250</v>
      </c>
      <c r="M74" s="3">
        <f>VALUE(IF(Crypto_Dataset[[#This Row],[Type]]="Sell", _xlfn.CONCAT("-", Crypto_Dataset[[#This Row],[Amount]]), Crypto_Dataset[[#This Row],[Amount]]))</f>
        <v>4.8790007800000001</v>
      </c>
    </row>
    <row r="75" spans="1:13" x14ac:dyDescent="0.35">
      <c r="A75" s="7">
        <v>44265.341666666667</v>
      </c>
      <c r="B75" t="s">
        <v>19</v>
      </c>
      <c r="C75" t="s">
        <v>26</v>
      </c>
      <c r="D75">
        <v>1397.67873515</v>
      </c>
      <c r="E75">
        <v>0.178868</v>
      </c>
      <c r="F75">
        <v>0.177097029703813</v>
      </c>
      <c r="G75" t="s">
        <v>101</v>
      </c>
      <c r="H75">
        <v>2.48</v>
      </c>
      <c r="I75">
        <v>0.23</v>
      </c>
      <c r="J75">
        <v>250</v>
      </c>
      <c r="K75" t="s">
        <v>33</v>
      </c>
      <c r="L75" s="5">
        <f>VALUE(IF(Crypto_Dataset[[#This Row],[Type]]="Sell", _xlfn.CONCAT("-", Crypto_Dataset[[#This Row],[Total AUD]]), Crypto_Dataset[[#This Row],[Total AUD]]))</f>
        <v>250</v>
      </c>
      <c r="M75" s="3">
        <f>VALUE(IF(Crypto_Dataset[[#This Row],[Type]]="Sell", _xlfn.CONCAT("-", Crypto_Dataset[[#This Row],[Amount]]), Crypto_Dataset[[#This Row],[Amount]]))</f>
        <v>1397.67873515</v>
      </c>
    </row>
    <row r="76" spans="1:13" x14ac:dyDescent="0.35">
      <c r="A76" s="7">
        <v>44265.338888888888</v>
      </c>
      <c r="B76" t="s">
        <v>19</v>
      </c>
      <c r="C76" t="s">
        <v>132</v>
      </c>
      <c r="D76">
        <v>31.930111369999999</v>
      </c>
      <c r="E76">
        <v>7.8296000000000001</v>
      </c>
      <c r="F76">
        <v>7.7520792084618204</v>
      </c>
      <c r="G76" t="s">
        <v>101</v>
      </c>
      <c r="H76">
        <v>2.48</v>
      </c>
      <c r="I76">
        <v>0.23</v>
      </c>
      <c r="J76">
        <v>250</v>
      </c>
      <c r="K76" t="s">
        <v>33</v>
      </c>
      <c r="L76" s="5">
        <f>VALUE(IF(Crypto_Dataset[[#This Row],[Type]]="Sell", _xlfn.CONCAT("-", Crypto_Dataset[[#This Row],[Total AUD]]), Crypto_Dataset[[#This Row],[Total AUD]]))</f>
        <v>250</v>
      </c>
      <c r="M76" s="3">
        <f>VALUE(IF(Crypto_Dataset[[#This Row],[Type]]="Sell", _xlfn.CONCAT("-", Crypto_Dataset[[#This Row],[Amount]]), Crypto_Dataset[[#This Row],[Amount]]))</f>
        <v>31.930111369999999</v>
      </c>
    </row>
    <row r="77" spans="1:13" x14ac:dyDescent="0.35">
      <c r="A77" s="7">
        <v>44250.704861111109</v>
      </c>
      <c r="B77" t="s">
        <v>19</v>
      </c>
      <c r="C77" t="s">
        <v>24</v>
      </c>
      <c r="D77">
        <v>3.7805754</v>
      </c>
      <c r="E77">
        <v>1.3225499999999999</v>
      </c>
      <c r="F77">
        <v>1.30945544678329</v>
      </c>
      <c r="G77" t="s">
        <v>138</v>
      </c>
      <c r="H77">
        <v>0.05</v>
      </c>
      <c r="I77">
        <v>0</v>
      </c>
      <c r="J77">
        <v>5</v>
      </c>
      <c r="K77" t="s">
        <v>35</v>
      </c>
      <c r="L77" s="5">
        <f>VALUE(IF(Crypto_Dataset[[#This Row],[Type]]="Sell", _xlfn.CONCAT("-", Crypto_Dataset[[#This Row],[Total AUD]]), Crypto_Dataset[[#This Row],[Total AUD]]))</f>
        <v>5</v>
      </c>
      <c r="M77" s="3">
        <f>VALUE(IF(Crypto_Dataset[[#This Row],[Type]]="Sell", _xlfn.CONCAT("-", Crypto_Dataset[[#This Row],[Amount]]), Crypto_Dataset[[#This Row],[Amount]]))</f>
        <v>3.7805754</v>
      </c>
    </row>
    <row r="78" spans="1:13" x14ac:dyDescent="0.35">
      <c r="A78" s="7">
        <v>44250.688194444447</v>
      </c>
      <c r="B78" t="s">
        <v>19</v>
      </c>
      <c r="C78" t="s">
        <v>22</v>
      </c>
      <c r="D78">
        <v>1551.3354075042</v>
      </c>
      <c r="E78">
        <v>0.65065166166347999</v>
      </c>
      <c r="F78">
        <v>0.65000100999999999</v>
      </c>
      <c r="G78" t="s">
        <v>139</v>
      </c>
      <c r="H78">
        <v>1.01</v>
      </c>
      <c r="I78">
        <v>0.09</v>
      </c>
      <c r="J78">
        <v>1009.38</v>
      </c>
      <c r="K78" t="s">
        <v>36</v>
      </c>
      <c r="L78" s="5">
        <f>VALUE(IF(Crypto_Dataset[[#This Row],[Type]]="Sell", _xlfn.CONCAT("-", Crypto_Dataset[[#This Row],[Total AUD]]), Crypto_Dataset[[#This Row],[Total AUD]]))</f>
        <v>1009.38</v>
      </c>
      <c r="M78" s="3">
        <f>VALUE(IF(Crypto_Dataset[[#This Row],[Type]]="Sell", _xlfn.CONCAT("-", Crypto_Dataset[[#This Row],[Amount]]), Crypto_Dataset[[#This Row],[Amount]]))</f>
        <v>1551.3354075042</v>
      </c>
    </row>
    <row r="79" spans="1:13" x14ac:dyDescent="0.35">
      <c r="A79" s="7">
        <v>44250.688194444447</v>
      </c>
      <c r="B79" t="s">
        <v>19</v>
      </c>
      <c r="C79" t="s">
        <v>22</v>
      </c>
      <c r="D79">
        <v>768.46035541499998</v>
      </c>
      <c r="E79">
        <v>0.65065166165921395</v>
      </c>
      <c r="F79">
        <v>0.65000100999999999</v>
      </c>
      <c r="G79" t="s">
        <v>140</v>
      </c>
      <c r="H79">
        <v>0.5</v>
      </c>
      <c r="I79">
        <v>0.05</v>
      </c>
      <c r="J79">
        <v>500</v>
      </c>
      <c r="K79" t="s">
        <v>29</v>
      </c>
      <c r="L79" s="5">
        <f>VALUE(IF(Crypto_Dataset[[#This Row],[Type]]="Sell", _xlfn.CONCAT("-", Crypto_Dataset[[#This Row],[Total AUD]]), Crypto_Dataset[[#This Row],[Total AUD]]))</f>
        <v>500</v>
      </c>
      <c r="M79" s="3">
        <f>VALUE(IF(Crypto_Dataset[[#This Row],[Type]]="Sell", _xlfn.CONCAT("-", Crypto_Dataset[[#This Row],[Amount]]), Crypto_Dataset[[#This Row],[Amount]]))</f>
        <v>768.46035541499998</v>
      </c>
    </row>
    <row r="80" spans="1:13" x14ac:dyDescent="0.35">
      <c r="A80" s="7">
        <v>44250.688194444447</v>
      </c>
      <c r="B80" t="s">
        <v>19</v>
      </c>
      <c r="C80" t="s">
        <v>22</v>
      </c>
      <c r="D80">
        <v>18.399748723109902</v>
      </c>
      <c r="E80">
        <v>0.650651661615543</v>
      </c>
      <c r="F80">
        <v>0.65000100999999999</v>
      </c>
      <c r="G80" t="s">
        <v>141</v>
      </c>
      <c r="H80">
        <v>0.01</v>
      </c>
      <c r="I80">
        <v>0</v>
      </c>
      <c r="J80">
        <v>11.97</v>
      </c>
      <c r="K80" t="s">
        <v>37</v>
      </c>
      <c r="L80" s="5">
        <f>VALUE(IF(Crypto_Dataset[[#This Row],[Type]]="Sell", _xlfn.CONCAT("-", Crypto_Dataset[[#This Row],[Total AUD]]), Crypto_Dataset[[#This Row],[Total AUD]]))</f>
        <v>11.97</v>
      </c>
      <c r="M80" s="3">
        <f>VALUE(IF(Crypto_Dataset[[#This Row],[Type]]="Sell", _xlfn.CONCAT("-", Crypto_Dataset[[#This Row],[Amount]]), Crypto_Dataset[[#This Row],[Amount]]))</f>
        <v>18.399748723109902</v>
      </c>
    </row>
    <row r="81" spans="1:13" x14ac:dyDescent="0.35">
      <c r="A81" s="7">
        <v>44250.6875</v>
      </c>
      <c r="B81" t="s">
        <v>19</v>
      </c>
      <c r="C81" t="s">
        <v>22</v>
      </c>
      <c r="D81">
        <v>73.254789862020004</v>
      </c>
      <c r="E81">
        <v>0.65065166168351396</v>
      </c>
      <c r="F81">
        <v>0.65000100999999999</v>
      </c>
      <c r="G81" t="s">
        <v>142</v>
      </c>
      <c r="H81">
        <v>0.05</v>
      </c>
      <c r="I81">
        <v>0</v>
      </c>
      <c r="J81">
        <v>47.66</v>
      </c>
      <c r="K81" t="s">
        <v>38</v>
      </c>
      <c r="L81" s="5">
        <f>VALUE(IF(Crypto_Dataset[[#This Row],[Type]]="Sell", _xlfn.CONCAT("-", Crypto_Dataset[[#This Row],[Total AUD]]), Crypto_Dataset[[#This Row],[Total AUD]]))</f>
        <v>47.66</v>
      </c>
      <c r="M81" s="3">
        <f>VALUE(IF(Crypto_Dataset[[#This Row],[Type]]="Sell", _xlfn.CONCAT("-", Crypto_Dataset[[#This Row],[Amount]]), Crypto_Dataset[[#This Row],[Amount]]))</f>
        <v>73.254789862020004</v>
      </c>
    </row>
    <row r="82" spans="1:13" x14ac:dyDescent="0.35">
      <c r="A82" s="7">
        <v>44250.6875</v>
      </c>
      <c r="B82" t="s">
        <v>19</v>
      </c>
      <c r="C82" t="s">
        <v>22</v>
      </c>
      <c r="D82">
        <v>146.69419046850001</v>
      </c>
      <c r="E82">
        <v>0.65065166163138199</v>
      </c>
      <c r="F82">
        <v>0.65000100999999999</v>
      </c>
      <c r="G82" t="s">
        <v>143</v>
      </c>
      <c r="H82">
        <v>0.1</v>
      </c>
      <c r="I82">
        <v>0.01</v>
      </c>
      <c r="J82">
        <v>95.45</v>
      </c>
      <c r="K82" t="s">
        <v>39</v>
      </c>
      <c r="L82" s="5">
        <f>VALUE(IF(Crypto_Dataset[[#This Row],[Type]]="Sell", _xlfn.CONCAT("-", Crypto_Dataset[[#This Row],[Total AUD]]), Crypto_Dataset[[#This Row],[Total AUD]]))</f>
        <v>95.45</v>
      </c>
      <c r="M82" s="3">
        <f>VALUE(IF(Crypto_Dataset[[#This Row],[Type]]="Sell", _xlfn.CONCAT("-", Crypto_Dataset[[#This Row],[Amount]]), Crypto_Dataset[[#This Row],[Amount]]))</f>
        <v>146.69419046850001</v>
      </c>
    </row>
    <row r="83" spans="1:13" x14ac:dyDescent="0.35">
      <c r="A83" s="7">
        <v>44250.6875</v>
      </c>
      <c r="B83" t="s">
        <v>19</v>
      </c>
      <c r="C83" t="s">
        <v>22</v>
      </c>
      <c r="D83">
        <v>9.9900000000000002E-5</v>
      </c>
      <c r="E83">
        <v>0.65065065065064998</v>
      </c>
      <c r="F83">
        <v>0.65000100999999999</v>
      </c>
      <c r="G83" t="s">
        <v>144</v>
      </c>
      <c r="H83">
        <v>0</v>
      </c>
      <c r="I83">
        <v>0</v>
      </c>
      <c r="J83">
        <v>0</v>
      </c>
      <c r="K83" t="s">
        <v>40</v>
      </c>
      <c r="L83" s="5">
        <f>VALUE(IF(Crypto_Dataset[[#This Row],[Type]]="Sell", _xlfn.CONCAT("-", Crypto_Dataset[[#This Row],[Total AUD]]), Crypto_Dataset[[#This Row],[Total AUD]]))</f>
        <v>0</v>
      </c>
      <c r="M83" s="3">
        <f>VALUE(IF(Crypto_Dataset[[#This Row],[Type]]="Sell", _xlfn.CONCAT("-", Crypto_Dataset[[#This Row],[Amount]]), Crypto_Dataset[[#This Row],[Amount]]))</f>
        <v>9.9900000000000002E-5</v>
      </c>
    </row>
    <row r="84" spans="1:13" x14ac:dyDescent="0.35">
      <c r="A84" s="7">
        <v>44250.686805555553</v>
      </c>
      <c r="B84" t="s">
        <v>19</v>
      </c>
      <c r="C84" t="s">
        <v>22</v>
      </c>
      <c r="D84">
        <v>292.97309119245</v>
      </c>
      <c r="E84">
        <v>0.65065166167353605</v>
      </c>
      <c r="F84">
        <v>0.65000100999999999</v>
      </c>
      <c r="G84" t="s">
        <v>145</v>
      </c>
      <c r="H84">
        <v>0.19</v>
      </c>
      <c r="I84">
        <v>0.02</v>
      </c>
      <c r="J84">
        <v>190.62</v>
      </c>
      <c r="K84" t="s">
        <v>41</v>
      </c>
      <c r="L84" s="5">
        <f>VALUE(IF(Crypto_Dataset[[#This Row],[Type]]="Sell", _xlfn.CONCAT("-", Crypto_Dataset[[#This Row],[Total AUD]]), Crypto_Dataset[[#This Row],[Total AUD]]))</f>
        <v>190.62</v>
      </c>
      <c r="M84" s="3">
        <f>VALUE(IF(Crypto_Dataset[[#This Row],[Type]]="Sell", _xlfn.CONCAT("-", Crypto_Dataset[[#This Row],[Amount]]), Crypto_Dataset[[#This Row],[Amount]]))</f>
        <v>292.97309119245</v>
      </c>
    </row>
    <row r="85" spans="1:13" x14ac:dyDescent="0.35">
      <c r="A85" s="7">
        <v>44250.686111111114</v>
      </c>
      <c r="B85" t="s">
        <v>19</v>
      </c>
      <c r="C85" t="s">
        <v>22</v>
      </c>
      <c r="D85">
        <v>586.74542984739003</v>
      </c>
      <c r="E85">
        <v>0.65065166165724697</v>
      </c>
      <c r="F85">
        <v>0.65000100999999999</v>
      </c>
      <c r="G85" t="s">
        <v>146</v>
      </c>
      <c r="H85">
        <v>0.38</v>
      </c>
      <c r="I85">
        <v>0.03</v>
      </c>
      <c r="J85">
        <v>381.77</v>
      </c>
      <c r="K85" t="s">
        <v>42</v>
      </c>
      <c r="L85" s="5">
        <f>VALUE(IF(Crypto_Dataset[[#This Row],[Type]]="Sell", _xlfn.CONCAT("-", Crypto_Dataset[[#This Row],[Total AUD]]), Crypto_Dataset[[#This Row],[Total AUD]]))</f>
        <v>381.77</v>
      </c>
      <c r="M85" s="3">
        <f>VALUE(IF(Crypto_Dataset[[#This Row],[Type]]="Sell", _xlfn.CONCAT("-", Crypto_Dataset[[#This Row],[Amount]]), Crypto_Dataset[[#This Row],[Amount]]))</f>
        <v>586.74542984739003</v>
      </c>
    </row>
    <row r="86" spans="1:13" x14ac:dyDescent="0.35">
      <c r="A86" s="7">
        <v>44250.686111111114</v>
      </c>
      <c r="B86" t="s">
        <v>19</v>
      </c>
      <c r="C86" t="s">
        <v>22</v>
      </c>
      <c r="D86">
        <v>1172.89902437253</v>
      </c>
      <c r="E86">
        <v>0.65065166166223398</v>
      </c>
      <c r="F86">
        <v>0.65000100999999999</v>
      </c>
      <c r="G86" t="s">
        <v>147</v>
      </c>
      <c r="H86">
        <v>0.76</v>
      </c>
      <c r="I86">
        <v>7.0000000000000007E-2</v>
      </c>
      <c r="J86">
        <v>763.15</v>
      </c>
      <c r="K86" t="s">
        <v>43</v>
      </c>
      <c r="L86" s="5">
        <f>VALUE(IF(Crypto_Dataset[[#This Row],[Type]]="Sell", _xlfn.CONCAT("-", Crypto_Dataset[[#This Row],[Total AUD]]), Crypto_Dataset[[#This Row],[Total AUD]]))</f>
        <v>763.15</v>
      </c>
      <c r="M86" s="3">
        <f>VALUE(IF(Crypto_Dataset[[#This Row],[Type]]="Sell", _xlfn.CONCAT("-", Crypto_Dataset[[#This Row],[Amount]]), Crypto_Dataset[[#This Row],[Amount]]))</f>
        <v>1172.89902437253</v>
      </c>
    </row>
    <row r="87" spans="1:13" x14ac:dyDescent="0.35">
      <c r="A87" s="7">
        <v>44250.685416666667</v>
      </c>
      <c r="B87" t="s">
        <v>19</v>
      </c>
      <c r="C87" t="s">
        <v>23</v>
      </c>
      <c r="D87">
        <v>71.357142848579997</v>
      </c>
      <c r="E87">
        <v>0.28028029026386297</v>
      </c>
      <c r="F87">
        <v>0.28000001000000002</v>
      </c>
      <c r="G87" t="s">
        <v>148</v>
      </c>
      <c r="H87">
        <v>0.02</v>
      </c>
      <c r="I87">
        <v>0</v>
      </c>
      <c r="J87">
        <v>20</v>
      </c>
      <c r="K87" t="s">
        <v>44</v>
      </c>
      <c r="L87" s="5">
        <f>VALUE(IF(Crypto_Dataset[[#This Row],[Type]]="Sell", _xlfn.CONCAT("-", Crypto_Dataset[[#This Row],[Total AUD]]), Crypto_Dataset[[#This Row],[Total AUD]]))</f>
        <v>20</v>
      </c>
      <c r="M87" s="3">
        <f>VALUE(IF(Crypto_Dataset[[#This Row],[Type]]="Sell", _xlfn.CONCAT("-", Crypto_Dataset[[#This Row],[Amount]]), Crypto_Dataset[[#This Row],[Amount]]))</f>
        <v>71.357142848579997</v>
      </c>
    </row>
    <row r="88" spans="1:13" x14ac:dyDescent="0.35">
      <c r="A88" s="7">
        <v>44250.683333333334</v>
      </c>
      <c r="B88" t="s">
        <v>19</v>
      </c>
      <c r="C88" t="s">
        <v>23</v>
      </c>
      <c r="D88">
        <v>642.21428571714</v>
      </c>
      <c r="E88">
        <v>0.280280290291269</v>
      </c>
      <c r="F88">
        <v>0.28000001000000002</v>
      </c>
      <c r="G88" t="s">
        <v>149</v>
      </c>
      <c r="H88">
        <v>0.18</v>
      </c>
      <c r="I88">
        <v>0.02</v>
      </c>
      <c r="J88">
        <v>180</v>
      </c>
      <c r="K88" t="s">
        <v>45</v>
      </c>
      <c r="L88" s="5">
        <f>VALUE(IF(Crypto_Dataset[[#This Row],[Type]]="Sell", _xlfn.CONCAT("-", Crypto_Dataset[[#This Row],[Total AUD]]), Crypto_Dataset[[#This Row],[Total AUD]]))</f>
        <v>180</v>
      </c>
      <c r="M88" s="3">
        <f>VALUE(IF(Crypto_Dataset[[#This Row],[Type]]="Sell", _xlfn.CONCAT("-", Crypto_Dataset[[#This Row],[Amount]]), Crypto_Dataset[[#This Row],[Amount]]))</f>
        <v>642.21428571714</v>
      </c>
    </row>
    <row r="89" spans="1:13" x14ac:dyDescent="0.35">
      <c r="A89" s="7">
        <v>44250.65902777778</v>
      </c>
      <c r="B89" t="s">
        <v>19</v>
      </c>
      <c r="C89" t="s">
        <v>27</v>
      </c>
      <c r="D89">
        <v>1.54882962E-3</v>
      </c>
      <c r="E89">
        <v>64564.880932481101</v>
      </c>
      <c r="F89">
        <v>64500</v>
      </c>
      <c r="G89" t="s">
        <v>150</v>
      </c>
      <c r="H89">
        <v>0.1</v>
      </c>
      <c r="I89">
        <v>0.01</v>
      </c>
      <c r="J89">
        <v>100</v>
      </c>
      <c r="K89" t="s">
        <v>46</v>
      </c>
      <c r="L89" s="5">
        <f>VALUE(IF(Crypto_Dataset[[#This Row],[Type]]="Sell", _xlfn.CONCAT("-", Crypto_Dataset[[#This Row],[Total AUD]]), Crypto_Dataset[[#This Row],[Total AUD]]))</f>
        <v>100</v>
      </c>
      <c r="M89" s="3">
        <f>VALUE(IF(Crypto_Dataset[[#This Row],[Type]]="Sell", _xlfn.CONCAT("-", Crypto_Dataset[[#This Row],[Amount]]), Crypto_Dataset[[#This Row],[Amount]]))</f>
        <v>1.54882962E-3</v>
      </c>
    </row>
    <row r="90" spans="1:13" x14ac:dyDescent="0.35">
      <c r="A90" s="7">
        <v>44250.581944444442</v>
      </c>
      <c r="B90" t="s">
        <v>19</v>
      </c>
      <c r="C90" t="s">
        <v>27</v>
      </c>
      <c r="D90">
        <v>3.8423038500000001E-3</v>
      </c>
      <c r="E90">
        <v>65065.130130195103</v>
      </c>
      <c r="F90">
        <v>65000</v>
      </c>
      <c r="G90" t="s">
        <v>151</v>
      </c>
      <c r="H90">
        <v>0.25</v>
      </c>
      <c r="I90">
        <v>0.02</v>
      </c>
      <c r="J90">
        <v>250</v>
      </c>
      <c r="K90" t="s">
        <v>33</v>
      </c>
      <c r="L90" s="5">
        <f>VALUE(IF(Crypto_Dataset[[#This Row],[Type]]="Sell", _xlfn.CONCAT("-", Crypto_Dataset[[#This Row],[Total AUD]]), Crypto_Dataset[[#This Row],[Total AUD]]))</f>
        <v>250</v>
      </c>
      <c r="M90" s="3">
        <f>VALUE(IF(Crypto_Dataset[[#This Row],[Type]]="Sell", _xlfn.CONCAT("-", Crypto_Dataset[[#This Row],[Amount]]), Crypto_Dataset[[#This Row],[Amount]]))</f>
        <v>3.8423038500000001E-3</v>
      </c>
    </row>
    <row r="91" spans="1:13" x14ac:dyDescent="0.35">
      <c r="A91" s="7">
        <v>44250.581250000003</v>
      </c>
      <c r="B91" t="s">
        <v>19</v>
      </c>
      <c r="C91" t="s">
        <v>22</v>
      </c>
      <c r="D91">
        <v>3361.6035467847</v>
      </c>
      <c r="E91">
        <v>0.67567667667786202</v>
      </c>
      <c r="F91">
        <v>0.67500099999999996</v>
      </c>
      <c r="G91" t="s">
        <v>152</v>
      </c>
      <c r="H91">
        <v>2.27</v>
      </c>
      <c r="I91">
        <v>0.21</v>
      </c>
      <c r="J91">
        <v>2271.36</v>
      </c>
      <c r="K91" t="s">
        <v>47</v>
      </c>
      <c r="L91" s="5">
        <f>VALUE(IF(Crypto_Dataset[[#This Row],[Type]]="Sell", _xlfn.CONCAT("-", Crypto_Dataset[[#This Row],[Total AUD]]), Crypto_Dataset[[#This Row],[Total AUD]]))</f>
        <v>2271.36</v>
      </c>
      <c r="M91" s="3">
        <f>VALUE(IF(Crypto_Dataset[[#This Row],[Type]]="Sell", _xlfn.CONCAT("-", Crypto_Dataset[[#This Row],[Amount]]), Crypto_Dataset[[#This Row],[Amount]]))</f>
        <v>3361.6035467847</v>
      </c>
    </row>
    <row r="92" spans="1:13" x14ac:dyDescent="0.35">
      <c r="A92" s="7">
        <v>44250.579861111109</v>
      </c>
      <c r="B92" t="s">
        <v>19</v>
      </c>
      <c r="C92" t="s">
        <v>22</v>
      </c>
      <c r="D92">
        <v>1078.38987544521</v>
      </c>
      <c r="E92">
        <v>0.67567667667427</v>
      </c>
      <c r="F92">
        <v>0.67500099999999996</v>
      </c>
      <c r="G92" t="s">
        <v>153</v>
      </c>
      <c r="H92">
        <v>0.73</v>
      </c>
      <c r="I92">
        <v>7.0000000000000007E-2</v>
      </c>
      <c r="J92">
        <v>728.64</v>
      </c>
      <c r="K92" t="s">
        <v>48</v>
      </c>
      <c r="L92" s="5">
        <f>VALUE(IF(Crypto_Dataset[[#This Row],[Type]]="Sell", _xlfn.CONCAT("-", Crypto_Dataset[[#This Row],[Total AUD]]), Crypto_Dataset[[#This Row],[Total AUD]]))</f>
        <v>728.64</v>
      </c>
      <c r="M92" s="3">
        <f>VALUE(IF(Crypto_Dataset[[#This Row],[Type]]="Sell", _xlfn.CONCAT("-", Crypto_Dataset[[#This Row],[Amount]]), Crypto_Dataset[[#This Row],[Amount]]))</f>
        <v>1078.38987544521</v>
      </c>
    </row>
    <row r="93" spans="1:13" x14ac:dyDescent="0.35">
      <c r="A93" s="7">
        <v>44250.579861111109</v>
      </c>
      <c r="B93" t="s">
        <v>19</v>
      </c>
      <c r="C93" t="s">
        <v>22</v>
      </c>
      <c r="D93">
        <v>3917.1626583479101</v>
      </c>
      <c r="E93">
        <v>0.675676676675529</v>
      </c>
      <c r="F93">
        <v>0.67500099999999996</v>
      </c>
      <c r="G93" t="s">
        <v>154</v>
      </c>
      <c r="H93">
        <v>2.65</v>
      </c>
      <c r="I93">
        <v>0.24</v>
      </c>
      <c r="J93">
        <v>2646.74</v>
      </c>
      <c r="K93" t="s">
        <v>49</v>
      </c>
      <c r="L93" s="5">
        <f>VALUE(IF(Crypto_Dataset[[#This Row],[Type]]="Sell", _xlfn.CONCAT("-", Crypto_Dataset[[#This Row],[Total AUD]]), Crypto_Dataset[[#This Row],[Total AUD]]))</f>
        <v>2646.74</v>
      </c>
      <c r="M93" s="3">
        <f>VALUE(IF(Crypto_Dataset[[#This Row],[Type]]="Sell", _xlfn.CONCAT("-", Crypto_Dataset[[#This Row],[Amount]]), Crypto_Dataset[[#This Row],[Amount]]))</f>
        <v>3917.1626583479101</v>
      </c>
    </row>
    <row r="94" spans="1:13" x14ac:dyDescent="0.35">
      <c r="A94" s="7">
        <v>44250.57916666667</v>
      </c>
      <c r="B94" t="s">
        <v>19</v>
      </c>
      <c r="C94" t="s">
        <v>22</v>
      </c>
      <c r="D94">
        <v>522.83076388199902</v>
      </c>
      <c r="E94">
        <v>0.67567667666880005</v>
      </c>
      <c r="F94">
        <v>0.67500099999999996</v>
      </c>
      <c r="G94" t="s">
        <v>155</v>
      </c>
      <c r="H94">
        <v>0.35</v>
      </c>
      <c r="I94">
        <v>0.03</v>
      </c>
      <c r="J94">
        <v>353.26</v>
      </c>
      <c r="K94" t="s">
        <v>50</v>
      </c>
      <c r="L94" s="5">
        <f>VALUE(IF(Crypto_Dataset[[#This Row],[Type]]="Sell", _xlfn.CONCAT("-", Crypto_Dataset[[#This Row],[Total AUD]]), Crypto_Dataset[[#This Row],[Total AUD]]))</f>
        <v>353.26</v>
      </c>
      <c r="M94" s="3">
        <f>VALUE(IF(Crypto_Dataset[[#This Row],[Type]]="Sell", _xlfn.CONCAT("-", Crypto_Dataset[[#This Row],[Amount]]), Crypto_Dataset[[#This Row],[Amount]]))</f>
        <v>522.83076388199902</v>
      </c>
    </row>
    <row r="95" spans="1:13" x14ac:dyDescent="0.35">
      <c r="A95" s="7">
        <v>44250.534722222219</v>
      </c>
      <c r="B95" t="s">
        <v>19</v>
      </c>
      <c r="C95" t="s">
        <v>22</v>
      </c>
      <c r="D95">
        <v>2862.4641831273598</v>
      </c>
      <c r="E95">
        <v>0.69869869869774803</v>
      </c>
      <c r="F95">
        <v>0.69799999999999995</v>
      </c>
      <c r="G95" t="s">
        <v>156</v>
      </c>
      <c r="H95">
        <v>2</v>
      </c>
      <c r="I95">
        <v>0.18</v>
      </c>
      <c r="J95">
        <v>2000</v>
      </c>
      <c r="K95" t="s">
        <v>51</v>
      </c>
      <c r="L95" s="5">
        <f>VALUE(IF(Crypto_Dataset[[#This Row],[Type]]="Sell", _xlfn.CONCAT("-", Crypto_Dataset[[#This Row],[Total AUD]]), Crypto_Dataset[[#This Row],[Total AUD]]))</f>
        <v>2000</v>
      </c>
      <c r="M95" s="3">
        <f>VALUE(IF(Crypto_Dataset[[#This Row],[Type]]="Sell", _xlfn.CONCAT("-", Crypto_Dataset[[#This Row],[Amount]]), Crypto_Dataset[[#This Row],[Amount]]))</f>
        <v>2862.4641831273598</v>
      </c>
    </row>
    <row r="96" spans="1:13" x14ac:dyDescent="0.35">
      <c r="A96" s="7">
        <v>44250.495833333334</v>
      </c>
      <c r="B96" t="s">
        <v>19</v>
      </c>
      <c r="C96" t="s">
        <v>28</v>
      </c>
      <c r="D96">
        <v>3.2413109444999999</v>
      </c>
      <c r="E96">
        <v>59.059059059059003</v>
      </c>
      <c r="F96">
        <v>59</v>
      </c>
      <c r="G96" t="s">
        <v>157</v>
      </c>
      <c r="H96">
        <v>0.19</v>
      </c>
      <c r="I96">
        <v>0.02</v>
      </c>
      <c r="J96">
        <v>191.43</v>
      </c>
      <c r="K96" t="s">
        <v>52</v>
      </c>
      <c r="L96" s="5">
        <f>VALUE(IF(Crypto_Dataset[[#This Row],[Type]]="Sell", _xlfn.CONCAT("-", Crypto_Dataset[[#This Row],[Total AUD]]), Crypto_Dataset[[#This Row],[Total AUD]]))</f>
        <v>191.43</v>
      </c>
      <c r="M96" s="3">
        <f>VALUE(IF(Crypto_Dataset[[#This Row],[Type]]="Sell", _xlfn.CONCAT("-", Crypto_Dataset[[#This Row],[Amount]]), Crypto_Dataset[[#This Row],[Amount]]))</f>
        <v>3.2413109444999999</v>
      </c>
    </row>
    <row r="97" spans="1:13" x14ac:dyDescent="0.35">
      <c r="A97" s="7">
        <v>44250.334722222222</v>
      </c>
      <c r="B97" t="s">
        <v>19</v>
      </c>
      <c r="C97" t="s">
        <v>28</v>
      </c>
      <c r="D97">
        <v>0.14512972499999999</v>
      </c>
      <c r="E97">
        <v>59.059059059059003</v>
      </c>
      <c r="F97">
        <v>59</v>
      </c>
      <c r="G97" t="s">
        <v>158</v>
      </c>
      <c r="H97">
        <v>0.01</v>
      </c>
      <c r="I97">
        <v>0</v>
      </c>
      <c r="J97">
        <v>8.57</v>
      </c>
      <c r="K97" t="s">
        <v>53</v>
      </c>
      <c r="L97" s="5">
        <f>VALUE(IF(Crypto_Dataset[[#This Row],[Type]]="Sell", _xlfn.CONCAT("-", Crypto_Dataset[[#This Row],[Total AUD]]), Crypto_Dataset[[#This Row],[Total AUD]]))</f>
        <v>8.57</v>
      </c>
      <c r="M97" s="3">
        <f>VALUE(IF(Crypto_Dataset[[#This Row],[Type]]="Sell", _xlfn.CONCAT("-", Crypto_Dataset[[#This Row],[Amount]]), Crypto_Dataset[[#This Row],[Amount]]))</f>
        <v>0.14512972499999999</v>
      </c>
    </row>
    <row r="98" spans="1:13" x14ac:dyDescent="0.35">
      <c r="A98" s="7">
        <v>44250.299305555556</v>
      </c>
      <c r="B98" t="s">
        <v>19</v>
      </c>
      <c r="C98" t="s">
        <v>25</v>
      </c>
      <c r="D98">
        <v>4.1433602499999997</v>
      </c>
      <c r="E98">
        <v>48.27</v>
      </c>
      <c r="F98">
        <v>47.792079382959201</v>
      </c>
      <c r="G98" t="s">
        <v>159</v>
      </c>
      <c r="H98">
        <v>1.98</v>
      </c>
      <c r="I98">
        <v>0.18</v>
      </c>
      <c r="J98">
        <v>200</v>
      </c>
      <c r="K98" t="s">
        <v>54</v>
      </c>
      <c r="L98" s="5">
        <f>VALUE(IF(Crypto_Dataset[[#This Row],[Type]]="Sell", _xlfn.CONCAT("-", Crypto_Dataset[[#This Row],[Total AUD]]), Crypto_Dataset[[#This Row],[Total AUD]]))</f>
        <v>200</v>
      </c>
      <c r="M98" s="3">
        <f>VALUE(IF(Crypto_Dataset[[#This Row],[Type]]="Sell", _xlfn.CONCAT("-", Crypto_Dataset[[#This Row],[Amount]]), Crypto_Dataset[[#This Row],[Amount]]))</f>
        <v>4.1433602499999997</v>
      </c>
    </row>
    <row r="99" spans="1:13" x14ac:dyDescent="0.35">
      <c r="A99" s="7">
        <v>44250.26458333333</v>
      </c>
      <c r="B99" t="s">
        <v>19</v>
      </c>
      <c r="C99" t="s">
        <v>25</v>
      </c>
      <c r="D99">
        <v>2.1696680399999999</v>
      </c>
      <c r="E99">
        <v>46.09</v>
      </c>
      <c r="F99">
        <v>45.633663382947198</v>
      </c>
      <c r="G99" t="s">
        <v>160</v>
      </c>
      <c r="H99">
        <v>0.99</v>
      </c>
      <c r="I99">
        <v>0.09</v>
      </c>
      <c r="J99">
        <v>100</v>
      </c>
      <c r="K99" t="s">
        <v>46</v>
      </c>
      <c r="L99" s="5">
        <f>VALUE(IF(Crypto_Dataset[[#This Row],[Type]]="Sell", _xlfn.CONCAT("-", Crypto_Dataset[[#This Row],[Total AUD]]), Crypto_Dataset[[#This Row],[Total AUD]]))</f>
        <v>100</v>
      </c>
      <c r="M99" s="3">
        <f>VALUE(IF(Crypto_Dataset[[#This Row],[Type]]="Sell", _xlfn.CONCAT("-", Crypto_Dataset[[#This Row],[Amount]]), Crypto_Dataset[[#This Row],[Amount]]))</f>
        <v>2.1696680399999999</v>
      </c>
    </row>
    <row r="100" spans="1:13" x14ac:dyDescent="0.35">
      <c r="A100" s="7">
        <v>44250.247916666667</v>
      </c>
      <c r="B100" t="s">
        <v>19</v>
      </c>
      <c r="C100" t="s">
        <v>24</v>
      </c>
      <c r="D100">
        <v>152.33383044000001</v>
      </c>
      <c r="E100">
        <v>1.3129059999999999</v>
      </c>
      <c r="F100">
        <v>1.29990693077328</v>
      </c>
      <c r="G100" t="s">
        <v>159</v>
      </c>
      <c r="H100">
        <v>1.98</v>
      </c>
      <c r="I100">
        <v>0.18</v>
      </c>
      <c r="J100">
        <v>200</v>
      </c>
      <c r="K100" t="s">
        <v>54</v>
      </c>
      <c r="L100" s="5">
        <f>VALUE(IF(Crypto_Dataset[[#This Row],[Type]]="Sell", _xlfn.CONCAT("-", Crypto_Dataset[[#This Row],[Total AUD]]), Crypto_Dataset[[#This Row],[Total AUD]]))</f>
        <v>200</v>
      </c>
      <c r="M100" s="3">
        <f>VALUE(IF(Crypto_Dataset[[#This Row],[Type]]="Sell", _xlfn.CONCAT("-", Crypto_Dataset[[#This Row],[Amount]]), Crypto_Dataset[[#This Row],[Amount]]))</f>
        <v>152.33383044000001</v>
      </c>
    </row>
    <row r="101" spans="1:13" x14ac:dyDescent="0.35">
      <c r="A101" s="7">
        <v>44250.242361111108</v>
      </c>
      <c r="B101" t="s">
        <v>19</v>
      </c>
      <c r="C101" t="s">
        <v>26</v>
      </c>
      <c r="D101">
        <v>1278.15128198</v>
      </c>
      <c r="E101">
        <v>0.156476</v>
      </c>
      <c r="F101">
        <v>0.15492673267396201</v>
      </c>
      <c r="G101" t="s">
        <v>159</v>
      </c>
      <c r="H101">
        <v>1.98</v>
      </c>
      <c r="I101">
        <v>0.18</v>
      </c>
      <c r="J101">
        <v>200</v>
      </c>
      <c r="K101" t="s">
        <v>54</v>
      </c>
      <c r="L101" s="5">
        <f>VALUE(IF(Crypto_Dataset[[#This Row],[Type]]="Sell", _xlfn.CONCAT("-", Crypto_Dataset[[#This Row],[Total AUD]]), Crypto_Dataset[[#This Row],[Total AUD]]))</f>
        <v>200</v>
      </c>
      <c r="M101" s="3">
        <f>VALUE(IF(Crypto_Dataset[[#This Row],[Type]]="Sell", _xlfn.CONCAT("-", Crypto_Dataset[[#This Row],[Amount]]), Crypto_Dataset[[#This Row],[Amount]]))</f>
        <v>1278.15128198</v>
      </c>
    </row>
    <row r="102" spans="1:13" x14ac:dyDescent="0.35">
      <c r="A102" s="7">
        <v>44249.70208333333</v>
      </c>
      <c r="B102" t="s">
        <v>55</v>
      </c>
      <c r="C102" t="s">
        <v>22</v>
      </c>
      <c r="D102">
        <v>12236.807327050001</v>
      </c>
      <c r="E102">
        <v>0.77922000000008096</v>
      </c>
      <c r="F102">
        <v>0.78000000000008096</v>
      </c>
      <c r="G102" t="s">
        <v>161</v>
      </c>
      <c r="H102">
        <v>9.5399999999999991</v>
      </c>
      <c r="I102">
        <v>0.87</v>
      </c>
      <c r="J102">
        <v>9535.17</v>
      </c>
      <c r="K102" t="s">
        <v>162</v>
      </c>
      <c r="L102" s="5">
        <f>VALUE(IF(Crypto_Dataset[[#This Row],[Type]]="Sell", _xlfn.CONCAT("-", Crypto_Dataset[[#This Row],[Total AUD]]), Crypto_Dataset[[#This Row],[Total AUD]]))</f>
        <v>-9535.17</v>
      </c>
      <c r="M102" s="3">
        <f>VALUE(IF(Crypto_Dataset[[#This Row],[Type]]="Sell", _xlfn.CONCAT("-", Crypto_Dataset[[#This Row],[Amount]]), Crypto_Dataset[[#This Row],[Amount]]))</f>
        <v>-12236.807327050001</v>
      </c>
    </row>
    <row r="103" spans="1:13" x14ac:dyDescent="0.35">
      <c r="A103" s="7">
        <v>44249.701388888891</v>
      </c>
      <c r="B103" t="s">
        <v>55</v>
      </c>
      <c r="C103" t="s">
        <v>22</v>
      </c>
      <c r="D103">
        <v>511.53980000000001</v>
      </c>
      <c r="E103">
        <v>0.77921999999999902</v>
      </c>
      <c r="F103">
        <v>0.77999999999999903</v>
      </c>
      <c r="G103" t="s">
        <v>163</v>
      </c>
      <c r="H103">
        <v>0.4</v>
      </c>
      <c r="I103">
        <v>0.04</v>
      </c>
      <c r="J103">
        <v>398.6</v>
      </c>
      <c r="K103" t="s">
        <v>164</v>
      </c>
      <c r="L103" s="5">
        <f>VALUE(IF(Crypto_Dataset[[#This Row],[Type]]="Sell", _xlfn.CONCAT("-", Crypto_Dataset[[#This Row],[Total AUD]]), Crypto_Dataset[[#This Row],[Total AUD]]))</f>
        <v>-398.6</v>
      </c>
      <c r="M103" s="3">
        <f>VALUE(IF(Crypto_Dataset[[#This Row],[Type]]="Sell", _xlfn.CONCAT("-", Crypto_Dataset[[#This Row],[Amount]]), Crypto_Dataset[[#This Row],[Amount]]))</f>
        <v>-511.53980000000001</v>
      </c>
    </row>
    <row r="104" spans="1:13" x14ac:dyDescent="0.35">
      <c r="A104" s="7">
        <v>44248.077777777777</v>
      </c>
      <c r="B104" t="s">
        <v>19</v>
      </c>
      <c r="C104" t="s">
        <v>22</v>
      </c>
      <c r="D104">
        <v>690.92463141233998</v>
      </c>
      <c r="E104">
        <v>0.71071071071273695</v>
      </c>
      <c r="F104">
        <v>0.71</v>
      </c>
      <c r="G104" t="s">
        <v>165</v>
      </c>
      <c r="H104">
        <v>0.49</v>
      </c>
      <c r="I104">
        <v>0.04</v>
      </c>
      <c r="J104">
        <v>491.05</v>
      </c>
      <c r="K104" t="s">
        <v>56</v>
      </c>
      <c r="L104" s="5">
        <f>VALUE(IF(Crypto_Dataset[[#This Row],[Type]]="Sell", _xlfn.CONCAT("-", Crypto_Dataset[[#This Row],[Total AUD]]), Crypto_Dataset[[#This Row],[Total AUD]]))</f>
        <v>491.05</v>
      </c>
      <c r="M104" s="3">
        <f>VALUE(IF(Crypto_Dataset[[#This Row],[Type]]="Sell", _xlfn.CONCAT("-", Crypto_Dataset[[#This Row],[Amount]]), Crypto_Dataset[[#This Row],[Amount]]))</f>
        <v>690.92463141233998</v>
      </c>
    </row>
    <row r="105" spans="1:13" x14ac:dyDescent="0.35">
      <c r="A105" s="7">
        <v>44247.472916666666</v>
      </c>
      <c r="B105" t="s">
        <v>19</v>
      </c>
      <c r="C105" t="s">
        <v>22</v>
      </c>
      <c r="D105">
        <v>2123.1598756292101</v>
      </c>
      <c r="E105">
        <v>0.71071071071028602</v>
      </c>
      <c r="F105">
        <v>0.71</v>
      </c>
      <c r="G105" t="s">
        <v>166</v>
      </c>
      <c r="H105">
        <v>1.51</v>
      </c>
      <c r="I105">
        <v>0.14000000000000001</v>
      </c>
      <c r="J105">
        <v>1508.95</v>
      </c>
      <c r="K105" t="s">
        <v>57</v>
      </c>
      <c r="L105" s="5">
        <f>VALUE(IF(Crypto_Dataset[[#This Row],[Type]]="Sell", _xlfn.CONCAT("-", Crypto_Dataset[[#This Row],[Total AUD]]), Crypto_Dataset[[#This Row],[Total AUD]]))</f>
        <v>1508.95</v>
      </c>
      <c r="M105" s="3">
        <f>VALUE(IF(Crypto_Dataset[[#This Row],[Type]]="Sell", _xlfn.CONCAT("-", Crypto_Dataset[[#This Row],[Amount]]), Crypto_Dataset[[#This Row],[Amount]]))</f>
        <v>2123.1598756292101</v>
      </c>
    </row>
    <row r="106" spans="1:13" x14ac:dyDescent="0.35">
      <c r="A106" s="7">
        <v>44242.438888888886</v>
      </c>
      <c r="B106" t="s">
        <v>19</v>
      </c>
      <c r="C106" t="s">
        <v>27</v>
      </c>
      <c r="D106">
        <v>6.2017080000000002E-2</v>
      </c>
      <c r="E106">
        <v>64498.36</v>
      </c>
      <c r="F106">
        <v>63859.7631427335</v>
      </c>
      <c r="G106" t="s">
        <v>167</v>
      </c>
      <c r="H106">
        <v>39.6</v>
      </c>
      <c r="I106">
        <v>3.6</v>
      </c>
      <c r="J106">
        <v>4000</v>
      </c>
      <c r="K106" t="s">
        <v>58</v>
      </c>
      <c r="L106" s="5">
        <f>VALUE(IF(Crypto_Dataset[[#This Row],[Type]]="Sell", _xlfn.CONCAT("-", Crypto_Dataset[[#This Row],[Total AUD]]), Crypto_Dataset[[#This Row],[Total AUD]]))</f>
        <v>4000</v>
      </c>
      <c r="M106" s="3">
        <f>VALUE(IF(Crypto_Dataset[[#This Row],[Type]]="Sell", _xlfn.CONCAT("-", Crypto_Dataset[[#This Row],[Amount]]), Crypto_Dataset[[#This Row],[Amount]]))</f>
        <v>6.2017080000000002E-2</v>
      </c>
    </row>
    <row r="107" spans="1:13" x14ac:dyDescent="0.35">
      <c r="A107" s="7">
        <v>44242.09652777778</v>
      </c>
      <c r="B107" t="s">
        <v>19</v>
      </c>
      <c r="C107" t="s">
        <v>26</v>
      </c>
      <c r="D107">
        <v>17008.345428150002</v>
      </c>
      <c r="E107">
        <v>0.17638400000000001</v>
      </c>
      <c r="F107">
        <v>0.17463762376244499</v>
      </c>
      <c r="G107" t="s">
        <v>168</v>
      </c>
      <c r="H107">
        <v>29.7</v>
      </c>
      <c r="I107">
        <v>2.7</v>
      </c>
      <c r="J107">
        <v>3000</v>
      </c>
      <c r="K107" t="s">
        <v>59</v>
      </c>
      <c r="L107" s="5">
        <f>VALUE(IF(Crypto_Dataset[[#This Row],[Type]]="Sell", _xlfn.CONCAT("-", Crypto_Dataset[[#This Row],[Total AUD]]), Crypto_Dataset[[#This Row],[Total AUD]]))</f>
        <v>3000</v>
      </c>
      <c r="M107" s="3">
        <f>VALUE(IF(Crypto_Dataset[[#This Row],[Type]]="Sell", _xlfn.CONCAT("-", Crypto_Dataset[[#This Row],[Amount]]), Crypto_Dataset[[#This Row],[Amount]]))</f>
        <v>17008.345428150002</v>
      </c>
    </row>
    <row r="108" spans="1:13" x14ac:dyDescent="0.35">
      <c r="A108" s="7">
        <v>44242.031944444447</v>
      </c>
      <c r="B108" t="s">
        <v>19</v>
      </c>
      <c r="C108" t="s">
        <v>22</v>
      </c>
      <c r="D108">
        <v>6348.6420254699997</v>
      </c>
      <c r="E108">
        <v>0.78756999999999999</v>
      </c>
      <c r="F108">
        <v>0.77977227722781495</v>
      </c>
      <c r="G108" t="s">
        <v>96</v>
      </c>
      <c r="H108">
        <v>49.5</v>
      </c>
      <c r="I108">
        <v>4.5</v>
      </c>
      <c r="J108">
        <v>5000</v>
      </c>
      <c r="K108" t="s">
        <v>60</v>
      </c>
      <c r="L108" s="5">
        <f>VALUE(IF(Crypto_Dataset[[#This Row],[Type]]="Sell", _xlfn.CONCAT("-", Crypto_Dataset[[#This Row],[Total AUD]]), Crypto_Dataset[[#This Row],[Total AUD]]))</f>
        <v>5000</v>
      </c>
      <c r="M108" s="3">
        <f>VALUE(IF(Crypto_Dataset[[#This Row],[Type]]="Sell", _xlfn.CONCAT("-", Crypto_Dataset[[#This Row],[Amount]]), Crypto_Dataset[[#This Row],[Amount]]))</f>
        <v>6348.6420254699997</v>
      </c>
    </row>
    <row r="109" spans="1:13" x14ac:dyDescent="0.35">
      <c r="A109" s="7">
        <v>44242.03125</v>
      </c>
      <c r="B109" t="s">
        <v>19</v>
      </c>
      <c r="C109" t="s">
        <v>22</v>
      </c>
      <c r="D109">
        <v>6399.7051015799998</v>
      </c>
      <c r="E109">
        <v>0.78128600000000004</v>
      </c>
      <c r="F109">
        <v>0.77355049505058304</v>
      </c>
      <c r="G109" t="s">
        <v>96</v>
      </c>
      <c r="H109">
        <v>49.5</v>
      </c>
      <c r="I109">
        <v>4.5</v>
      </c>
      <c r="J109">
        <v>5000</v>
      </c>
      <c r="K109" t="s">
        <v>60</v>
      </c>
      <c r="L109" s="5">
        <f>VALUE(IF(Crypto_Dataset[[#This Row],[Type]]="Sell", _xlfn.CONCAT("-", Crypto_Dataset[[#This Row],[Total AUD]]), Crypto_Dataset[[#This Row],[Total AUD]]))</f>
        <v>5000</v>
      </c>
      <c r="M109" s="3">
        <f>VALUE(IF(Crypto_Dataset[[#This Row],[Type]]="Sell", _xlfn.CONCAT("-", Crypto_Dataset[[#This Row],[Amount]]), Crypto_Dataset[[#This Row],[Amount]]))</f>
        <v>6399.7051015799998</v>
      </c>
    </row>
    <row r="110" spans="1:13" x14ac:dyDescent="0.35">
      <c r="A110" s="7">
        <v>44241.888888888891</v>
      </c>
      <c r="B110" t="s">
        <v>19</v>
      </c>
      <c r="C110" t="s">
        <v>27</v>
      </c>
      <c r="D110">
        <v>1.53929E-3</v>
      </c>
      <c r="E110">
        <v>64964.85</v>
      </c>
      <c r="F110">
        <v>64321.798355150102</v>
      </c>
      <c r="G110" t="s">
        <v>160</v>
      </c>
      <c r="H110">
        <v>0.99</v>
      </c>
      <c r="I110">
        <v>0.09</v>
      </c>
      <c r="J110">
        <v>100</v>
      </c>
      <c r="K110" t="s">
        <v>46</v>
      </c>
      <c r="L110" s="5">
        <f>VALUE(IF(Crypto_Dataset[[#This Row],[Type]]="Sell", _xlfn.CONCAT("-", Crypto_Dataset[[#This Row],[Total AUD]]), Crypto_Dataset[[#This Row],[Total AUD]]))</f>
        <v>100</v>
      </c>
      <c r="M110" s="3">
        <f>VALUE(IF(Crypto_Dataset[[#This Row],[Type]]="Sell", _xlfn.CONCAT("-", Crypto_Dataset[[#This Row],[Amount]]), Crypto_Dataset[[#This Row],[Amount]]))</f>
        <v>1.53929E-3</v>
      </c>
    </row>
    <row r="111" spans="1:13" x14ac:dyDescent="0.35">
      <c r="A111" s="7">
        <v>44241.837500000001</v>
      </c>
      <c r="B111" t="s">
        <v>55</v>
      </c>
      <c r="C111" t="s">
        <v>22</v>
      </c>
      <c r="D111">
        <v>24545.62001368</v>
      </c>
      <c r="E111">
        <v>0.79298500000000005</v>
      </c>
      <c r="F111">
        <v>0.80099494949494898</v>
      </c>
      <c r="G111" t="s">
        <v>169</v>
      </c>
      <c r="H111">
        <v>196.61</v>
      </c>
      <c r="I111">
        <v>17.87</v>
      </c>
      <c r="J111">
        <v>19464.310000000001</v>
      </c>
      <c r="K111" t="s">
        <v>170</v>
      </c>
      <c r="L111" s="5">
        <f>VALUE(IF(Crypto_Dataset[[#This Row],[Type]]="Sell", _xlfn.CONCAT("-", Crypto_Dataset[[#This Row],[Total AUD]]), Crypto_Dataset[[#This Row],[Total AUD]]))</f>
        <v>-19464.310000000001</v>
      </c>
      <c r="M111" s="3">
        <f>VALUE(IF(Crypto_Dataset[[#This Row],[Type]]="Sell", _xlfn.CONCAT("-", Crypto_Dataset[[#This Row],[Amount]]), Crypto_Dataset[[#This Row],[Amount]]))</f>
        <v>-24545.62001368</v>
      </c>
    </row>
    <row r="112" spans="1:13" x14ac:dyDescent="0.35">
      <c r="A112" s="7">
        <v>44241.709722222222</v>
      </c>
      <c r="B112" t="s">
        <v>19</v>
      </c>
      <c r="C112" t="s">
        <v>22</v>
      </c>
      <c r="D112">
        <v>2460.4422398800002</v>
      </c>
      <c r="E112">
        <v>0.81286199999999997</v>
      </c>
      <c r="F112">
        <v>0.80481386138881905</v>
      </c>
      <c r="G112" t="s">
        <v>171</v>
      </c>
      <c r="H112">
        <v>19.8</v>
      </c>
      <c r="I112">
        <v>1.8</v>
      </c>
      <c r="J112">
        <v>2000</v>
      </c>
      <c r="K112" t="s">
        <v>51</v>
      </c>
      <c r="L112" s="5">
        <f>VALUE(IF(Crypto_Dataset[[#This Row],[Type]]="Sell", _xlfn.CONCAT("-", Crypto_Dataset[[#This Row],[Total AUD]]), Crypto_Dataset[[#This Row],[Total AUD]]))</f>
        <v>2000</v>
      </c>
      <c r="M112" s="3">
        <f>VALUE(IF(Crypto_Dataset[[#This Row],[Type]]="Sell", _xlfn.CONCAT("-", Crypto_Dataset[[#This Row],[Amount]]), Crypto_Dataset[[#This Row],[Amount]]))</f>
        <v>2460.4422398800002</v>
      </c>
    </row>
    <row r="113" spans="1:13" x14ac:dyDescent="0.35">
      <c r="A113" s="7">
        <v>44240.948611111111</v>
      </c>
      <c r="B113" t="s">
        <v>19</v>
      </c>
      <c r="C113" t="s">
        <v>27</v>
      </c>
      <c r="D113">
        <v>1.62609E-3</v>
      </c>
      <c r="E113">
        <v>61496.85</v>
      </c>
      <c r="F113">
        <v>60888.327823244101</v>
      </c>
      <c r="G113" t="s">
        <v>160</v>
      </c>
      <c r="H113">
        <v>0.99</v>
      </c>
      <c r="I113">
        <v>0.09</v>
      </c>
      <c r="J113">
        <v>100</v>
      </c>
      <c r="K113" t="s">
        <v>46</v>
      </c>
      <c r="L113" s="5">
        <f>VALUE(IF(Crypto_Dataset[[#This Row],[Type]]="Sell", _xlfn.CONCAT("-", Crypto_Dataset[[#This Row],[Total AUD]]), Crypto_Dataset[[#This Row],[Total AUD]]))</f>
        <v>100</v>
      </c>
      <c r="M113" s="3">
        <f>VALUE(IF(Crypto_Dataset[[#This Row],[Type]]="Sell", _xlfn.CONCAT("-", Crypto_Dataset[[#This Row],[Amount]]), Crypto_Dataset[[#This Row],[Amount]]))</f>
        <v>1.62609E-3</v>
      </c>
    </row>
    <row r="114" spans="1:13" x14ac:dyDescent="0.35">
      <c r="A114" s="7">
        <v>44240.938888888886</v>
      </c>
      <c r="B114" t="s">
        <v>19</v>
      </c>
      <c r="C114" t="s">
        <v>27</v>
      </c>
      <c r="D114">
        <v>1.6101100000000001E-3</v>
      </c>
      <c r="E114">
        <v>62107.360000000001</v>
      </c>
      <c r="F114">
        <v>61492.6315531851</v>
      </c>
      <c r="G114" t="s">
        <v>160</v>
      </c>
      <c r="H114">
        <v>0.99</v>
      </c>
      <c r="I114">
        <v>0.09</v>
      </c>
      <c r="J114">
        <v>100</v>
      </c>
      <c r="K114" t="s">
        <v>46</v>
      </c>
      <c r="L114" s="5">
        <f>VALUE(IF(Crypto_Dataset[[#This Row],[Type]]="Sell", _xlfn.CONCAT("-", Crypto_Dataset[[#This Row],[Total AUD]]), Crypto_Dataset[[#This Row],[Total AUD]]))</f>
        <v>100</v>
      </c>
      <c r="M114" s="3">
        <f>VALUE(IF(Crypto_Dataset[[#This Row],[Type]]="Sell", _xlfn.CONCAT("-", Crypto_Dataset[[#This Row],[Amount]]), Crypto_Dataset[[#This Row],[Amount]]))</f>
        <v>1.6101100000000001E-3</v>
      </c>
    </row>
    <row r="115" spans="1:13" x14ac:dyDescent="0.35">
      <c r="A115" s="7">
        <v>44240.918055555558</v>
      </c>
      <c r="B115" t="s">
        <v>19</v>
      </c>
      <c r="C115" t="s">
        <v>22</v>
      </c>
      <c r="D115">
        <v>6458.8634983700003</v>
      </c>
      <c r="E115">
        <v>0.77412999999999998</v>
      </c>
      <c r="F115">
        <v>0.76646534653569998</v>
      </c>
      <c r="G115" t="s">
        <v>96</v>
      </c>
      <c r="H115">
        <v>49.5</v>
      </c>
      <c r="I115">
        <v>4.5</v>
      </c>
      <c r="J115">
        <v>5000</v>
      </c>
      <c r="K115" t="s">
        <v>60</v>
      </c>
      <c r="L115" s="5">
        <f>VALUE(IF(Crypto_Dataset[[#This Row],[Type]]="Sell", _xlfn.CONCAT("-", Crypto_Dataset[[#This Row],[Total AUD]]), Crypto_Dataset[[#This Row],[Total AUD]]))</f>
        <v>5000</v>
      </c>
      <c r="M115" s="3">
        <f>VALUE(IF(Crypto_Dataset[[#This Row],[Type]]="Sell", _xlfn.CONCAT("-", Crypto_Dataset[[#This Row],[Amount]]), Crypto_Dataset[[#This Row],[Amount]]))</f>
        <v>6458.8634983700003</v>
      </c>
    </row>
    <row r="116" spans="1:13" x14ac:dyDescent="0.35">
      <c r="A116" s="7">
        <v>44240.917361111111</v>
      </c>
      <c r="B116" t="s">
        <v>19</v>
      </c>
      <c r="C116" t="s">
        <v>22</v>
      </c>
      <c r="D116">
        <v>6458.7884087900002</v>
      </c>
      <c r="E116">
        <v>0.77413900000000002</v>
      </c>
      <c r="F116">
        <v>0.76647425742692499</v>
      </c>
      <c r="G116" t="s">
        <v>96</v>
      </c>
      <c r="H116">
        <v>49.5</v>
      </c>
      <c r="I116">
        <v>4.5</v>
      </c>
      <c r="J116">
        <v>5000</v>
      </c>
      <c r="K116" t="s">
        <v>60</v>
      </c>
      <c r="L116" s="5">
        <f>VALUE(IF(Crypto_Dataset[[#This Row],[Type]]="Sell", _xlfn.CONCAT("-", Crypto_Dataset[[#This Row],[Total AUD]]), Crypto_Dataset[[#This Row],[Total AUD]]))</f>
        <v>5000</v>
      </c>
      <c r="M116" s="3">
        <f>VALUE(IF(Crypto_Dataset[[#This Row],[Type]]="Sell", _xlfn.CONCAT("-", Crypto_Dataset[[#This Row],[Amount]]), Crypto_Dataset[[#This Row],[Amount]]))</f>
        <v>6458.7884087900002</v>
      </c>
    </row>
    <row r="117" spans="1:13" x14ac:dyDescent="0.35">
      <c r="A117" s="7">
        <v>44240.833333333336</v>
      </c>
      <c r="B117" t="s">
        <v>19</v>
      </c>
      <c r="C117" t="s">
        <v>34</v>
      </c>
      <c r="D117">
        <v>103788.27192527</v>
      </c>
      <c r="E117">
        <v>1.9269999999999999E-3</v>
      </c>
      <c r="F117">
        <v>1.9079207920792501E-3</v>
      </c>
      <c r="G117" t="s">
        <v>159</v>
      </c>
      <c r="H117">
        <v>1.98</v>
      </c>
      <c r="I117">
        <v>0.18</v>
      </c>
      <c r="J117">
        <v>200</v>
      </c>
      <c r="K117" t="s">
        <v>54</v>
      </c>
      <c r="L117" s="5">
        <f>VALUE(IF(Crypto_Dataset[[#This Row],[Type]]="Sell", _xlfn.CONCAT("-", Crypto_Dataset[[#This Row],[Total AUD]]), Crypto_Dataset[[#This Row],[Total AUD]]))</f>
        <v>200</v>
      </c>
      <c r="M117" s="3">
        <f>VALUE(IF(Crypto_Dataset[[#This Row],[Type]]="Sell", _xlfn.CONCAT("-", Crypto_Dataset[[#This Row],[Amount]]), Crypto_Dataset[[#This Row],[Amount]]))</f>
        <v>103788.27192527</v>
      </c>
    </row>
    <row r="118" spans="1:13" x14ac:dyDescent="0.35">
      <c r="A118" s="7">
        <v>44240.831944444442</v>
      </c>
      <c r="B118" t="s">
        <v>19</v>
      </c>
      <c r="C118" t="s">
        <v>132</v>
      </c>
      <c r="D118">
        <v>22.070913839999999</v>
      </c>
      <c r="E118">
        <v>9.0617000000000001</v>
      </c>
      <c r="F118">
        <v>8.9719802005351799</v>
      </c>
      <c r="G118" t="s">
        <v>159</v>
      </c>
      <c r="H118">
        <v>1.98</v>
      </c>
      <c r="I118">
        <v>0.18</v>
      </c>
      <c r="J118">
        <v>200</v>
      </c>
      <c r="K118" t="s">
        <v>54</v>
      </c>
      <c r="L118" s="5">
        <f>VALUE(IF(Crypto_Dataset[[#This Row],[Type]]="Sell", _xlfn.CONCAT("-", Crypto_Dataset[[#This Row],[Total AUD]]), Crypto_Dataset[[#This Row],[Total AUD]]))</f>
        <v>200</v>
      </c>
      <c r="M118" s="3">
        <f>VALUE(IF(Crypto_Dataset[[#This Row],[Type]]="Sell", _xlfn.CONCAT("-", Crypto_Dataset[[#This Row],[Amount]]), Crypto_Dataset[[#This Row],[Amount]]))</f>
        <v>22.070913839999999</v>
      </c>
    </row>
    <row r="119" spans="1:13" x14ac:dyDescent="0.35">
      <c r="A119" s="7">
        <v>44240.831250000003</v>
      </c>
      <c r="B119" t="s">
        <v>19</v>
      </c>
      <c r="C119" t="s">
        <v>26</v>
      </c>
      <c r="D119">
        <v>1079.29586737</v>
      </c>
      <c r="E119">
        <v>0.185306</v>
      </c>
      <c r="F119">
        <v>0.183471287129753</v>
      </c>
      <c r="G119" t="s">
        <v>159</v>
      </c>
      <c r="H119">
        <v>1.98</v>
      </c>
      <c r="I119">
        <v>0.18</v>
      </c>
      <c r="J119">
        <v>200</v>
      </c>
      <c r="K119" t="s">
        <v>54</v>
      </c>
      <c r="L119" s="5">
        <f>VALUE(IF(Crypto_Dataset[[#This Row],[Type]]="Sell", _xlfn.CONCAT("-", Crypto_Dataset[[#This Row],[Total AUD]]), Crypto_Dataset[[#This Row],[Total AUD]]))</f>
        <v>200</v>
      </c>
      <c r="M119" s="3">
        <f>VALUE(IF(Crypto_Dataset[[#This Row],[Type]]="Sell", _xlfn.CONCAT("-", Crypto_Dataset[[#This Row],[Amount]]), Crypto_Dataset[[#This Row],[Amount]]))</f>
        <v>1079.29586737</v>
      </c>
    </row>
    <row r="120" spans="1:13" x14ac:dyDescent="0.35">
      <c r="A120" s="7">
        <v>44239.583333333336</v>
      </c>
      <c r="B120" t="s">
        <v>55</v>
      </c>
      <c r="C120" t="s">
        <v>22</v>
      </c>
      <c r="D120">
        <v>13858.5156421066</v>
      </c>
      <c r="E120">
        <v>0.72157800000000005</v>
      </c>
      <c r="F120">
        <v>0.728866666666666</v>
      </c>
      <c r="G120" t="s">
        <v>172</v>
      </c>
      <c r="H120">
        <v>101.01</v>
      </c>
      <c r="I120">
        <v>9.18</v>
      </c>
      <c r="J120">
        <v>10000</v>
      </c>
      <c r="K120" t="s">
        <v>173</v>
      </c>
      <c r="L120" s="5">
        <f>VALUE(IF(Crypto_Dataset[[#This Row],[Type]]="Sell", _xlfn.CONCAT("-", Crypto_Dataset[[#This Row],[Total AUD]]), Crypto_Dataset[[#This Row],[Total AUD]]))</f>
        <v>-10000</v>
      </c>
      <c r="M120" s="3">
        <f>VALUE(IF(Crypto_Dataset[[#This Row],[Type]]="Sell", _xlfn.CONCAT("-", Crypto_Dataset[[#This Row],[Amount]]), Crypto_Dataset[[#This Row],[Amount]]))</f>
        <v>-13858.5156421066</v>
      </c>
    </row>
    <row r="121" spans="1:13" x14ac:dyDescent="0.35">
      <c r="A121" s="7">
        <v>44239.581944444442</v>
      </c>
      <c r="B121" t="s">
        <v>55</v>
      </c>
      <c r="C121" t="s">
        <v>22</v>
      </c>
      <c r="D121">
        <v>6893.2334641669004</v>
      </c>
      <c r="E121">
        <v>0.72534900000000002</v>
      </c>
      <c r="F121">
        <v>0.73267575757575698</v>
      </c>
      <c r="G121" t="s">
        <v>174</v>
      </c>
      <c r="H121">
        <v>50.51</v>
      </c>
      <c r="I121">
        <v>4.59</v>
      </c>
      <c r="J121">
        <v>5000</v>
      </c>
      <c r="K121" t="s">
        <v>175</v>
      </c>
      <c r="L121" s="5">
        <f>VALUE(IF(Crypto_Dataset[[#This Row],[Type]]="Sell", _xlfn.CONCAT("-", Crypto_Dataset[[#This Row],[Total AUD]]), Crypto_Dataset[[#This Row],[Total AUD]]))</f>
        <v>-5000</v>
      </c>
      <c r="M121" s="3">
        <f>VALUE(IF(Crypto_Dataset[[#This Row],[Type]]="Sell", _xlfn.CONCAT("-", Crypto_Dataset[[#This Row],[Amount]]), Crypto_Dataset[[#This Row],[Amount]]))</f>
        <v>-6893.2334641669004</v>
      </c>
    </row>
    <row r="122" spans="1:13" x14ac:dyDescent="0.35">
      <c r="A122" s="7">
        <v>44228.768750000003</v>
      </c>
      <c r="B122" t="s">
        <v>19</v>
      </c>
      <c r="C122" t="s">
        <v>22</v>
      </c>
      <c r="D122">
        <v>5089.6801644899997</v>
      </c>
      <c r="E122">
        <v>0.78590400000000005</v>
      </c>
      <c r="F122">
        <v>0.778122772278521</v>
      </c>
      <c r="G122" t="s">
        <v>167</v>
      </c>
      <c r="H122">
        <v>39.6</v>
      </c>
      <c r="I122">
        <v>3.6</v>
      </c>
      <c r="J122">
        <v>4000</v>
      </c>
      <c r="K122" t="s">
        <v>58</v>
      </c>
      <c r="L122" s="5">
        <f>VALUE(IF(Crypto_Dataset[[#This Row],[Type]]="Sell", _xlfn.CONCAT("-", Crypto_Dataset[[#This Row],[Total AUD]]), Crypto_Dataset[[#This Row],[Total AUD]]))</f>
        <v>4000</v>
      </c>
      <c r="M122" s="3">
        <f>VALUE(IF(Crypto_Dataset[[#This Row],[Type]]="Sell", _xlfn.CONCAT("-", Crypto_Dataset[[#This Row],[Amount]]), Crypto_Dataset[[#This Row],[Amount]]))</f>
        <v>5089.6801644899997</v>
      </c>
    </row>
    <row r="123" spans="1:13" x14ac:dyDescent="0.35">
      <c r="A123" s="7">
        <v>44228.73541666667</v>
      </c>
      <c r="B123" t="s">
        <v>19</v>
      </c>
      <c r="C123" t="s">
        <v>22</v>
      </c>
      <c r="D123">
        <v>3163.8080606200001</v>
      </c>
      <c r="E123">
        <v>0.79018699999999997</v>
      </c>
      <c r="F123">
        <v>0.78236336633753001</v>
      </c>
      <c r="G123" t="s">
        <v>97</v>
      </c>
      <c r="H123">
        <v>24.75</v>
      </c>
      <c r="I123">
        <v>2.25</v>
      </c>
      <c r="J123">
        <v>2500</v>
      </c>
      <c r="K123" t="s">
        <v>61</v>
      </c>
      <c r="L123" s="5">
        <f>VALUE(IF(Crypto_Dataset[[#This Row],[Type]]="Sell", _xlfn.CONCAT("-", Crypto_Dataset[[#This Row],[Total AUD]]), Crypto_Dataset[[#This Row],[Total AUD]]))</f>
        <v>2500</v>
      </c>
      <c r="M123" s="3">
        <f>VALUE(IF(Crypto_Dataset[[#This Row],[Type]]="Sell", _xlfn.CONCAT("-", Crypto_Dataset[[#This Row],[Amount]]), Crypto_Dataset[[#This Row],[Amount]]))</f>
        <v>3163.8080606200001</v>
      </c>
    </row>
    <row r="124" spans="1:13" x14ac:dyDescent="0.35">
      <c r="A124" s="7">
        <v>44189.492361111108</v>
      </c>
      <c r="B124" t="s">
        <v>19</v>
      </c>
      <c r="C124" t="s">
        <v>22</v>
      </c>
      <c r="D124">
        <v>6801.2590490700004</v>
      </c>
      <c r="E124">
        <v>0.36757899999999999</v>
      </c>
      <c r="F124">
        <v>0.36393960396067199</v>
      </c>
      <c r="G124" t="s">
        <v>97</v>
      </c>
      <c r="H124">
        <v>24.75</v>
      </c>
      <c r="I124">
        <v>2.25</v>
      </c>
      <c r="J124">
        <v>2500</v>
      </c>
      <c r="K124" t="s">
        <v>61</v>
      </c>
      <c r="L124" s="5">
        <f>VALUE(IF(Crypto_Dataset[[#This Row],[Type]]="Sell", _xlfn.CONCAT("-", Crypto_Dataset[[#This Row],[Total AUD]]), Crypto_Dataset[[#This Row],[Total AUD]]))</f>
        <v>2500</v>
      </c>
      <c r="M124" s="3">
        <f>VALUE(IF(Crypto_Dataset[[#This Row],[Type]]="Sell", _xlfn.CONCAT("-", Crypto_Dataset[[#This Row],[Amount]]), Crypto_Dataset[[#This Row],[Amount]]))</f>
        <v>6801.2590490700004</v>
      </c>
    </row>
    <row r="125" spans="1:13" x14ac:dyDescent="0.35">
      <c r="A125" s="7">
        <v>44161.616666666669</v>
      </c>
      <c r="B125" t="s">
        <v>19</v>
      </c>
      <c r="C125" t="s">
        <v>22</v>
      </c>
      <c r="D125">
        <v>4450.5114805499998</v>
      </c>
      <c r="E125">
        <v>0.79299200000000003</v>
      </c>
      <c r="F125">
        <v>0.78514059406289705</v>
      </c>
      <c r="G125" t="s">
        <v>176</v>
      </c>
      <c r="H125">
        <v>34.94</v>
      </c>
      <c r="I125">
        <v>3.18</v>
      </c>
      <c r="J125">
        <v>3529.22</v>
      </c>
      <c r="K125" t="s">
        <v>62</v>
      </c>
      <c r="L125" s="5">
        <f>VALUE(IF(Crypto_Dataset[[#This Row],[Type]]="Sell", _xlfn.CONCAT("-", Crypto_Dataset[[#This Row],[Total AUD]]), Crypto_Dataset[[#This Row],[Total AUD]]))</f>
        <v>3529.22</v>
      </c>
      <c r="M125" s="3">
        <f>VALUE(IF(Crypto_Dataset[[#This Row],[Type]]="Sell", _xlfn.CONCAT("-", Crypto_Dataset[[#This Row],[Amount]]), Crypto_Dataset[[#This Row],[Amount]]))</f>
        <v>4450.5114805499998</v>
      </c>
    </row>
    <row r="126" spans="1:13" x14ac:dyDescent="0.35">
      <c r="A126" s="7">
        <v>44161.613194444442</v>
      </c>
      <c r="B126" t="s">
        <v>19</v>
      </c>
      <c r="C126" t="s">
        <v>22</v>
      </c>
      <c r="D126">
        <v>3914.1956132300002</v>
      </c>
      <c r="E126">
        <v>0.76644100000000004</v>
      </c>
      <c r="F126">
        <v>0.758852475247622</v>
      </c>
      <c r="G126" t="s">
        <v>168</v>
      </c>
      <c r="H126">
        <v>29.7</v>
      </c>
      <c r="I126">
        <v>2.7</v>
      </c>
      <c r="J126">
        <v>3000</v>
      </c>
      <c r="K126" t="s">
        <v>59</v>
      </c>
      <c r="L126" s="5">
        <f>VALUE(IF(Crypto_Dataset[[#This Row],[Type]]="Sell", _xlfn.CONCAT("-", Crypto_Dataset[[#This Row],[Total AUD]]), Crypto_Dataset[[#This Row],[Total AUD]]))</f>
        <v>3000</v>
      </c>
      <c r="M126" s="3">
        <f>VALUE(IF(Crypto_Dataset[[#This Row],[Type]]="Sell", _xlfn.CONCAT("-", Crypto_Dataset[[#This Row],[Amount]]), Crypto_Dataset[[#This Row],[Amount]]))</f>
        <v>3914.1956132300002</v>
      </c>
    </row>
    <row r="127" spans="1:13" x14ac:dyDescent="0.35">
      <c r="A127" s="7">
        <v>44161.607638888891</v>
      </c>
      <c r="B127" t="s">
        <v>19</v>
      </c>
      <c r="C127" t="s">
        <v>22</v>
      </c>
      <c r="D127">
        <v>6499.8206049500004</v>
      </c>
      <c r="E127">
        <v>0.76925200000000005</v>
      </c>
      <c r="F127">
        <v>0.76163564356450897</v>
      </c>
      <c r="G127" t="s">
        <v>96</v>
      </c>
      <c r="H127">
        <v>49.5</v>
      </c>
      <c r="I127">
        <v>4.5</v>
      </c>
      <c r="J127">
        <v>5000</v>
      </c>
      <c r="K127" t="s">
        <v>60</v>
      </c>
      <c r="L127" s="5">
        <f>VALUE(IF(Crypto_Dataset[[#This Row],[Type]]="Sell", _xlfn.CONCAT("-", Crypto_Dataset[[#This Row],[Total AUD]]), Crypto_Dataset[[#This Row],[Total AUD]]))</f>
        <v>5000</v>
      </c>
      <c r="M127" s="3">
        <f>VALUE(IF(Crypto_Dataset[[#This Row],[Type]]="Sell", _xlfn.CONCAT("-", Crypto_Dataset[[#This Row],[Amount]]), Crypto_Dataset[[#This Row],[Amount]]))</f>
        <v>6499.8206049500004</v>
      </c>
    </row>
    <row r="128" spans="1:13" x14ac:dyDescent="0.35">
      <c r="A128" s="7">
        <v>44161.397222222222</v>
      </c>
      <c r="B128" t="s">
        <v>55</v>
      </c>
      <c r="C128" t="s">
        <v>22</v>
      </c>
      <c r="D128">
        <v>11387.47414733</v>
      </c>
      <c r="E128">
        <v>0.836816</v>
      </c>
      <c r="F128">
        <v>0.84526868686868695</v>
      </c>
      <c r="G128" t="s">
        <v>177</v>
      </c>
      <c r="H128">
        <v>96.25</v>
      </c>
      <c r="I128">
        <v>8.75</v>
      </c>
      <c r="J128">
        <v>9529.2199999999993</v>
      </c>
      <c r="K128" t="s">
        <v>178</v>
      </c>
      <c r="L128" s="5">
        <f>VALUE(IF(Crypto_Dataset[[#This Row],[Type]]="Sell", _xlfn.CONCAT("-", Crypto_Dataset[[#This Row],[Total AUD]]), Crypto_Dataset[[#This Row],[Total AUD]]))</f>
        <v>-9529.2199999999993</v>
      </c>
      <c r="M128" s="3">
        <f>VALUE(IF(Crypto_Dataset[[#This Row],[Type]]="Sell", _xlfn.CONCAT("-", Crypto_Dataset[[#This Row],[Amount]]), Crypto_Dataset[[#This Row],[Amount]]))</f>
        <v>-11387.47414733</v>
      </c>
    </row>
    <row r="129" spans="1:13" x14ac:dyDescent="0.35">
      <c r="A129" s="7">
        <v>44160.276388888888</v>
      </c>
      <c r="B129" t="s">
        <v>19</v>
      </c>
      <c r="C129" t="s">
        <v>22</v>
      </c>
      <c r="D129">
        <v>429.73848121999998</v>
      </c>
      <c r="E129">
        <v>1.0305569999999999</v>
      </c>
      <c r="F129">
        <v>1.0203534653680999</v>
      </c>
      <c r="G129" t="s">
        <v>179</v>
      </c>
      <c r="H129">
        <v>4.38</v>
      </c>
      <c r="I129">
        <v>0.4</v>
      </c>
      <c r="J129">
        <v>442.87</v>
      </c>
      <c r="K129" t="s">
        <v>63</v>
      </c>
      <c r="L129" s="5">
        <f>VALUE(IF(Crypto_Dataset[[#This Row],[Type]]="Sell", _xlfn.CONCAT("-", Crypto_Dataset[[#This Row],[Total AUD]]), Crypto_Dataset[[#This Row],[Total AUD]]))</f>
        <v>442.87</v>
      </c>
      <c r="M129" s="3">
        <f>VALUE(IF(Crypto_Dataset[[#This Row],[Type]]="Sell", _xlfn.CONCAT("-", Crypto_Dataset[[#This Row],[Amount]]), Crypto_Dataset[[#This Row],[Amount]]))</f>
        <v>429.73848121999998</v>
      </c>
    </row>
    <row r="130" spans="1:13" x14ac:dyDescent="0.35">
      <c r="A130" s="7">
        <v>44160.275000000001</v>
      </c>
      <c r="B130" t="s">
        <v>19</v>
      </c>
      <c r="C130" t="s">
        <v>22</v>
      </c>
      <c r="D130">
        <v>6768.86361416</v>
      </c>
      <c r="E130">
        <v>1.0341469999999999</v>
      </c>
      <c r="F130">
        <v>1.0239079207931401</v>
      </c>
      <c r="G130" t="s">
        <v>180</v>
      </c>
      <c r="H130">
        <v>69.31</v>
      </c>
      <c r="I130">
        <v>6.3</v>
      </c>
      <c r="J130">
        <v>7000</v>
      </c>
      <c r="K130" t="s">
        <v>64</v>
      </c>
      <c r="L130" s="5">
        <f>VALUE(IF(Crypto_Dataset[[#This Row],[Type]]="Sell", _xlfn.CONCAT("-", Crypto_Dataset[[#This Row],[Total AUD]]), Crypto_Dataset[[#This Row],[Total AUD]]))</f>
        <v>7000</v>
      </c>
      <c r="M130" s="3">
        <f>VALUE(IF(Crypto_Dataset[[#This Row],[Type]]="Sell", _xlfn.CONCAT("-", Crypto_Dataset[[#This Row],[Amount]]), Crypto_Dataset[[#This Row],[Amount]]))</f>
        <v>6768.86361416</v>
      </c>
    </row>
    <row r="131" spans="1:13" x14ac:dyDescent="0.35">
      <c r="A131" s="7">
        <v>44160.027777777781</v>
      </c>
      <c r="B131" t="s">
        <v>19</v>
      </c>
      <c r="C131" t="s">
        <v>22</v>
      </c>
      <c r="D131">
        <v>4188.8720519500002</v>
      </c>
      <c r="E131">
        <v>0.95491099999999995</v>
      </c>
      <c r="F131">
        <v>0.945456435643652</v>
      </c>
      <c r="G131" t="s">
        <v>167</v>
      </c>
      <c r="H131">
        <v>39.6</v>
      </c>
      <c r="I131">
        <v>3.6</v>
      </c>
      <c r="J131">
        <v>4000</v>
      </c>
      <c r="K131" t="s">
        <v>58</v>
      </c>
      <c r="L131" s="5">
        <f>VALUE(IF(Crypto_Dataset[[#This Row],[Type]]="Sell", _xlfn.CONCAT("-", Crypto_Dataset[[#This Row],[Total AUD]]), Crypto_Dataset[[#This Row],[Total AUD]]))</f>
        <v>4000</v>
      </c>
      <c r="M131" s="3">
        <f>VALUE(IF(Crypto_Dataset[[#This Row],[Type]]="Sell", _xlfn.CONCAT("-", Crypto_Dataset[[#This Row],[Amount]]), Crypto_Dataset[[#This Row],[Amount]]))</f>
        <v>4188.8720519500002</v>
      </c>
    </row>
    <row r="132" spans="1:13" x14ac:dyDescent="0.35">
      <c r="A132" s="7">
        <v>44157.863194444442</v>
      </c>
      <c r="B132" t="s">
        <v>55</v>
      </c>
      <c r="C132" t="s">
        <v>22</v>
      </c>
      <c r="D132">
        <v>18014.431089279999</v>
      </c>
      <c r="E132">
        <v>0.63520600000000005</v>
      </c>
      <c r="F132">
        <v>0.64162222222222198</v>
      </c>
      <c r="G132" t="s">
        <v>181</v>
      </c>
      <c r="H132">
        <v>115.58</v>
      </c>
      <c r="I132">
        <v>10.51</v>
      </c>
      <c r="J132">
        <v>11442.87</v>
      </c>
      <c r="K132" t="s">
        <v>182</v>
      </c>
      <c r="L132" s="5">
        <f>VALUE(IF(Crypto_Dataset[[#This Row],[Type]]="Sell", _xlfn.CONCAT("-", Crypto_Dataset[[#This Row],[Total AUD]]), Crypto_Dataset[[#This Row],[Total AUD]]))</f>
        <v>-11442.87</v>
      </c>
      <c r="M132" s="3">
        <f>VALUE(IF(Crypto_Dataset[[#This Row],[Type]]="Sell", _xlfn.CONCAT("-", Crypto_Dataset[[#This Row],[Amount]]), Crypto_Dataset[[#This Row],[Amount]]))</f>
        <v>-18014.431089279999</v>
      </c>
    </row>
    <row r="133" spans="1:13" x14ac:dyDescent="0.35">
      <c r="A133" s="7">
        <v>43878.390972222223</v>
      </c>
      <c r="B133" t="s">
        <v>19</v>
      </c>
      <c r="C133" t="s">
        <v>22</v>
      </c>
      <c r="D133">
        <v>2394.1109284700001</v>
      </c>
      <c r="E133">
        <v>0.43864300000000001</v>
      </c>
      <c r="F133">
        <v>0.43430000000129598</v>
      </c>
      <c r="G133" t="s">
        <v>183</v>
      </c>
      <c r="H133">
        <v>10.4</v>
      </c>
      <c r="I133">
        <v>0.95</v>
      </c>
      <c r="J133">
        <v>1050.1600000000001</v>
      </c>
      <c r="K133" t="s">
        <v>65</v>
      </c>
      <c r="L133" s="5">
        <f>VALUE(IF(Crypto_Dataset[[#This Row],[Type]]="Sell", _xlfn.CONCAT("-", Crypto_Dataset[[#This Row],[Total AUD]]), Crypto_Dataset[[#This Row],[Total AUD]]))</f>
        <v>1050.1600000000001</v>
      </c>
      <c r="M133" s="3">
        <f>VALUE(IF(Crypto_Dataset[[#This Row],[Type]]="Sell", _xlfn.CONCAT("-", Crypto_Dataset[[#This Row],[Amount]]), Crypto_Dataset[[#This Row],[Amount]]))</f>
        <v>2394.1109284700001</v>
      </c>
    </row>
    <row r="134" spans="1:13" x14ac:dyDescent="0.35">
      <c r="A134" s="7">
        <v>43877.206944444442</v>
      </c>
      <c r="B134" t="s">
        <v>19</v>
      </c>
      <c r="C134" t="s">
        <v>22</v>
      </c>
      <c r="D134">
        <v>94.895009999999999</v>
      </c>
      <c r="E134">
        <v>0.46046046046046002</v>
      </c>
      <c r="F134">
        <v>0.46</v>
      </c>
      <c r="G134" t="s">
        <v>184</v>
      </c>
      <c r="H134">
        <v>0.04</v>
      </c>
      <c r="I134">
        <v>0</v>
      </c>
      <c r="J134">
        <v>43.7</v>
      </c>
      <c r="K134" t="s">
        <v>66</v>
      </c>
      <c r="L134" s="5">
        <f>VALUE(IF(Crypto_Dataset[[#This Row],[Type]]="Sell", _xlfn.CONCAT("-", Crypto_Dataset[[#This Row],[Total AUD]]), Crypto_Dataset[[#This Row],[Total AUD]]))</f>
        <v>43.7</v>
      </c>
      <c r="M134" s="3">
        <f>VALUE(IF(Crypto_Dataset[[#This Row],[Type]]="Sell", _xlfn.CONCAT("-", Crypto_Dataset[[#This Row],[Amount]]), Crypto_Dataset[[#This Row],[Amount]]))</f>
        <v>94.895009999999999</v>
      </c>
    </row>
    <row r="135" spans="1:13" x14ac:dyDescent="0.35">
      <c r="A135" s="7">
        <v>43877.206944444442</v>
      </c>
      <c r="B135" t="s">
        <v>19</v>
      </c>
      <c r="C135" t="s">
        <v>22</v>
      </c>
      <c r="D135">
        <v>1173.28116623814</v>
      </c>
      <c r="E135">
        <v>0.46046046041307198</v>
      </c>
      <c r="F135">
        <v>0.46</v>
      </c>
      <c r="G135" t="s">
        <v>185</v>
      </c>
      <c r="H135">
        <v>0.54</v>
      </c>
      <c r="I135">
        <v>0.05</v>
      </c>
      <c r="J135">
        <v>540.25</v>
      </c>
      <c r="K135" t="s">
        <v>67</v>
      </c>
      <c r="L135" s="5">
        <f>VALUE(IF(Crypto_Dataset[[#This Row],[Type]]="Sell", _xlfn.CONCAT("-", Crypto_Dataset[[#This Row],[Total AUD]]), Crypto_Dataset[[#This Row],[Total AUD]]))</f>
        <v>540.25</v>
      </c>
      <c r="M135" s="3">
        <f>VALUE(IF(Crypto_Dataset[[#This Row],[Type]]="Sell", _xlfn.CONCAT("-", Crypto_Dataset[[#This Row],[Amount]]), Crypto_Dataset[[#This Row],[Amount]]))</f>
        <v>1173.28116623814</v>
      </c>
    </row>
    <row r="136" spans="1:13" x14ac:dyDescent="0.35">
      <c r="A136" s="7">
        <v>43877.206944444442</v>
      </c>
      <c r="B136" t="s">
        <v>19</v>
      </c>
      <c r="C136" t="s">
        <v>22</v>
      </c>
      <c r="D136">
        <v>773.69586092873999</v>
      </c>
      <c r="E136">
        <v>0.46046045996982798</v>
      </c>
      <c r="F136">
        <v>0.46</v>
      </c>
      <c r="G136" t="s">
        <v>186</v>
      </c>
      <c r="H136">
        <v>0.36</v>
      </c>
      <c r="I136">
        <v>0.03</v>
      </c>
      <c r="J136">
        <v>356.26</v>
      </c>
      <c r="K136" t="s">
        <v>68</v>
      </c>
      <c r="L136" s="5">
        <f>VALUE(IF(Crypto_Dataset[[#This Row],[Type]]="Sell", _xlfn.CONCAT("-", Crypto_Dataset[[#This Row],[Total AUD]]), Crypto_Dataset[[#This Row],[Total AUD]]))</f>
        <v>356.26</v>
      </c>
      <c r="M136" s="3">
        <f>VALUE(IF(Crypto_Dataset[[#This Row],[Type]]="Sell", _xlfn.CONCAT("-", Crypto_Dataset[[#This Row],[Amount]]), Crypto_Dataset[[#This Row],[Amount]]))</f>
        <v>773.69586092873999</v>
      </c>
    </row>
    <row r="137" spans="1:13" x14ac:dyDescent="0.35">
      <c r="A137" s="7">
        <v>43875.714583333334</v>
      </c>
      <c r="B137" t="s">
        <v>19</v>
      </c>
      <c r="C137" t="s">
        <v>22</v>
      </c>
      <c r="D137">
        <v>20.935565478000001</v>
      </c>
      <c r="E137">
        <v>0.46046045472858699</v>
      </c>
      <c r="F137">
        <v>0.46</v>
      </c>
      <c r="G137" t="s">
        <v>187</v>
      </c>
      <c r="H137">
        <v>0.01</v>
      </c>
      <c r="I137">
        <v>0</v>
      </c>
      <c r="J137">
        <v>9.64</v>
      </c>
      <c r="K137" t="s">
        <v>69</v>
      </c>
      <c r="L137" s="5">
        <f>VALUE(IF(Crypto_Dataset[[#This Row],[Type]]="Sell", _xlfn.CONCAT("-", Crypto_Dataset[[#This Row],[Total AUD]]), Crypto_Dataset[[#This Row],[Total AUD]]))</f>
        <v>9.64</v>
      </c>
      <c r="M137" s="3">
        <f>VALUE(IF(Crypto_Dataset[[#This Row],[Type]]="Sell", _xlfn.CONCAT("-", Crypto_Dataset[[#This Row],[Amount]]), Crypto_Dataset[[#This Row],[Amount]]))</f>
        <v>20.935565478000001</v>
      </c>
    </row>
    <row r="138" spans="1:13" x14ac:dyDescent="0.35">
      <c r="A138" s="7">
        <v>43867.798611111109</v>
      </c>
      <c r="B138" t="s">
        <v>19</v>
      </c>
      <c r="C138" t="s">
        <v>22</v>
      </c>
      <c r="D138">
        <v>2334.5940141000001</v>
      </c>
      <c r="E138">
        <v>0.42834</v>
      </c>
      <c r="F138">
        <v>0.42409900990116201</v>
      </c>
      <c r="G138" t="s">
        <v>106</v>
      </c>
      <c r="H138">
        <v>9.9</v>
      </c>
      <c r="I138">
        <v>0.9</v>
      </c>
      <c r="J138">
        <v>1000</v>
      </c>
      <c r="K138" t="s">
        <v>70</v>
      </c>
      <c r="L138" s="5">
        <f>VALUE(IF(Crypto_Dataset[[#This Row],[Type]]="Sell", _xlfn.CONCAT("-", Crypto_Dataset[[#This Row],[Total AUD]]), Crypto_Dataset[[#This Row],[Total AUD]]))</f>
        <v>1000</v>
      </c>
      <c r="M138" s="3">
        <f>VALUE(IF(Crypto_Dataset[[#This Row],[Type]]="Sell", _xlfn.CONCAT("-", Crypto_Dataset[[#This Row],[Amount]]), Crypto_Dataset[[#This Row],[Amount]]))</f>
        <v>2334.5940141000001</v>
      </c>
    </row>
    <row r="139" spans="1:13" x14ac:dyDescent="0.35">
      <c r="A139" s="7">
        <v>43867.79791666667</v>
      </c>
      <c r="B139" t="s">
        <v>19</v>
      </c>
      <c r="C139" t="s">
        <v>22</v>
      </c>
      <c r="D139">
        <v>3501.3515216800001</v>
      </c>
      <c r="E139">
        <v>0.42840600000000001</v>
      </c>
      <c r="F139">
        <v>0.42416435643653599</v>
      </c>
      <c r="G139" t="s">
        <v>188</v>
      </c>
      <c r="H139">
        <v>14.85</v>
      </c>
      <c r="I139">
        <v>1.35</v>
      </c>
      <c r="J139">
        <v>1500</v>
      </c>
      <c r="K139" t="s">
        <v>71</v>
      </c>
      <c r="L139" s="5">
        <f>VALUE(IF(Crypto_Dataset[[#This Row],[Type]]="Sell", _xlfn.CONCAT("-", Crypto_Dataset[[#This Row],[Total AUD]]), Crypto_Dataset[[#This Row],[Total AUD]]))</f>
        <v>1500</v>
      </c>
      <c r="M139" s="3">
        <f>VALUE(IF(Crypto_Dataset[[#This Row],[Type]]="Sell", _xlfn.CONCAT("-", Crypto_Dataset[[#This Row],[Amount]]), Crypto_Dataset[[#This Row],[Amount]]))</f>
        <v>3501.3515216800001</v>
      </c>
    </row>
    <row r="140" spans="1:13" x14ac:dyDescent="0.35">
      <c r="A140" s="7">
        <v>43861.829861111109</v>
      </c>
      <c r="B140" t="s">
        <v>19</v>
      </c>
      <c r="C140" t="s">
        <v>22</v>
      </c>
      <c r="D140">
        <v>7721.5670223799998</v>
      </c>
      <c r="E140">
        <v>0.36892900000000001</v>
      </c>
      <c r="F140">
        <v>0.36527623762380901</v>
      </c>
      <c r="G140" t="s">
        <v>189</v>
      </c>
      <c r="H140">
        <v>28.21</v>
      </c>
      <c r="I140">
        <v>2.56</v>
      </c>
      <c r="J140">
        <v>2848.71</v>
      </c>
      <c r="K140" t="s">
        <v>72</v>
      </c>
      <c r="L140" s="5">
        <f>VALUE(IF(Crypto_Dataset[[#This Row],[Type]]="Sell", _xlfn.CONCAT("-", Crypto_Dataset[[#This Row],[Total AUD]]), Crypto_Dataset[[#This Row],[Total AUD]]))</f>
        <v>2848.71</v>
      </c>
      <c r="M140" s="3">
        <f>VALUE(IF(Crypto_Dataset[[#This Row],[Type]]="Sell", _xlfn.CONCAT("-", Crypto_Dataset[[#This Row],[Amount]]), Crypto_Dataset[[#This Row],[Amount]]))</f>
        <v>7721.5670223799998</v>
      </c>
    </row>
    <row r="141" spans="1:13" x14ac:dyDescent="0.35">
      <c r="A141" s="7">
        <v>43815.995833333334</v>
      </c>
      <c r="B141" t="s">
        <v>55</v>
      </c>
      <c r="C141" t="s">
        <v>73</v>
      </c>
      <c r="D141">
        <v>5551.73102973</v>
      </c>
      <c r="E141">
        <v>1.9594E-2</v>
      </c>
      <c r="F141">
        <v>1.97919191919191E-2</v>
      </c>
      <c r="G141" t="s">
        <v>190</v>
      </c>
      <c r="H141">
        <v>1.1000000000000001</v>
      </c>
      <c r="I141">
        <v>0.1</v>
      </c>
      <c r="J141">
        <v>108.78</v>
      </c>
      <c r="K141" t="s">
        <v>191</v>
      </c>
      <c r="L141" s="5">
        <f>VALUE(IF(Crypto_Dataset[[#This Row],[Type]]="Sell", _xlfn.CONCAT("-", Crypto_Dataset[[#This Row],[Total AUD]]), Crypto_Dataset[[#This Row],[Total AUD]]))</f>
        <v>-108.78</v>
      </c>
      <c r="M141" s="3">
        <f>VALUE(IF(Crypto_Dataset[[#This Row],[Type]]="Sell", _xlfn.CONCAT("-", Crypto_Dataset[[#This Row],[Amount]]), Crypto_Dataset[[#This Row],[Amount]]))</f>
        <v>-5551.73102973</v>
      </c>
    </row>
    <row r="142" spans="1:13" x14ac:dyDescent="0.35">
      <c r="A142" s="7">
        <v>43815.995833333334</v>
      </c>
      <c r="B142" t="s">
        <v>55</v>
      </c>
      <c r="C142" t="s">
        <v>74</v>
      </c>
      <c r="D142">
        <v>3.02862046</v>
      </c>
      <c r="E142">
        <v>61.15</v>
      </c>
      <c r="F142">
        <v>61.767676767676697</v>
      </c>
      <c r="G142" t="s">
        <v>192</v>
      </c>
      <c r="H142">
        <v>1.87</v>
      </c>
      <c r="I142">
        <v>0.17</v>
      </c>
      <c r="J142">
        <v>185.2</v>
      </c>
      <c r="K142" t="s">
        <v>193</v>
      </c>
      <c r="L142" s="5">
        <f>VALUE(IF(Crypto_Dataset[[#This Row],[Type]]="Sell", _xlfn.CONCAT("-", Crypto_Dataset[[#This Row],[Total AUD]]), Crypto_Dataset[[#This Row],[Total AUD]]))</f>
        <v>-185.2</v>
      </c>
      <c r="M142" s="3">
        <f>VALUE(IF(Crypto_Dataset[[#This Row],[Type]]="Sell", _xlfn.CONCAT("-", Crypto_Dataset[[#This Row],[Amount]]), Crypto_Dataset[[#This Row],[Amount]]))</f>
        <v>-3.02862046</v>
      </c>
    </row>
    <row r="143" spans="1:13" x14ac:dyDescent="0.35">
      <c r="A143" s="7">
        <v>43815.995138888888</v>
      </c>
      <c r="B143" t="s">
        <v>55</v>
      </c>
      <c r="C143" t="s">
        <v>22</v>
      </c>
      <c r="D143">
        <v>239.02150333</v>
      </c>
      <c r="E143">
        <v>0.30292799999999998</v>
      </c>
      <c r="F143">
        <v>0.30598787878787798</v>
      </c>
      <c r="G143" t="s">
        <v>194</v>
      </c>
      <c r="H143">
        <v>0.73</v>
      </c>
      <c r="I143">
        <v>7.0000000000000007E-2</v>
      </c>
      <c r="J143">
        <v>72.41</v>
      </c>
      <c r="K143" t="s">
        <v>195</v>
      </c>
      <c r="L143" s="5">
        <f>VALUE(IF(Crypto_Dataset[[#This Row],[Type]]="Sell", _xlfn.CONCAT("-", Crypto_Dataset[[#This Row],[Total AUD]]), Crypto_Dataset[[#This Row],[Total AUD]]))</f>
        <v>-72.41</v>
      </c>
      <c r="M143" s="3">
        <f>VALUE(IF(Crypto_Dataset[[#This Row],[Type]]="Sell", _xlfn.CONCAT("-", Crypto_Dataset[[#This Row],[Amount]]), Crypto_Dataset[[#This Row],[Amount]]))</f>
        <v>-239.02150333</v>
      </c>
    </row>
    <row r="144" spans="1:13" x14ac:dyDescent="0.35">
      <c r="A144" s="28">
        <v>43815.988888888889</v>
      </c>
      <c r="B144" t="s">
        <v>55</v>
      </c>
      <c r="C144" t="s">
        <v>20</v>
      </c>
      <c r="D144">
        <v>0.49925609999999998</v>
      </c>
      <c r="E144">
        <v>201.02</v>
      </c>
      <c r="F144">
        <v>203.050505050505</v>
      </c>
      <c r="G144" t="s">
        <v>196</v>
      </c>
      <c r="H144">
        <v>1.01</v>
      </c>
      <c r="I144">
        <v>0.09</v>
      </c>
      <c r="J144">
        <v>100.36</v>
      </c>
      <c r="K144" t="s">
        <v>197</v>
      </c>
      <c r="L144" s="5">
        <f>VALUE(IF(Crypto_Dataset[[#This Row],[Type]]="Sell", _xlfn.CONCAT("-", Crypto_Dataset[[#This Row],[Total AUD]]), Crypto_Dataset[[#This Row],[Total AUD]]))</f>
        <v>-100.36</v>
      </c>
      <c r="M144" s="3">
        <f>VALUE(IF(Crypto_Dataset[[#This Row],[Type]]="Sell", _xlfn.CONCAT("-", Crypto_Dataset[[#This Row],[Amount]]), Crypto_Dataset[[#This Row],[Amount]]))</f>
        <v>-0.49925609999999998</v>
      </c>
    </row>
    <row r="145" spans="1:13" x14ac:dyDescent="0.35">
      <c r="A145" s="28">
        <v>43815.988888888889</v>
      </c>
      <c r="B145" t="s">
        <v>55</v>
      </c>
      <c r="C145" t="s">
        <v>27</v>
      </c>
      <c r="D145">
        <v>0.23494072999999999</v>
      </c>
      <c r="E145">
        <v>10138.56</v>
      </c>
      <c r="F145">
        <v>10240.9696969696</v>
      </c>
      <c r="G145" t="s">
        <v>198</v>
      </c>
      <c r="H145">
        <v>24.06</v>
      </c>
      <c r="I145">
        <v>2.19</v>
      </c>
      <c r="J145">
        <v>2381.96</v>
      </c>
      <c r="K145" t="s">
        <v>199</v>
      </c>
      <c r="L145" s="5">
        <f>VALUE(IF(Crypto_Dataset[[#This Row],[Type]]="Sell", _xlfn.CONCAT("-", Crypto_Dataset[[#This Row],[Total AUD]]), Crypto_Dataset[[#This Row],[Total AUD]]))</f>
        <v>-2381.96</v>
      </c>
      <c r="M145" s="3">
        <f>VALUE(IF(Crypto_Dataset[[#This Row],[Type]]="Sell", _xlfn.CONCAT("-", Crypto_Dataset[[#This Row],[Amount]]), Crypto_Dataset[[#This Row],[Amount]]))</f>
        <v>-0.23494072999999999</v>
      </c>
    </row>
    <row r="146" spans="1:13" x14ac:dyDescent="0.35">
      <c r="A146" s="28">
        <v>43657.756944444445</v>
      </c>
      <c r="B146" t="s">
        <v>19</v>
      </c>
      <c r="C146" t="s">
        <v>27</v>
      </c>
      <c r="D146">
        <v>0.23494072999999999</v>
      </c>
      <c r="E146">
        <v>17025.57</v>
      </c>
      <c r="F146">
        <v>16857.000655458702</v>
      </c>
      <c r="G146" t="s">
        <v>167</v>
      </c>
      <c r="H146">
        <v>39.6</v>
      </c>
      <c r="I146">
        <v>3.6</v>
      </c>
      <c r="J146">
        <v>4000</v>
      </c>
      <c r="K146" t="s">
        <v>58</v>
      </c>
      <c r="L146" s="5">
        <f>VALUE(IF(Crypto_Dataset[[#This Row],[Type]]="Sell", _xlfn.CONCAT("-", Crypto_Dataset[[#This Row],[Total AUD]]), Crypto_Dataset[[#This Row],[Total AUD]]))</f>
        <v>4000</v>
      </c>
      <c r="M146" s="3">
        <f>VALUE(IF(Crypto_Dataset[[#This Row],[Type]]="Sell", _xlfn.CONCAT("-", Crypto_Dataset[[#This Row],[Amount]]), Crypto_Dataset[[#This Row],[Amount]]))</f>
        <v>0.23494072999999999</v>
      </c>
    </row>
    <row r="147" spans="1:13" x14ac:dyDescent="0.35">
      <c r="A147" s="28">
        <v>43210.493055555555</v>
      </c>
      <c r="B147" t="s">
        <v>19</v>
      </c>
      <c r="C147" t="s">
        <v>74</v>
      </c>
      <c r="D147">
        <v>3.02862046</v>
      </c>
      <c r="E147">
        <v>198.11</v>
      </c>
      <c r="F147">
        <v>196.148515070321</v>
      </c>
      <c r="G147" t="s">
        <v>100</v>
      </c>
      <c r="H147">
        <v>5.94</v>
      </c>
      <c r="I147">
        <v>0.54</v>
      </c>
      <c r="J147">
        <v>600</v>
      </c>
      <c r="K147" t="s">
        <v>75</v>
      </c>
      <c r="L147" s="5">
        <f>VALUE(IF(Crypto_Dataset[[#This Row],[Type]]="Sell", _xlfn.CONCAT("-", Crypto_Dataset[[#This Row],[Total AUD]]), Crypto_Dataset[[#This Row],[Total AUD]]))</f>
        <v>600</v>
      </c>
      <c r="M147" s="3">
        <f>VALUE(IF(Crypto_Dataset[[#This Row],[Type]]="Sell", _xlfn.CONCAT("-", Crypto_Dataset[[#This Row],[Amount]]), Crypto_Dataset[[#This Row],[Amount]]))</f>
        <v>3.02862046</v>
      </c>
    </row>
    <row r="148" spans="1:13" x14ac:dyDescent="0.35">
      <c r="A148" s="28">
        <v>43168.722916666666</v>
      </c>
      <c r="B148" t="s">
        <v>19</v>
      </c>
      <c r="C148" t="s">
        <v>73</v>
      </c>
      <c r="D148">
        <v>5551.73102973</v>
      </c>
      <c r="E148">
        <v>4.5031000000000002E-2</v>
      </c>
      <c r="F148">
        <v>4.3719417475767998E-2</v>
      </c>
      <c r="G148" t="s">
        <v>200</v>
      </c>
      <c r="H148">
        <v>7.28</v>
      </c>
      <c r="I148">
        <v>0.66</v>
      </c>
      <c r="J148">
        <v>250</v>
      </c>
      <c r="K148" t="s">
        <v>33</v>
      </c>
      <c r="L148" s="5">
        <f>VALUE(IF(Crypto_Dataset[[#This Row],[Type]]="Sell", _xlfn.CONCAT("-", Crypto_Dataset[[#This Row],[Total AUD]]), Crypto_Dataset[[#This Row],[Total AUD]]))</f>
        <v>250</v>
      </c>
      <c r="M148" s="3">
        <f>VALUE(IF(Crypto_Dataset[[#This Row],[Type]]="Sell", _xlfn.CONCAT("-", Crypto_Dataset[[#This Row],[Amount]]), Crypto_Dataset[[#This Row],[Amount]]))</f>
        <v>5551.73102973</v>
      </c>
    </row>
    <row r="149" spans="1:13" x14ac:dyDescent="0.35">
      <c r="A149" s="28">
        <v>43168.722222222219</v>
      </c>
      <c r="B149" t="s">
        <v>19</v>
      </c>
      <c r="C149" t="s">
        <v>22</v>
      </c>
      <c r="D149">
        <v>239.02150333</v>
      </c>
      <c r="E149">
        <v>1.0459309999999999</v>
      </c>
      <c r="F149">
        <v>1.0154669902934901</v>
      </c>
      <c r="G149" t="s">
        <v>200</v>
      </c>
      <c r="H149">
        <v>7.28</v>
      </c>
      <c r="I149">
        <v>0.66</v>
      </c>
      <c r="J149">
        <v>250</v>
      </c>
      <c r="K149" t="s">
        <v>33</v>
      </c>
      <c r="L149" s="5">
        <f>VALUE(IF(Crypto_Dataset[[#This Row],[Type]]="Sell", _xlfn.CONCAT("-", Crypto_Dataset[[#This Row],[Total AUD]]), Crypto_Dataset[[#This Row],[Total AUD]]))</f>
        <v>250</v>
      </c>
      <c r="M149" s="3">
        <f>VALUE(IF(Crypto_Dataset[[#This Row],[Type]]="Sell", _xlfn.CONCAT("-", Crypto_Dataset[[#This Row],[Amount]]), Crypto_Dataset[[#This Row],[Amount]]))</f>
        <v>239.02150333</v>
      </c>
    </row>
    <row r="150" spans="1:13" x14ac:dyDescent="0.35">
      <c r="A150" s="28">
        <v>43167.636111111111</v>
      </c>
      <c r="B150" t="s">
        <v>19</v>
      </c>
      <c r="C150" t="s">
        <v>20</v>
      </c>
      <c r="D150">
        <v>0.49925609999999998</v>
      </c>
      <c r="E150">
        <v>1001.49</v>
      </c>
      <c r="F150">
        <v>972.320404705888</v>
      </c>
      <c r="G150" t="s">
        <v>201</v>
      </c>
      <c r="H150">
        <v>14.56</v>
      </c>
      <c r="I150">
        <v>1.32</v>
      </c>
      <c r="J150">
        <v>500</v>
      </c>
      <c r="K150" t="s">
        <v>29</v>
      </c>
      <c r="L150" s="5">
        <f>VALUE(IF(Crypto_Dataset[[#This Row],[Type]]="Sell", _xlfn.CONCAT("-", Crypto_Dataset[[#This Row],[Total AUD]]), Crypto_Dataset[[#This Row],[Total AUD]]))</f>
        <v>500</v>
      </c>
      <c r="M150" s="3">
        <f>VALUE(IF(Crypto_Dataset[[#This Row],[Type]]="Sell", _xlfn.CONCAT("-", Crypto_Dataset[[#This Row],[Amount]]), Crypto_Dataset[[#This Row],[Amount]]))</f>
        <v>0.49925609999999998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52414D-EDB0-4306-9DF4-39F5FAD1B2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PT - RR Dashboard</vt:lpstr>
      <vt:lpstr>Sheet1</vt:lpstr>
      <vt:lpstr>Credit Card</vt:lpstr>
      <vt:lpstr>Crypto Dataset</vt:lpstr>
      <vt:lpstr>Crypto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Roozbehani, Rodean</dc:creator>
  <cp:lastModifiedBy>Rodean Roozbehani</cp:lastModifiedBy>
  <dcterms:created xsi:type="dcterms:W3CDTF">2019-10-24T06:19:27Z</dcterms:created>
  <dcterms:modified xsi:type="dcterms:W3CDTF">2025-12-21T03:22:19Z</dcterms:modified>
</cp:coreProperties>
</file>